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19980" windowHeight="7755" activeTab="2"/>
  </bookViews>
  <sheets>
    <sheet name="Summary" sheetId="22" r:id="rId1"/>
    <sheet name="Regression" sheetId="1" state="veryHidden" r:id="rId2"/>
    <sheet name="Daily" sheetId="4" r:id="rId3"/>
    <sheet name="Indices" sheetId="7" state="hidden" r:id="rId4"/>
    <sheet name="Volumes vs Normalized Data" sheetId="6" state="hidden" r:id="rId5"/>
    <sheet name="Seasonality" sheetId="9" r:id="rId6"/>
    <sheet name="Factors" sheetId="8" r:id="rId7"/>
    <sheet name="Multiple Regression" sheetId="21" r:id="rId8"/>
  </sheets>
  <externalReferences>
    <externalReference r:id="rId9"/>
  </externalReferences>
  <definedNames>
    <definedName name="_xlnm._FilterDatabase" localSheetId="2" hidden="1">Daily!$A$9:$AG$9</definedName>
    <definedName name="_xlnm._FilterDatabase" localSheetId="6" hidden="1">Factors!$A$2:$J$257</definedName>
    <definedName name="_xlnm._FilterDatabase" localSheetId="7" hidden="1">'Multiple Regression'!$A$3:$P$258</definedName>
    <definedName name="a">Regression!$I$5</definedName>
    <definedName name="Alpha">Daily!$T$7</definedName>
    <definedName name="b">Regression!$I$6</definedName>
    <definedName name="DependentVariable">Regression!$C$5:$C$384</definedName>
    <definedName name="DL">[1]Temp!$AZ$3:$BE$42</definedName>
    <definedName name="DU">[1]Temp!$BG$3:$BL$42</definedName>
    <definedName name="Estimate">Regression!$D$5:$D$384</definedName>
    <definedName name="EstimationError">Regression!$E$5:$E$384</definedName>
    <definedName name="IndependentVariable">Regression!$B$5:$B$384</definedName>
    <definedName name="keyflag">#REF!</definedName>
    <definedName name="scrOutput">#REF!</definedName>
    <definedName name="solver_adj" localSheetId="2" hidden="1">Daily!$T$7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Daily!$T$7</definedName>
    <definedName name="solver_lhs10" localSheetId="2" hidden="1">Daily!$L$6</definedName>
    <definedName name="solver_lhs11" localSheetId="2" hidden="1">Daily!$L$6</definedName>
    <definedName name="solver_lhs12" localSheetId="2" hidden="1">Daily!$L$6</definedName>
    <definedName name="solver_lhs13" localSheetId="2" hidden="1">Daily!$L$6</definedName>
    <definedName name="solver_lhs14" localSheetId="2" hidden="1">Daily!$L$6</definedName>
    <definedName name="solver_lhs15" localSheetId="2" hidden="1">Daily!$L$6</definedName>
    <definedName name="solver_lhs16" localSheetId="2" hidden="1">Daily!$L$6</definedName>
    <definedName name="solver_lhs17" localSheetId="2" hidden="1">Daily!$L$6</definedName>
    <definedName name="solver_lhs18" localSheetId="2" hidden="1">Daily!$L$6</definedName>
    <definedName name="solver_lhs19" localSheetId="2" hidden="1">Daily!$L$6</definedName>
    <definedName name="solver_lhs2" localSheetId="2" hidden="1">Daily!$T$7</definedName>
    <definedName name="solver_lhs20" localSheetId="2" hidden="1">Daily!$L$6</definedName>
    <definedName name="solver_lhs21" localSheetId="2" hidden="1">Daily!$L$6</definedName>
    <definedName name="solver_lhs22" localSheetId="2" hidden="1">Daily!$L$6</definedName>
    <definedName name="solver_lhs3" localSheetId="2" hidden="1">Daily!$T$7</definedName>
    <definedName name="solver_lhs4" localSheetId="2" hidden="1">Daily!$T$7</definedName>
    <definedName name="solver_lhs5" localSheetId="2" hidden="1">Daily!$T$7</definedName>
    <definedName name="solver_lhs6" localSheetId="2" hidden="1">Daily!$T$7</definedName>
    <definedName name="solver_lhs7" localSheetId="2" hidden="1">Daily!$T$7</definedName>
    <definedName name="solver_lhs8" localSheetId="2" hidden="1">Daily!$T$7</definedName>
    <definedName name="solver_lhs9" localSheetId="2" hidden="1">Daily!$L$6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Daily!$T$6</definedName>
    <definedName name="solver_pre" localSheetId="2" hidden="1">0.000001</definedName>
    <definedName name="solver_rbv" localSheetId="2" hidden="1">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1</definedName>
    <definedName name="solver_rel14" localSheetId="2" hidden="1">1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3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3" localSheetId="2" hidden="1">1</definedName>
    <definedName name="solver_rel4" localSheetId="2" hidden="1">3</definedName>
    <definedName name="solver_rel5" localSheetId="2" hidden="1">1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1</definedName>
    <definedName name="solver_rhs1" localSheetId="2" hidden="1">0.99</definedName>
    <definedName name="solver_rhs10" localSheetId="2" hidden="1">0.99</definedName>
    <definedName name="solver_rhs11" localSheetId="2" hidden="1">0.99</definedName>
    <definedName name="solver_rhs12" localSheetId="2" hidden="1">0.99</definedName>
    <definedName name="solver_rhs13" localSheetId="2" hidden="1">0.99</definedName>
    <definedName name="solver_rhs14" localSheetId="2" hidden="1">0.99</definedName>
    <definedName name="solver_rhs15" localSheetId="2" hidden="1">0.99</definedName>
    <definedName name="solver_rhs16" localSheetId="2" hidden="1">0.99</definedName>
    <definedName name="solver_rhs17" localSheetId="2" hidden="1">0.99</definedName>
    <definedName name="solver_rhs18" localSheetId="2" hidden="1">0.99</definedName>
    <definedName name="solver_rhs19" localSheetId="2" hidden="1">0.99</definedName>
    <definedName name="solver_rhs2" localSheetId="2" hidden="1">0.01</definedName>
    <definedName name="solver_rhs20" localSheetId="2" hidden="1">0.99</definedName>
    <definedName name="solver_rhs21" localSheetId="2" hidden="1">0.99</definedName>
    <definedName name="solver_rhs22" localSheetId="2" hidden="1">0.99</definedName>
    <definedName name="solver_rhs3" localSheetId="2" hidden="1">0.99</definedName>
    <definedName name="solver_rhs4" localSheetId="2" hidden="1">0.01</definedName>
    <definedName name="solver_rhs5" localSheetId="2" hidden="1">0.99</definedName>
    <definedName name="solver_rhs6" localSheetId="2" hidden="1">0.01</definedName>
    <definedName name="solver_rhs7" localSheetId="2" hidden="1">0.01</definedName>
    <definedName name="solver_rhs8" localSheetId="2" hidden="1">0.01</definedName>
    <definedName name="solver_rhs9" localSheetId="2" hidden="1">0.99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SquareOfError">Regression!$F$5:$F$384</definedName>
    <definedName name="x">Regression!$G$10</definedName>
    <definedName name="y">Regression!$G$12</definedName>
  </definedNames>
  <calcPr calcId="145621"/>
</workbook>
</file>

<file path=xl/calcChain.xml><?xml version="1.0" encoding="utf-8"?>
<calcChain xmlns="http://schemas.openxmlformats.org/spreadsheetml/2006/main">
  <c r="O157" i="7" l="1"/>
  <c r="O158" i="7" s="1"/>
  <c r="O156" i="7"/>
  <c r="P156" i="7" s="1"/>
  <c r="Q156" i="7" s="1"/>
  <c r="M156" i="7"/>
  <c r="M134" i="7"/>
  <c r="O134" i="7" s="1"/>
  <c r="C42" i="7"/>
  <c r="C43" i="7" s="1"/>
  <c r="A42" i="7"/>
  <c r="A37" i="7"/>
  <c r="C37" i="7" s="1"/>
  <c r="P158" i="7" l="1"/>
  <c r="Q158" i="7" s="1"/>
  <c r="O159" i="7"/>
  <c r="P157" i="7"/>
  <c r="Q157" i="7" s="1"/>
  <c r="P134" i="7"/>
  <c r="Q134" i="7" s="1"/>
  <c r="O135" i="7"/>
  <c r="C44" i="7"/>
  <c r="D43" i="7"/>
  <c r="D42" i="7"/>
  <c r="D37" i="7"/>
  <c r="C38" i="7"/>
  <c r="B5" i="21"/>
  <c r="C5" i="21"/>
  <c r="D5" i="21"/>
  <c r="B6" i="21"/>
  <c r="C6" i="21"/>
  <c r="D6" i="21"/>
  <c r="B7" i="21"/>
  <c r="C7" i="21"/>
  <c r="D7" i="21"/>
  <c r="B8" i="21"/>
  <c r="C8" i="21"/>
  <c r="D8" i="21"/>
  <c r="E8" i="21" s="1"/>
  <c r="B9" i="21"/>
  <c r="C9" i="21"/>
  <c r="D9" i="21"/>
  <c r="B10" i="21"/>
  <c r="C10" i="21"/>
  <c r="D10" i="21"/>
  <c r="B11" i="21"/>
  <c r="C11" i="21"/>
  <c r="D11" i="21"/>
  <c r="B12" i="21"/>
  <c r="C12" i="21"/>
  <c r="D12" i="21"/>
  <c r="E12" i="21" s="1"/>
  <c r="B13" i="21"/>
  <c r="C13" i="21"/>
  <c r="D13" i="21"/>
  <c r="B14" i="21"/>
  <c r="C14" i="21"/>
  <c r="D14" i="21"/>
  <c r="E14" i="21" s="1"/>
  <c r="B15" i="21"/>
  <c r="C15" i="21"/>
  <c r="D15" i="21"/>
  <c r="B16" i="21"/>
  <c r="C16" i="21"/>
  <c r="D16" i="21"/>
  <c r="E16" i="21" s="1"/>
  <c r="B17" i="21"/>
  <c r="C17" i="21"/>
  <c r="D17" i="21"/>
  <c r="B18" i="21"/>
  <c r="C18" i="21"/>
  <c r="D18" i="21"/>
  <c r="B19" i="21"/>
  <c r="C19" i="21"/>
  <c r="D19" i="21"/>
  <c r="B20" i="21"/>
  <c r="C20" i="21"/>
  <c r="D20" i="21"/>
  <c r="E20" i="21" s="1"/>
  <c r="B21" i="21"/>
  <c r="C21" i="21"/>
  <c r="D21" i="21"/>
  <c r="B22" i="21"/>
  <c r="C22" i="21"/>
  <c r="D22" i="21"/>
  <c r="B23" i="21"/>
  <c r="C23" i="21"/>
  <c r="D23" i="21"/>
  <c r="B24" i="21"/>
  <c r="C24" i="21"/>
  <c r="D24" i="21"/>
  <c r="B25" i="21"/>
  <c r="C25" i="21"/>
  <c r="D25" i="21"/>
  <c r="B26" i="21"/>
  <c r="C26" i="21"/>
  <c r="D26" i="21"/>
  <c r="B27" i="21"/>
  <c r="C27" i="21"/>
  <c r="D27" i="21"/>
  <c r="B28" i="21"/>
  <c r="C28" i="21"/>
  <c r="D28" i="21"/>
  <c r="B29" i="21"/>
  <c r="C29" i="21"/>
  <c r="D29" i="21"/>
  <c r="B30" i="21"/>
  <c r="C30" i="21"/>
  <c r="D30" i="21"/>
  <c r="B31" i="21"/>
  <c r="C31" i="21"/>
  <c r="D31" i="21"/>
  <c r="B32" i="21"/>
  <c r="C32" i="21"/>
  <c r="D32" i="21"/>
  <c r="B33" i="21"/>
  <c r="C33" i="21"/>
  <c r="D33" i="21"/>
  <c r="B34" i="21"/>
  <c r="C34" i="21"/>
  <c r="D34" i="21"/>
  <c r="B35" i="21"/>
  <c r="C35" i="21"/>
  <c r="D35" i="21"/>
  <c r="B36" i="21"/>
  <c r="C36" i="21"/>
  <c r="D36" i="21"/>
  <c r="E36" i="21" s="1"/>
  <c r="B37" i="21"/>
  <c r="C37" i="21"/>
  <c r="D37" i="21"/>
  <c r="B38" i="21"/>
  <c r="C38" i="21"/>
  <c r="D38" i="21"/>
  <c r="E38" i="21" s="1"/>
  <c r="B39" i="21"/>
  <c r="C39" i="21"/>
  <c r="D39" i="21"/>
  <c r="B40" i="21"/>
  <c r="C40" i="21"/>
  <c r="D40" i="21"/>
  <c r="B41" i="21"/>
  <c r="C41" i="21"/>
  <c r="D41" i="21"/>
  <c r="B42" i="21"/>
  <c r="C42" i="21"/>
  <c r="D42" i="21"/>
  <c r="B43" i="21"/>
  <c r="C43" i="21"/>
  <c r="D43" i="21"/>
  <c r="B44" i="21"/>
  <c r="C44" i="21"/>
  <c r="D44" i="21"/>
  <c r="B45" i="21"/>
  <c r="C45" i="21"/>
  <c r="D45" i="21"/>
  <c r="B46" i="21"/>
  <c r="C46" i="21"/>
  <c r="D46" i="21"/>
  <c r="B47" i="21"/>
  <c r="C47" i="21"/>
  <c r="D47" i="21"/>
  <c r="B48" i="21"/>
  <c r="C48" i="21"/>
  <c r="D48" i="21"/>
  <c r="B49" i="21"/>
  <c r="C49" i="21"/>
  <c r="D49" i="21"/>
  <c r="B50" i="21"/>
  <c r="C50" i="21"/>
  <c r="D50" i="21"/>
  <c r="B51" i="21"/>
  <c r="C51" i="21"/>
  <c r="D51" i="21"/>
  <c r="B52" i="21"/>
  <c r="C52" i="21"/>
  <c r="D52" i="21"/>
  <c r="B53" i="21"/>
  <c r="C53" i="21"/>
  <c r="D53" i="21"/>
  <c r="B54" i="21"/>
  <c r="C54" i="21"/>
  <c r="D54" i="21"/>
  <c r="B55" i="21"/>
  <c r="C55" i="21"/>
  <c r="D55" i="21"/>
  <c r="B56" i="21"/>
  <c r="C56" i="21"/>
  <c r="D56" i="21"/>
  <c r="B57" i="21"/>
  <c r="C57" i="21"/>
  <c r="D57" i="21"/>
  <c r="B58" i="21"/>
  <c r="C58" i="21"/>
  <c r="D58" i="21"/>
  <c r="B59" i="21"/>
  <c r="C59" i="21"/>
  <c r="D59" i="21"/>
  <c r="B60" i="21"/>
  <c r="C60" i="21"/>
  <c r="D60" i="21"/>
  <c r="B61" i="21"/>
  <c r="C61" i="21"/>
  <c r="D61" i="21"/>
  <c r="B62" i="21"/>
  <c r="C62" i="21"/>
  <c r="D62" i="21"/>
  <c r="B63" i="21"/>
  <c r="C63" i="21"/>
  <c r="D63" i="21"/>
  <c r="B64" i="21"/>
  <c r="C64" i="21"/>
  <c r="D64" i="21"/>
  <c r="B65" i="21"/>
  <c r="C65" i="21"/>
  <c r="D65" i="21"/>
  <c r="B66" i="21"/>
  <c r="C66" i="21"/>
  <c r="D66" i="21"/>
  <c r="B67" i="21"/>
  <c r="C67" i="21"/>
  <c r="D67" i="21"/>
  <c r="B68" i="21"/>
  <c r="C68" i="21"/>
  <c r="D68" i="21"/>
  <c r="B69" i="21"/>
  <c r="C69" i="21"/>
  <c r="D69" i="21"/>
  <c r="B70" i="21"/>
  <c r="C70" i="21"/>
  <c r="D70" i="21"/>
  <c r="B71" i="21"/>
  <c r="C71" i="21"/>
  <c r="D71" i="21"/>
  <c r="B72" i="21"/>
  <c r="C72" i="21"/>
  <c r="D72" i="21"/>
  <c r="E72" i="21" s="1"/>
  <c r="B73" i="21"/>
  <c r="C73" i="21"/>
  <c r="D73" i="21"/>
  <c r="B74" i="21"/>
  <c r="C74" i="21"/>
  <c r="D74" i="21"/>
  <c r="B75" i="21"/>
  <c r="C75" i="21"/>
  <c r="D75" i="21"/>
  <c r="B76" i="21"/>
  <c r="C76" i="21"/>
  <c r="D76" i="21"/>
  <c r="B77" i="21"/>
  <c r="C77" i="21"/>
  <c r="D77" i="21"/>
  <c r="B78" i="21"/>
  <c r="C78" i="21"/>
  <c r="D78" i="21"/>
  <c r="B79" i="21"/>
  <c r="C79" i="21"/>
  <c r="D79" i="21"/>
  <c r="B80" i="21"/>
  <c r="C80" i="21"/>
  <c r="D80" i="21"/>
  <c r="B81" i="21"/>
  <c r="C81" i="21"/>
  <c r="D81" i="21"/>
  <c r="B82" i="21"/>
  <c r="C82" i="21"/>
  <c r="D82" i="21"/>
  <c r="B83" i="21"/>
  <c r="C83" i="21"/>
  <c r="D83" i="21"/>
  <c r="B84" i="21"/>
  <c r="C84" i="21"/>
  <c r="D84" i="21"/>
  <c r="B85" i="21"/>
  <c r="C85" i="21"/>
  <c r="D85" i="21"/>
  <c r="B86" i="21"/>
  <c r="C86" i="21"/>
  <c r="D86" i="21"/>
  <c r="B87" i="21"/>
  <c r="C87" i="21"/>
  <c r="D87" i="21"/>
  <c r="B88" i="21"/>
  <c r="C88" i="21"/>
  <c r="D88" i="21"/>
  <c r="B89" i="21"/>
  <c r="C89" i="21"/>
  <c r="D89" i="21"/>
  <c r="B90" i="21"/>
  <c r="C90" i="21"/>
  <c r="D90" i="21"/>
  <c r="B91" i="21"/>
  <c r="C91" i="21"/>
  <c r="D91" i="21"/>
  <c r="B92" i="21"/>
  <c r="C92" i="21"/>
  <c r="D92" i="21"/>
  <c r="B93" i="21"/>
  <c r="C93" i="21"/>
  <c r="D93" i="21"/>
  <c r="B94" i="21"/>
  <c r="C94" i="21"/>
  <c r="D94" i="21"/>
  <c r="B95" i="21"/>
  <c r="C95" i="21"/>
  <c r="D95" i="21"/>
  <c r="B96" i="21"/>
  <c r="C96" i="21"/>
  <c r="D96" i="21"/>
  <c r="B97" i="21"/>
  <c r="C97" i="21"/>
  <c r="D97" i="21"/>
  <c r="B98" i="21"/>
  <c r="C98" i="21"/>
  <c r="D98" i="21"/>
  <c r="B99" i="21"/>
  <c r="C99" i="21"/>
  <c r="D99" i="21"/>
  <c r="B100" i="21"/>
  <c r="C100" i="21"/>
  <c r="D100" i="21"/>
  <c r="B101" i="21"/>
  <c r="C101" i="21"/>
  <c r="D101" i="21"/>
  <c r="B102" i="21"/>
  <c r="C102" i="21"/>
  <c r="D102" i="21"/>
  <c r="B103" i="21"/>
  <c r="C103" i="21"/>
  <c r="D103" i="21"/>
  <c r="B104" i="21"/>
  <c r="C104" i="21"/>
  <c r="D104" i="21"/>
  <c r="B105" i="21"/>
  <c r="C105" i="21"/>
  <c r="D105" i="21"/>
  <c r="B106" i="21"/>
  <c r="C106" i="21"/>
  <c r="D106" i="21"/>
  <c r="B107" i="21"/>
  <c r="C107" i="21"/>
  <c r="D107" i="21"/>
  <c r="B108" i="21"/>
  <c r="C108" i="21"/>
  <c r="D108" i="21"/>
  <c r="B109" i="21"/>
  <c r="C109" i="21"/>
  <c r="D109" i="21"/>
  <c r="B110" i="21"/>
  <c r="C110" i="21"/>
  <c r="D110" i="21"/>
  <c r="B111" i="21"/>
  <c r="C111" i="21"/>
  <c r="D111" i="21"/>
  <c r="B112" i="21"/>
  <c r="C112" i="21"/>
  <c r="D112" i="21"/>
  <c r="B113" i="21"/>
  <c r="C113" i="21"/>
  <c r="D113" i="21"/>
  <c r="B114" i="21"/>
  <c r="C114" i="21"/>
  <c r="D114" i="21"/>
  <c r="B115" i="21"/>
  <c r="C115" i="21"/>
  <c r="D115" i="21"/>
  <c r="B116" i="21"/>
  <c r="C116" i="21"/>
  <c r="D116" i="21"/>
  <c r="B117" i="21"/>
  <c r="C117" i="21"/>
  <c r="D117" i="21"/>
  <c r="B118" i="21"/>
  <c r="C118" i="21"/>
  <c r="D118" i="21"/>
  <c r="B119" i="21"/>
  <c r="C119" i="21"/>
  <c r="D119" i="21"/>
  <c r="B120" i="21"/>
  <c r="C120" i="21"/>
  <c r="D120" i="21"/>
  <c r="B121" i="21"/>
  <c r="C121" i="21"/>
  <c r="D121" i="21"/>
  <c r="B122" i="21"/>
  <c r="C122" i="21"/>
  <c r="D122" i="21"/>
  <c r="B123" i="21"/>
  <c r="C123" i="21"/>
  <c r="D123" i="21"/>
  <c r="B124" i="21"/>
  <c r="C124" i="21"/>
  <c r="D124" i="21"/>
  <c r="B125" i="21"/>
  <c r="C125" i="21"/>
  <c r="D125" i="21"/>
  <c r="B126" i="21"/>
  <c r="C126" i="21"/>
  <c r="D126" i="21"/>
  <c r="B127" i="21"/>
  <c r="C127" i="21"/>
  <c r="D127" i="21"/>
  <c r="B128" i="21"/>
  <c r="C128" i="21"/>
  <c r="D128" i="21"/>
  <c r="B129" i="21"/>
  <c r="C129" i="21"/>
  <c r="D129" i="21"/>
  <c r="B130" i="21"/>
  <c r="C130" i="21"/>
  <c r="D130" i="21"/>
  <c r="B131" i="21"/>
  <c r="C131" i="21"/>
  <c r="D131" i="21"/>
  <c r="B132" i="21"/>
  <c r="C132" i="21"/>
  <c r="D132" i="21"/>
  <c r="B133" i="21"/>
  <c r="C133" i="21"/>
  <c r="D133" i="21"/>
  <c r="B134" i="21"/>
  <c r="C134" i="21"/>
  <c r="D134" i="21"/>
  <c r="B135" i="21"/>
  <c r="C135" i="21"/>
  <c r="D135" i="21"/>
  <c r="B136" i="21"/>
  <c r="C136" i="21"/>
  <c r="D136" i="21"/>
  <c r="B137" i="21"/>
  <c r="C137" i="21"/>
  <c r="D137" i="21"/>
  <c r="B138" i="21"/>
  <c r="C138" i="21"/>
  <c r="D138" i="21"/>
  <c r="B139" i="21"/>
  <c r="C139" i="21"/>
  <c r="D139" i="21"/>
  <c r="B140" i="21"/>
  <c r="C140" i="21"/>
  <c r="D140" i="21"/>
  <c r="B141" i="21"/>
  <c r="C141" i="21"/>
  <c r="D141" i="21"/>
  <c r="B142" i="21"/>
  <c r="C142" i="21"/>
  <c r="D142" i="21"/>
  <c r="B143" i="21"/>
  <c r="C143" i="21"/>
  <c r="D143" i="21"/>
  <c r="B144" i="21"/>
  <c r="C144" i="21"/>
  <c r="D144" i="21"/>
  <c r="E144" i="21" s="1"/>
  <c r="B145" i="21"/>
  <c r="C145" i="21"/>
  <c r="E145" i="21" s="1"/>
  <c r="D145" i="21"/>
  <c r="B146" i="21"/>
  <c r="C146" i="21"/>
  <c r="D146" i="21"/>
  <c r="B147" i="21"/>
  <c r="C147" i="21"/>
  <c r="D147" i="21"/>
  <c r="B148" i="21"/>
  <c r="C148" i="21"/>
  <c r="D148" i="21"/>
  <c r="E148" i="21" s="1"/>
  <c r="B149" i="21"/>
  <c r="C149" i="21"/>
  <c r="D149" i="21"/>
  <c r="B150" i="21"/>
  <c r="C150" i="21"/>
  <c r="D150" i="21"/>
  <c r="E150" i="21" s="1"/>
  <c r="B151" i="21"/>
  <c r="C151" i="21"/>
  <c r="D151" i="21"/>
  <c r="B152" i="21"/>
  <c r="C152" i="21"/>
  <c r="D152" i="21"/>
  <c r="B153" i="21"/>
  <c r="C153" i="21"/>
  <c r="D153" i="21"/>
  <c r="B154" i="21"/>
  <c r="C154" i="21"/>
  <c r="D154" i="21"/>
  <c r="B155" i="21"/>
  <c r="C155" i="21"/>
  <c r="D155" i="21"/>
  <c r="B156" i="21"/>
  <c r="C156" i="21"/>
  <c r="D156" i="21"/>
  <c r="B157" i="21"/>
  <c r="C157" i="21"/>
  <c r="D157" i="21"/>
  <c r="B158" i="21"/>
  <c r="C158" i="21"/>
  <c r="D158" i="21"/>
  <c r="E158" i="21" s="1"/>
  <c r="B159" i="21"/>
  <c r="C159" i="21"/>
  <c r="D159" i="21"/>
  <c r="B160" i="21"/>
  <c r="C160" i="21"/>
  <c r="D160" i="21"/>
  <c r="B161" i="21"/>
  <c r="C161" i="21"/>
  <c r="D161" i="21"/>
  <c r="B162" i="21"/>
  <c r="C162" i="21"/>
  <c r="D162" i="21"/>
  <c r="B163" i="21"/>
  <c r="C163" i="21"/>
  <c r="D163" i="21"/>
  <c r="B164" i="21"/>
  <c r="C164" i="21"/>
  <c r="D164" i="21"/>
  <c r="B165" i="21"/>
  <c r="C165" i="21"/>
  <c r="D165" i="21"/>
  <c r="B166" i="21"/>
  <c r="C166" i="21"/>
  <c r="D166" i="21"/>
  <c r="E166" i="21" s="1"/>
  <c r="B167" i="21"/>
  <c r="C167" i="21"/>
  <c r="D167" i="21"/>
  <c r="B168" i="21"/>
  <c r="C168" i="21"/>
  <c r="D168" i="21"/>
  <c r="B169" i="21"/>
  <c r="C169" i="21"/>
  <c r="D169" i="21"/>
  <c r="B170" i="21"/>
  <c r="C170" i="21"/>
  <c r="D170" i="21"/>
  <c r="B171" i="21"/>
  <c r="C171" i="21"/>
  <c r="D171" i="21"/>
  <c r="B172" i="21"/>
  <c r="C172" i="21"/>
  <c r="D172" i="21"/>
  <c r="B173" i="21"/>
  <c r="C173" i="21"/>
  <c r="D173" i="21"/>
  <c r="B174" i="21"/>
  <c r="C174" i="21"/>
  <c r="D174" i="21"/>
  <c r="E174" i="21" s="1"/>
  <c r="B175" i="21"/>
  <c r="C175" i="21"/>
  <c r="D175" i="21"/>
  <c r="B176" i="21"/>
  <c r="C176" i="21"/>
  <c r="D176" i="21"/>
  <c r="B177" i="21"/>
  <c r="C177" i="21"/>
  <c r="D177" i="21"/>
  <c r="B178" i="21"/>
  <c r="C178" i="21"/>
  <c r="D178" i="21"/>
  <c r="B179" i="21"/>
  <c r="C179" i="21"/>
  <c r="D179" i="21"/>
  <c r="B180" i="21"/>
  <c r="C180" i="21"/>
  <c r="D180" i="21"/>
  <c r="B181" i="21"/>
  <c r="C181" i="21"/>
  <c r="D181" i="21"/>
  <c r="B182" i="21"/>
  <c r="C182" i="21"/>
  <c r="D182" i="21"/>
  <c r="E182" i="21" s="1"/>
  <c r="B183" i="21"/>
  <c r="C183" i="21"/>
  <c r="D183" i="21"/>
  <c r="B184" i="21"/>
  <c r="C184" i="21"/>
  <c r="D184" i="21"/>
  <c r="B185" i="21"/>
  <c r="C185" i="21"/>
  <c r="D185" i="21"/>
  <c r="B186" i="21"/>
  <c r="C186" i="21"/>
  <c r="D186" i="21"/>
  <c r="B187" i="21"/>
  <c r="C187" i="21"/>
  <c r="D187" i="21"/>
  <c r="B188" i="21"/>
  <c r="C188" i="21"/>
  <c r="D188" i="21"/>
  <c r="B189" i="21"/>
  <c r="C189" i="21"/>
  <c r="D189" i="21"/>
  <c r="B190" i="21"/>
  <c r="C190" i="21"/>
  <c r="D190" i="21"/>
  <c r="E190" i="21" s="1"/>
  <c r="B191" i="21"/>
  <c r="C191" i="21"/>
  <c r="D191" i="21"/>
  <c r="B192" i="21"/>
  <c r="C192" i="21"/>
  <c r="D192" i="21"/>
  <c r="B193" i="21"/>
  <c r="C193" i="21"/>
  <c r="D193" i="21"/>
  <c r="B194" i="21"/>
  <c r="C194" i="21"/>
  <c r="D194" i="21"/>
  <c r="B195" i="21"/>
  <c r="C195" i="21"/>
  <c r="D195" i="21"/>
  <c r="B196" i="21"/>
  <c r="C196" i="21"/>
  <c r="D196" i="21"/>
  <c r="B197" i="21"/>
  <c r="C197" i="21"/>
  <c r="D197" i="21"/>
  <c r="B198" i="21"/>
  <c r="C198" i="21"/>
  <c r="D198" i="21"/>
  <c r="E198" i="21" s="1"/>
  <c r="B199" i="21"/>
  <c r="C199" i="21"/>
  <c r="D199" i="21"/>
  <c r="B200" i="21"/>
  <c r="C200" i="21"/>
  <c r="D200" i="21"/>
  <c r="B201" i="21"/>
  <c r="C201" i="21"/>
  <c r="D201" i="21"/>
  <c r="B202" i="21"/>
  <c r="C202" i="21"/>
  <c r="D202" i="21"/>
  <c r="B203" i="21"/>
  <c r="C203" i="21"/>
  <c r="D203" i="21"/>
  <c r="B204" i="21"/>
  <c r="C204" i="21"/>
  <c r="D204" i="21"/>
  <c r="B205" i="21"/>
  <c r="C205" i="21"/>
  <c r="D205" i="21"/>
  <c r="B206" i="21"/>
  <c r="C206" i="21"/>
  <c r="D206" i="21"/>
  <c r="E206" i="21" s="1"/>
  <c r="B207" i="21"/>
  <c r="C207" i="21"/>
  <c r="D207" i="21"/>
  <c r="B208" i="21"/>
  <c r="C208" i="21"/>
  <c r="D208" i="21"/>
  <c r="B209" i="21"/>
  <c r="C209" i="21"/>
  <c r="D209" i="21"/>
  <c r="B210" i="21"/>
  <c r="C210" i="21"/>
  <c r="D210" i="21"/>
  <c r="B211" i="21"/>
  <c r="C211" i="21"/>
  <c r="D211" i="21"/>
  <c r="B212" i="21"/>
  <c r="C212" i="21"/>
  <c r="D212" i="21"/>
  <c r="B213" i="21"/>
  <c r="C213" i="21"/>
  <c r="D213" i="21"/>
  <c r="B214" i="21"/>
  <c r="C214" i="21"/>
  <c r="D214" i="21"/>
  <c r="E214" i="21" s="1"/>
  <c r="B215" i="21"/>
  <c r="C215" i="21"/>
  <c r="D215" i="21"/>
  <c r="B216" i="21"/>
  <c r="C216" i="21"/>
  <c r="D216" i="21"/>
  <c r="B217" i="21"/>
  <c r="C217" i="21"/>
  <c r="D217" i="21"/>
  <c r="B218" i="21"/>
  <c r="C218" i="21"/>
  <c r="D218" i="21"/>
  <c r="B219" i="21"/>
  <c r="C219" i="21"/>
  <c r="D219" i="21"/>
  <c r="B220" i="21"/>
  <c r="C220" i="21"/>
  <c r="D220" i="21"/>
  <c r="B221" i="21"/>
  <c r="C221" i="21"/>
  <c r="D221" i="21"/>
  <c r="B222" i="21"/>
  <c r="C222" i="21"/>
  <c r="D222" i="21"/>
  <c r="E222" i="21" s="1"/>
  <c r="B223" i="21"/>
  <c r="C223" i="21"/>
  <c r="D223" i="21"/>
  <c r="B224" i="21"/>
  <c r="C224" i="21"/>
  <c r="D224" i="21"/>
  <c r="B225" i="21"/>
  <c r="C225" i="21"/>
  <c r="D225" i="21"/>
  <c r="B226" i="21"/>
  <c r="C226" i="21"/>
  <c r="D226" i="21"/>
  <c r="B227" i="21"/>
  <c r="C227" i="21"/>
  <c r="D227" i="21"/>
  <c r="B228" i="21"/>
  <c r="C228" i="21"/>
  <c r="D228" i="21"/>
  <c r="B229" i="21"/>
  <c r="C229" i="21"/>
  <c r="D229" i="21"/>
  <c r="B230" i="21"/>
  <c r="C230" i="21"/>
  <c r="D230" i="21"/>
  <c r="E230" i="21" s="1"/>
  <c r="B231" i="21"/>
  <c r="C231" i="21"/>
  <c r="D231" i="21"/>
  <c r="B232" i="21"/>
  <c r="C232" i="21"/>
  <c r="D232" i="21"/>
  <c r="B233" i="21"/>
  <c r="C233" i="21"/>
  <c r="D233" i="21"/>
  <c r="B234" i="21"/>
  <c r="C234" i="21"/>
  <c r="D234" i="21"/>
  <c r="B235" i="21"/>
  <c r="C235" i="21"/>
  <c r="D235" i="21"/>
  <c r="B236" i="21"/>
  <c r="C236" i="21"/>
  <c r="D236" i="21"/>
  <c r="B237" i="21"/>
  <c r="C237" i="21"/>
  <c r="D237" i="21"/>
  <c r="B238" i="21"/>
  <c r="C238" i="21"/>
  <c r="D238" i="21"/>
  <c r="E238" i="21" s="1"/>
  <c r="B239" i="21"/>
  <c r="C239" i="21"/>
  <c r="D239" i="21"/>
  <c r="B240" i="21"/>
  <c r="C240" i="21"/>
  <c r="D240" i="21"/>
  <c r="B241" i="21"/>
  <c r="C241" i="21"/>
  <c r="D241" i="21"/>
  <c r="B242" i="21"/>
  <c r="C242" i="21"/>
  <c r="D242" i="21"/>
  <c r="B243" i="21"/>
  <c r="C243" i="21"/>
  <c r="D243" i="21"/>
  <c r="B244" i="21"/>
  <c r="C244" i="21"/>
  <c r="D244" i="21"/>
  <c r="B245" i="21"/>
  <c r="C245" i="21"/>
  <c r="D245" i="21"/>
  <c r="B246" i="21"/>
  <c r="C246" i="21"/>
  <c r="D246" i="21"/>
  <c r="B247" i="21"/>
  <c r="C247" i="21"/>
  <c r="D247" i="21"/>
  <c r="B248" i="21"/>
  <c r="C248" i="21"/>
  <c r="D248" i="21"/>
  <c r="B249" i="21"/>
  <c r="C249" i="21"/>
  <c r="D249" i="21"/>
  <c r="B250" i="21"/>
  <c r="C250" i="21"/>
  <c r="D250" i="21"/>
  <c r="B251" i="21"/>
  <c r="C251" i="21"/>
  <c r="D251" i="21"/>
  <c r="B252" i="21"/>
  <c r="C252" i="21"/>
  <c r="D252" i="21"/>
  <c r="B253" i="21"/>
  <c r="C253" i="21"/>
  <c r="D253" i="21"/>
  <c r="B254" i="21"/>
  <c r="C254" i="21"/>
  <c r="D254" i="21"/>
  <c r="B255" i="21"/>
  <c r="C255" i="21"/>
  <c r="D255" i="21"/>
  <c r="B256" i="21"/>
  <c r="C256" i="21"/>
  <c r="D256" i="21"/>
  <c r="B257" i="21"/>
  <c r="C257" i="21"/>
  <c r="D257" i="21"/>
  <c r="B258" i="21"/>
  <c r="C258" i="21"/>
  <c r="D258" i="21"/>
  <c r="E258" i="21" s="1"/>
  <c r="D4" i="21"/>
  <c r="C4" i="21"/>
  <c r="E4" i="21" s="1"/>
  <c r="B4" i="21"/>
  <c r="P159" i="7" l="1"/>
  <c r="Q159" i="7" s="1"/>
  <c r="O160" i="7"/>
  <c r="P135" i="7"/>
  <c r="Q135" i="7" s="1"/>
  <c r="O136" i="7"/>
  <c r="I42" i="7"/>
  <c r="E42" i="7"/>
  <c r="I43" i="7"/>
  <c r="E43" i="7"/>
  <c r="C45" i="7"/>
  <c r="D44" i="7"/>
  <c r="C39" i="7"/>
  <c r="D38" i="7"/>
  <c r="I37" i="7"/>
  <c r="E37" i="7"/>
  <c r="E133" i="21"/>
  <c r="E121" i="21"/>
  <c r="E105" i="21"/>
  <c r="E101" i="21"/>
  <c r="E93" i="21"/>
  <c r="E68" i="21"/>
  <c r="E65" i="21"/>
  <c r="E60" i="21"/>
  <c r="E57" i="21"/>
  <c r="E254" i="21"/>
  <c r="E99" i="21"/>
  <c r="E98" i="21"/>
  <c r="E91" i="21"/>
  <c r="E90" i="21"/>
  <c r="E67" i="21"/>
  <c r="E59" i="21"/>
  <c r="E251" i="21"/>
  <c r="E247" i="21"/>
  <c r="E242" i="21"/>
  <c r="E234" i="21"/>
  <c r="E226" i="21"/>
  <c r="E218" i="21"/>
  <c r="E210" i="21"/>
  <c r="E202" i="21"/>
  <c r="E194" i="21"/>
  <c r="E186" i="21"/>
  <c r="E178" i="21"/>
  <c r="E170" i="21"/>
  <c r="E162" i="21"/>
  <c r="E154" i="21"/>
  <c r="E131" i="21"/>
  <c r="E130" i="21"/>
  <c r="E123" i="21"/>
  <c r="E122" i="21"/>
  <c r="E113" i="21"/>
  <c r="E78" i="21"/>
  <c r="E70" i="21"/>
  <c r="E46" i="21"/>
  <c r="E25" i="21"/>
  <c r="E253" i="21"/>
  <c r="E252" i="21"/>
  <c r="E245" i="21"/>
  <c r="E237" i="21"/>
  <c r="E229" i="21"/>
  <c r="E221" i="21"/>
  <c r="E213" i="21"/>
  <c r="E205" i="21"/>
  <c r="E197" i="21"/>
  <c r="E189" i="21"/>
  <c r="E181" i="21"/>
  <c r="E173" i="21"/>
  <c r="E165" i="21"/>
  <c r="E157" i="21"/>
  <c r="E149" i="21"/>
  <c r="E137" i="21"/>
  <c r="E125" i="21"/>
  <c r="E120" i="21"/>
  <c r="E112" i="21"/>
  <c r="E84" i="21"/>
  <c r="E80" i="21"/>
  <c r="E52" i="21"/>
  <c r="E48" i="21"/>
  <c r="E40" i="21"/>
  <c r="E35" i="21"/>
  <c r="E250" i="21"/>
  <c r="E246" i="21"/>
  <c r="E241" i="21"/>
  <c r="E236" i="21"/>
  <c r="E235" i="21"/>
  <c r="E232" i="21"/>
  <c r="E231" i="21"/>
  <c r="E225" i="21"/>
  <c r="E220" i="21"/>
  <c r="E219" i="21"/>
  <c r="E216" i="21"/>
  <c r="E215" i="21"/>
  <c r="E209" i="21"/>
  <c r="E204" i="21"/>
  <c r="E203" i="21"/>
  <c r="E200" i="21"/>
  <c r="E199" i="21"/>
  <c r="E193" i="21"/>
  <c r="E188" i="21"/>
  <c r="E187" i="21"/>
  <c r="E184" i="21"/>
  <c r="E183" i="21"/>
  <c r="E177" i="21"/>
  <c r="E172" i="21"/>
  <c r="E171" i="21"/>
  <c r="E168" i="21"/>
  <c r="E167" i="21"/>
  <c r="E161" i="21"/>
  <c r="E156" i="21"/>
  <c r="E155" i="21"/>
  <c r="E152" i="21"/>
  <c r="E151" i="21"/>
  <c r="E141" i="21"/>
  <c r="E136" i="21"/>
  <c r="E128" i="21"/>
  <c r="E115" i="21"/>
  <c r="E114" i="21"/>
  <c r="E107" i="21"/>
  <c r="E106" i="21"/>
  <c r="E97" i="21"/>
  <c r="E86" i="21"/>
  <c r="E81" i="21"/>
  <c r="E76" i="21"/>
  <c r="E73" i="21"/>
  <c r="E64" i="21"/>
  <c r="E56" i="21"/>
  <c r="E51" i="21"/>
  <c r="E43" i="21"/>
  <c r="E30" i="21"/>
  <c r="E9" i="21"/>
  <c r="E243" i="21"/>
  <c r="E240" i="21"/>
  <c r="E239" i="21"/>
  <c r="E233" i="21"/>
  <c r="E228" i="21"/>
  <c r="E227" i="21"/>
  <c r="E224" i="21"/>
  <c r="E223" i="21"/>
  <c r="E217" i="21"/>
  <c r="E212" i="21"/>
  <c r="E211" i="21"/>
  <c r="E208" i="21"/>
  <c r="E207" i="21"/>
  <c r="E201" i="21"/>
  <c r="E196" i="21"/>
  <c r="E195" i="21"/>
  <c r="E192" i="21"/>
  <c r="E191" i="21"/>
  <c r="E185" i="21"/>
  <c r="E180" i="21"/>
  <c r="E179" i="21"/>
  <c r="E176" i="21"/>
  <c r="E175" i="21"/>
  <c r="E169" i="21"/>
  <c r="E164" i="21"/>
  <c r="E163" i="21"/>
  <c r="E160" i="21"/>
  <c r="E159" i="21"/>
  <c r="E153" i="21"/>
  <c r="E147" i="21"/>
  <c r="E146" i="21"/>
  <c r="E139" i="21"/>
  <c r="E138" i="21"/>
  <c r="E129" i="21"/>
  <c r="E117" i="21"/>
  <c r="E109" i="21"/>
  <c r="E104" i="21"/>
  <c r="E96" i="21"/>
  <c r="E88" i="21"/>
  <c r="E83" i="21"/>
  <c r="E75" i="21"/>
  <c r="E62" i="21"/>
  <c r="E54" i="21"/>
  <c r="E49" i="21"/>
  <c r="E44" i="21"/>
  <c r="E41" i="21"/>
  <c r="E32" i="21"/>
  <c r="E28" i="21"/>
  <c r="E24" i="21"/>
  <c r="E19" i="21"/>
  <c r="E255" i="21"/>
  <c r="E249" i="21"/>
  <c r="E248" i="21"/>
  <c r="E142" i="21"/>
  <c r="E132" i="21"/>
  <c r="E127" i="21"/>
  <c r="E126" i="21"/>
  <c r="E116" i="21"/>
  <c r="E111" i="21"/>
  <c r="E110" i="21"/>
  <c r="E100" i="21"/>
  <c r="E95" i="21"/>
  <c r="E94" i="21"/>
  <c r="E85" i="21"/>
  <c r="E79" i="21"/>
  <c r="E74" i="21"/>
  <c r="E69" i="21"/>
  <c r="E63" i="21"/>
  <c r="E58" i="21"/>
  <c r="E53" i="21"/>
  <c r="E47" i="21"/>
  <c r="E42" i="21"/>
  <c r="E37" i="21"/>
  <c r="E31" i="21"/>
  <c r="E26" i="21"/>
  <c r="E21" i="21"/>
  <c r="E15" i="21"/>
  <c r="E10" i="21"/>
  <c r="E5" i="21"/>
  <c r="E33" i="21"/>
  <c r="E27" i="21"/>
  <c r="E22" i="21"/>
  <c r="E17" i="21"/>
  <c r="E11" i="21"/>
  <c r="E6" i="21"/>
  <c r="E257" i="21"/>
  <c r="E256" i="21"/>
  <c r="E140" i="21"/>
  <c r="E135" i="21"/>
  <c r="E134" i="21"/>
  <c r="E124" i="21"/>
  <c r="E119" i="21"/>
  <c r="E118" i="21"/>
  <c r="E108" i="21"/>
  <c r="E103" i="21"/>
  <c r="E102" i="21"/>
  <c r="E92" i="21"/>
  <c r="E87" i="21"/>
  <c r="E82" i="21"/>
  <c r="E77" i="21"/>
  <c r="E71" i="21"/>
  <c r="E66" i="21"/>
  <c r="E61" i="21"/>
  <c r="E55" i="21"/>
  <c r="E50" i="21"/>
  <c r="E45" i="21"/>
  <c r="E39" i="21"/>
  <c r="E34" i="21"/>
  <c r="E29" i="21"/>
  <c r="E23" i="21"/>
  <c r="E18" i="21"/>
  <c r="E13" i="21"/>
  <c r="E7" i="21"/>
  <c r="E244" i="21"/>
  <c r="E143" i="21"/>
  <c r="E89" i="21"/>
  <c r="B4" i="8"/>
  <c r="C4" i="8"/>
  <c r="E4" i="8" s="1"/>
  <c r="D4" i="8"/>
  <c r="B5" i="8"/>
  <c r="C5" i="8"/>
  <c r="D5" i="8"/>
  <c r="B6" i="8"/>
  <c r="C6" i="8"/>
  <c r="D6" i="8"/>
  <c r="B7" i="8"/>
  <c r="C7" i="8"/>
  <c r="D7" i="8"/>
  <c r="B8" i="8"/>
  <c r="C8" i="8"/>
  <c r="E8" i="8" s="1"/>
  <c r="D8" i="8"/>
  <c r="B9" i="8"/>
  <c r="C9" i="8"/>
  <c r="D9" i="8"/>
  <c r="B10" i="8"/>
  <c r="C10" i="8"/>
  <c r="E10" i="8" s="1"/>
  <c r="D10" i="8"/>
  <c r="B11" i="8"/>
  <c r="C11" i="8"/>
  <c r="D11" i="8"/>
  <c r="B12" i="8"/>
  <c r="C12" i="8"/>
  <c r="E12" i="8" s="1"/>
  <c r="D12" i="8"/>
  <c r="B13" i="8"/>
  <c r="C13" i="8"/>
  <c r="D13" i="8"/>
  <c r="B14" i="8"/>
  <c r="C14" i="8"/>
  <c r="E14" i="8" s="1"/>
  <c r="D14" i="8"/>
  <c r="B15" i="8"/>
  <c r="C15" i="8"/>
  <c r="D15" i="8"/>
  <c r="B16" i="8"/>
  <c r="C16" i="8"/>
  <c r="E16" i="8" s="1"/>
  <c r="D16" i="8"/>
  <c r="B17" i="8"/>
  <c r="C17" i="8"/>
  <c r="D17" i="8"/>
  <c r="B18" i="8"/>
  <c r="C18" i="8"/>
  <c r="E18" i="8" s="1"/>
  <c r="D18" i="8"/>
  <c r="B19" i="8"/>
  <c r="C19" i="8"/>
  <c r="D19" i="8"/>
  <c r="B20" i="8"/>
  <c r="C20" i="8"/>
  <c r="E20" i="8" s="1"/>
  <c r="D20" i="8"/>
  <c r="B21" i="8"/>
  <c r="C21" i="8"/>
  <c r="D21" i="8"/>
  <c r="B22" i="8"/>
  <c r="C22" i="8"/>
  <c r="E22" i="8" s="1"/>
  <c r="D22" i="8"/>
  <c r="B23" i="8"/>
  <c r="C23" i="8"/>
  <c r="D23" i="8"/>
  <c r="B24" i="8"/>
  <c r="C24" i="8"/>
  <c r="E24" i="8" s="1"/>
  <c r="D24" i="8"/>
  <c r="B25" i="8"/>
  <c r="C25" i="8"/>
  <c r="D25" i="8"/>
  <c r="B26" i="8"/>
  <c r="C26" i="8"/>
  <c r="E26" i="8" s="1"/>
  <c r="D26" i="8"/>
  <c r="B27" i="8"/>
  <c r="C27" i="8"/>
  <c r="D27" i="8"/>
  <c r="B28" i="8"/>
  <c r="C28" i="8"/>
  <c r="E28" i="8" s="1"/>
  <c r="D28" i="8"/>
  <c r="B29" i="8"/>
  <c r="C29" i="8"/>
  <c r="D29" i="8"/>
  <c r="B30" i="8"/>
  <c r="C30" i="8"/>
  <c r="E30" i="8" s="1"/>
  <c r="D30" i="8"/>
  <c r="B31" i="8"/>
  <c r="C31" i="8"/>
  <c r="D31" i="8"/>
  <c r="B32" i="8"/>
  <c r="C32" i="8"/>
  <c r="E32" i="8" s="1"/>
  <c r="D32" i="8"/>
  <c r="B33" i="8"/>
  <c r="C33" i="8"/>
  <c r="D33" i="8"/>
  <c r="B34" i="8"/>
  <c r="C34" i="8"/>
  <c r="E34" i="8" s="1"/>
  <c r="D34" i="8"/>
  <c r="B35" i="8"/>
  <c r="C35" i="8"/>
  <c r="D35" i="8"/>
  <c r="B36" i="8"/>
  <c r="C36" i="8"/>
  <c r="E36" i="8" s="1"/>
  <c r="D36" i="8"/>
  <c r="B37" i="8"/>
  <c r="C37" i="8"/>
  <c r="D37" i="8"/>
  <c r="B38" i="8"/>
  <c r="C38" i="8"/>
  <c r="E38" i="8" s="1"/>
  <c r="D38" i="8"/>
  <c r="B39" i="8"/>
  <c r="C39" i="8"/>
  <c r="D39" i="8"/>
  <c r="B40" i="8"/>
  <c r="C40" i="8"/>
  <c r="E40" i="8" s="1"/>
  <c r="D40" i="8"/>
  <c r="B41" i="8"/>
  <c r="C41" i="8"/>
  <c r="D41" i="8"/>
  <c r="B42" i="8"/>
  <c r="C42" i="8"/>
  <c r="E42" i="8" s="1"/>
  <c r="D42" i="8"/>
  <c r="B43" i="8"/>
  <c r="C43" i="8"/>
  <c r="D43" i="8"/>
  <c r="B44" i="8"/>
  <c r="C44" i="8"/>
  <c r="E44" i="8" s="1"/>
  <c r="D44" i="8"/>
  <c r="B45" i="8"/>
  <c r="C45" i="8"/>
  <c r="D45" i="8"/>
  <c r="B46" i="8"/>
  <c r="C46" i="8"/>
  <c r="E46" i="8" s="1"/>
  <c r="D46" i="8"/>
  <c r="B47" i="8"/>
  <c r="C47" i="8"/>
  <c r="D47" i="8"/>
  <c r="B48" i="8"/>
  <c r="C48" i="8"/>
  <c r="E48" i="8" s="1"/>
  <c r="D48" i="8"/>
  <c r="B49" i="8"/>
  <c r="C49" i="8"/>
  <c r="D49" i="8"/>
  <c r="B50" i="8"/>
  <c r="C50" i="8"/>
  <c r="E50" i="8" s="1"/>
  <c r="D50" i="8"/>
  <c r="B51" i="8"/>
  <c r="C51" i="8"/>
  <c r="D51" i="8"/>
  <c r="B52" i="8"/>
  <c r="C52" i="8"/>
  <c r="E52" i="8" s="1"/>
  <c r="D52" i="8"/>
  <c r="B53" i="8"/>
  <c r="C53" i="8"/>
  <c r="D53" i="8"/>
  <c r="B54" i="8"/>
  <c r="C54" i="8"/>
  <c r="E54" i="8" s="1"/>
  <c r="D54" i="8"/>
  <c r="B55" i="8"/>
  <c r="C55" i="8"/>
  <c r="D55" i="8"/>
  <c r="B56" i="8"/>
  <c r="C56" i="8"/>
  <c r="E56" i="8" s="1"/>
  <c r="D56" i="8"/>
  <c r="B57" i="8"/>
  <c r="C57" i="8"/>
  <c r="D57" i="8"/>
  <c r="B58" i="8"/>
  <c r="C58" i="8"/>
  <c r="E58" i="8" s="1"/>
  <c r="D58" i="8"/>
  <c r="B59" i="8"/>
  <c r="C59" i="8"/>
  <c r="D59" i="8"/>
  <c r="B60" i="8"/>
  <c r="C60" i="8"/>
  <c r="E60" i="8" s="1"/>
  <c r="D60" i="8"/>
  <c r="B61" i="8"/>
  <c r="C61" i="8"/>
  <c r="D61" i="8"/>
  <c r="B62" i="8"/>
  <c r="C62" i="8"/>
  <c r="E62" i="8" s="1"/>
  <c r="D62" i="8"/>
  <c r="B63" i="8"/>
  <c r="C63" i="8"/>
  <c r="D63" i="8"/>
  <c r="B64" i="8"/>
  <c r="C64" i="8"/>
  <c r="E64" i="8" s="1"/>
  <c r="D64" i="8"/>
  <c r="B65" i="8"/>
  <c r="C65" i="8"/>
  <c r="D65" i="8"/>
  <c r="B66" i="8"/>
  <c r="C66" i="8"/>
  <c r="E66" i="8" s="1"/>
  <c r="D66" i="8"/>
  <c r="B67" i="8"/>
  <c r="C67" i="8"/>
  <c r="D67" i="8"/>
  <c r="B68" i="8"/>
  <c r="C68" i="8"/>
  <c r="E68" i="8" s="1"/>
  <c r="D68" i="8"/>
  <c r="B69" i="8"/>
  <c r="C69" i="8"/>
  <c r="D69" i="8"/>
  <c r="B70" i="8"/>
  <c r="C70" i="8"/>
  <c r="E70" i="8" s="1"/>
  <c r="D70" i="8"/>
  <c r="B71" i="8"/>
  <c r="C71" i="8"/>
  <c r="D71" i="8"/>
  <c r="B72" i="8"/>
  <c r="C72" i="8"/>
  <c r="E72" i="8" s="1"/>
  <c r="D72" i="8"/>
  <c r="B73" i="8"/>
  <c r="C73" i="8"/>
  <c r="D73" i="8"/>
  <c r="B74" i="8"/>
  <c r="C74" i="8"/>
  <c r="E74" i="8" s="1"/>
  <c r="D74" i="8"/>
  <c r="B75" i="8"/>
  <c r="C75" i="8"/>
  <c r="D75" i="8"/>
  <c r="B76" i="8"/>
  <c r="C76" i="8"/>
  <c r="E76" i="8" s="1"/>
  <c r="D76" i="8"/>
  <c r="B77" i="8"/>
  <c r="C77" i="8"/>
  <c r="D77" i="8"/>
  <c r="B78" i="8"/>
  <c r="C78" i="8"/>
  <c r="E78" i="8" s="1"/>
  <c r="D78" i="8"/>
  <c r="B79" i="8"/>
  <c r="C79" i="8"/>
  <c r="D79" i="8"/>
  <c r="B80" i="8"/>
  <c r="C80" i="8"/>
  <c r="E80" i="8" s="1"/>
  <c r="D80" i="8"/>
  <c r="B81" i="8"/>
  <c r="C81" i="8"/>
  <c r="D81" i="8"/>
  <c r="B82" i="8"/>
  <c r="C82" i="8"/>
  <c r="E82" i="8" s="1"/>
  <c r="D82" i="8"/>
  <c r="B83" i="8"/>
  <c r="C83" i="8"/>
  <c r="D83" i="8"/>
  <c r="B84" i="8"/>
  <c r="C84" i="8"/>
  <c r="E84" i="8" s="1"/>
  <c r="D84" i="8"/>
  <c r="B85" i="8"/>
  <c r="C85" i="8"/>
  <c r="D85" i="8"/>
  <c r="B86" i="8"/>
  <c r="C86" i="8"/>
  <c r="E86" i="8" s="1"/>
  <c r="D86" i="8"/>
  <c r="B87" i="8"/>
  <c r="C87" i="8"/>
  <c r="D87" i="8"/>
  <c r="B88" i="8"/>
  <c r="C88" i="8"/>
  <c r="E88" i="8" s="1"/>
  <c r="D88" i="8"/>
  <c r="B89" i="8"/>
  <c r="C89" i="8"/>
  <c r="D89" i="8"/>
  <c r="B90" i="8"/>
  <c r="C90" i="8"/>
  <c r="E90" i="8" s="1"/>
  <c r="D90" i="8"/>
  <c r="B91" i="8"/>
  <c r="C91" i="8"/>
  <c r="D91" i="8"/>
  <c r="B92" i="8"/>
  <c r="C92" i="8"/>
  <c r="E92" i="8" s="1"/>
  <c r="D92" i="8"/>
  <c r="B93" i="8"/>
  <c r="C93" i="8"/>
  <c r="D93" i="8"/>
  <c r="B94" i="8"/>
  <c r="C94" i="8"/>
  <c r="E94" i="8" s="1"/>
  <c r="D94" i="8"/>
  <c r="B95" i="8"/>
  <c r="C95" i="8"/>
  <c r="D95" i="8"/>
  <c r="B96" i="8"/>
  <c r="C96" i="8"/>
  <c r="E96" i="8" s="1"/>
  <c r="D96" i="8"/>
  <c r="B97" i="8"/>
  <c r="C97" i="8"/>
  <c r="D97" i="8"/>
  <c r="B98" i="8"/>
  <c r="C98" i="8"/>
  <c r="E98" i="8" s="1"/>
  <c r="D98" i="8"/>
  <c r="B99" i="8"/>
  <c r="C99" i="8"/>
  <c r="D99" i="8"/>
  <c r="B100" i="8"/>
  <c r="C100" i="8"/>
  <c r="E100" i="8" s="1"/>
  <c r="D100" i="8"/>
  <c r="B101" i="8"/>
  <c r="C101" i="8"/>
  <c r="D101" i="8"/>
  <c r="B102" i="8"/>
  <c r="C102" i="8"/>
  <c r="E102" i="8" s="1"/>
  <c r="D102" i="8"/>
  <c r="B103" i="8"/>
  <c r="C103" i="8"/>
  <c r="D103" i="8"/>
  <c r="B104" i="8"/>
  <c r="C104" i="8"/>
  <c r="E104" i="8" s="1"/>
  <c r="D104" i="8"/>
  <c r="B105" i="8"/>
  <c r="C105" i="8"/>
  <c r="D105" i="8"/>
  <c r="B106" i="8"/>
  <c r="C106" i="8"/>
  <c r="E106" i="8" s="1"/>
  <c r="D106" i="8"/>
  <c r="B107" i="8"/>
  <c r="C107" i="8"/>
  <c r="D107" i="8"/>
  <c r="B108" i="8"/>
  <c r="C108" i="8"/>
  <c r="E108" i="8" s="1"/>
  <c r="D108" i="8"/>
  <c r="B109" i="8"/>
  <c r="C109" i="8"/>
  <c r="D109" i="8"/>
  <c r="B110" i="8"/>
  <c r="C110" i="8"/>
  <c r="E110" i="8" s="1"/>
  <c r="D110" i="8"/>
  <c r="B111" i="8"/>
  <c r="C111" i="8"/>
  <c r="D111" i="8"/>
  <c r="B112" i="8"/>
  <c r="C112" i="8"/>
  <c r="E112" i="8" s="1"/>
  <c r="D112" i="8"/>
  <c r="B113" i="8"/>
  <c r="C113" i="8"/>
  <c r="D113" i="8"/>
  <c r="B114" i="8"/>
  <c r="C114" i="8"/>
  <c r="E114" i="8" s="1"/>
  <c r="D114" i="8"/>
  <c r="B115" i="8"/>
  <c r="C115" i="8"/>
  <c r="D115" i="8"/>
  <c r="B116" i="8"/>
  <c r="C116" i="8"/>
  <c r="E116" i="8" s="1"/>
  <c r="D116" i="8"/>
  <c r="B117" i="8"/>
  <c r="C117" i="8"/>
  <c r="D117" i="8"/>
  <c r="B118" i="8"/>
  <c r="C118" i="8"/>
  <c r="E118" i="8" s="1"/>
  <c r="D118" i="8"/>
  <c r="B119" i="8"/>
  <c r="C119" i="8"/>
  <c r="D119" i="8"/>
  <c r="B120" i="8"/>
  <c r="C120" i="8"/>
  <c r="E120" i="8" s="1"/>
  <c r="D120" i="8"/>
  <c r="B121" i="8"/>
  <c r="C121" i="8"/>
  <c r="D121" i="8"/>
  <c r="B122" i="8"/>
  <c r="C122" i="8"/>
  <c r="E122" i="8" s="1"/>
  <c r="D122" i="8"/>
  <c r="B123" i="8"/>
  <c r="C123" i="8"/>
  <c r="D123" i="8"/>
  <c r="B124" i="8"/>
  <c r="C124" i="8"/>
  <c r="E124" i="8" s="1"/>
  <c r="D124" i="8"/>
  <c r="B125" i="8"/>
  <c r="C125" i="8"/>
  <c r="D125" i="8"/>
  <c r="B126" i="8"/>
  <c r="C126" i="8"/>
  <c r="E126" i="8" s="1"/>
  <c r="D126" i="8"/>
  <c r="B127" i="8"/>
  <c r="C127" i="8"/>
  <c r="D127" i="8"/>
  <c r="B128" i="8"/>
  <c r="C128" i="8"/>
  <c r="E128" i="8" s="1"/>
  <c r="D128" i="8"/>
  <c r="B129" i="8"/>
  <c r="C129" i="8"/>
  <c r="D129" i="8"/>
  <c r="B130" i="8"/>
  <c r="C130" i="8"/>
  <c r="E130" i="8" s="1"/>
  <c r="D130" i="8"/>
  <c r="B131" i="8"/>
  <c r="C131" i="8"/>
  <c r="D131" i="8"/>
  <c r="B132" i="8"/>
  <c r="C132" i="8"/>
  <c r="E132" i="8" s="1"/>
  <c r="D132" i="8"/>
  <c r="B133" i="8"/>
  <c r="C133" i="8"/>
  <c r="D133" i="8"/>
  <c r="B134" i="8"/>
  <c r="C134" i="8"/>
  <c r="E134" i="8" s="1"/>
  <c r="D134" i="8"/>
  <c r="B135" i="8"/>
  <c r="C135" i="8"/>
  <c r="D135" i="8"/>
  <c r="B136" i="8"/>
  <c r="C136" i="8"/>
  <c r="E136" i="8" s="1"/>
  <c r="D136" i="8"/>
  <c r="B137" i="8"/>
  <c r="C137" i="8"/>
  <c r="D137" i="8"/>
  <c r="B138" i="8"/>
  <c r="C138" i="8"/>
  <c r="E138" i="8" s="1"/>
  <c r="D138" i="8"/>
  <c r="B139" i="8"/>
  <c r="C139" i="8"/>
  <c r="D139" i="8"/>
  <c r="B140" i="8"/>
  <c r="C140" i="8"/>
  <c r="E140" i="8" s="1"/>
  <c r="D140" i="8"/>
  <c r="B141" i="8"/>
  <c r="C141" i="8"/>
  <c r="D141" i="8"/>
  <c r="B142" i="8"/>
  <c r="C142" i="8"/>
  <c r="E142" i="8" s="1"/>
  <c r="D142" i="8"/>
  <c r="B143" i="8"/>
  <c r="C143" i="8"/>
  <c r="D143" i="8"/>
  <c r="B144" i="8"/>
  <c r="C144" i="8"/>
  <c r="E144" i="8" s="1"/>
  <c r="D144" i="8"/>
  <c r="B145" i="8"/>
  <c r="C145" i="8"/>
  <c r="D145" i="8"/>
  <c r="B146" i="8"/>
  <c r="C146" i="8"/>
  <c r="E146" i="8" s="1"/>
  <c r="D146" i="8"/>
  <c r="B147" i="8"/>
  <c r="C147" i="8"/>
  <c r="D147" i="8"/>
  <c r="B148" i="8"/>
  <c r="C148" i="8"/>
  <c r="E148" i="8" s="1"/>
  <c r="D148" i="8"/>
  <c r="B149" i="8"/>
  <c r="C149" i="8"/>
  <c r="D149" i="8"/>
  <c r="B150" i="8"/>
  <c r="C150" i="8"/>
  <c r="E150" i="8" s="1"/>
  <c r="D150" i="8"/>
  <c r="B151" i="8"/>
  <c r="C151" i="8"/>
  <c r="D151" i="8"/>
  <c r="B152" i="8"/>
  <c r="C152" i="8"/>
  <c r="E152" i="8" s="1"/>
  <c r="D152" i="8"/>
  <c r="B153" i="8"/>
  <c r="C153" i="8"/>
  <c r="D153" i="8"/>
  <c r="B154" i="8"/>
  <c r="C154" i="8"/>
  <c r="E154" i="8" s="1"/>
  <c r="D154" i="8"/>
  <c r="B155" i="8"/>
  <c r="C155" i="8"/>
  <c r="D155" i="8"/>
  <c r="B156" i="8"/>
  <c r="C156" i="8"/>
  <c r="E156" i="8" s="1"/>
  <c r="D156" i="8"/>
  <c r="B157" i="8"/>
  <c r="C157" i="8"/>
  <c r="D157" i="8"/>
  <c r="B158" i="8"/>
  <c r="C158" i="8"/>
  <c r="E158" i="8" s="1"/>
  <c r="D158" i="8"/>
  <c r="B159" i="8"/>
  <c r="C159" i="8"/>
  <c r="D159" i="8"/>
  <c r="B160" i="8"/>
  <c r="C160" i="8"/>
  <c r="E160" i="8" s="1"/>
  <c r="D160" i="8"/>
  <c r="B161" i="8"/>
  <c r="C161" i="8"/>
  <c r="D161" i="8"/>
  <c r="B162" i="8"/>
  <c r="C162" i="8"/>
  <c r="E162" i="8" s="1"/>
  <c r="D162" i="8"/>
  <c r="B163" i="8"/>
  <c r="C163" i="8"/>
  <c r="D163" i="8"/>
  <c r="B164" i="8"/>
  <c r="C164" i="8"/>
  <c r="E164" i="8" s="1"/>
  <c r="D164" i="8"/>
  <c r="B165" i="8"/>
  <c r="C165" i="8"/>
  <c r="D165" i="8"/>
  <c r="B166" i="8"/>
  <c r="C166" i="8"/>
  <c r="E166" i="8" s="1"/>
  <c r="D166" i="8"/>
  <c r="B167" i="8"/>
  <c r="C167" i="8"/>
  <c r="D167" i="8"/>
  <c r="B168" i="8"/>
  <c r="C168" i="8"/>
  <c r="E168" i="8" s="1"/>
  <c r="D168" i="8"/>
  <c r="B169" i="8"/>
  <c r="C169" i="8"/>
  <c r="D169" i="8"/>
  <c r="B170" i="8"/>
  <c r="C170" i="8"/>
  <c r="E170" i="8" s="1"/>
  <c r="D170" i="8"/>
  <c r="B171" i="8"/>
  <c r="C171" i="8"/>
  <c r="D171" i="8"/>
  <c r="B172" i="8"/>
  <c r="C172" i="8"/>
  <c r="E172" i="8" s="1"/>
  <c r="D172" i="8"/>
  <c r="B173" i="8"/>
  <c r="C173" i="8"/>
  <c r="D173" i="8"/>
  <c r="B174" i="8"/>
  <c r="C174" i="8"/>
  <c r="E174" i="8" s="1"/>
  <c r="D174" i="8"/>
  <c r="B175" i="8"/>
  <c r="C175" i="8"/>
  <c r="D175" i="8"/>
  <c r="B176" i="8"/>
  <c r="C176" i="8"/>
  <c r="E176" i="8" s="1"/>
  <c r="D176" i="8"/>
  <c r="B177" i="8"/>
  <c r="C177" i="8"/>
  <c r="D177" i="8"/>
  <c r="B178" i="8"/>
  <c r="C178" i="8"/>
  <c r="E178" i="8" s="1"/>
  <c r="D178" i="8"/>
  <c r="B179" i="8"/>
  <c r="C179" i="8"/>
  <c r="D179" i="8"/>
  <c r="B180" i="8"/>
  <c r="C180" i="8"/>
  <c r="E180" i="8" s="1"/>
  <c r="D180" i="8"/>
  <c r="B181" i="8"/>
  <c r="C181" i="8"/>
  <c r="D181" i="8"/>
  <c r="B182" i="8"/>
  <c r="C182" i="8"/>
  <c r="E182" i="8" s="1"/>
  <c r="D182" i="8"/>
  <c r="B183" i="8"/>
  <c r="C183" i="8"/>
  <c r="D183" i="8"/>
  <c r="B184" i="8"/>
  <c r="C184" i="8"/>
  <c r="E184" i="8" s="1"/>
  <c r="D184" i="8"/>
  <c r="B185" i="8"/>
  <c r="C185" i="8"/>
  <c r="D185" i="8"/>
  <c r="B186" i="8"/>
  <c r="C186" i="8"/>
  <c r="E186" i="8" s="1"/>
  <c r="D186" i="8"/>
  <c r="B187" i="8"/>
  <c r="C187" i="8"/>
  <c r="D187" i="8"/>
  <c r="B188" i="8"/>
  <c r="C188" i="8"/>
  <c r="E188" i="8" s="1"/>
  <c r="D188" i="8"/>
  <c r="B189" i="8"/>
  <c r="C189" i="8"/>
  <c r="D189" i="8"/>
  <c r="B190" i="8"/>
  <c r="C190" i="8"/>
  <c r="E190" i="8" s="1"/>
  <c r="D190" i="8"/>
  <c r="B191" i="8"/>
  <c r="C191" i="8"/>
  <c r="D191" i="8"/>
  <c r="B192" i="8"/>
  <c r="C192" i="8"/>
  <c r="E192" i="8" s="1"/>
  <c r="D192" i="8"/>
  <c r="B193" i="8"/>
  <c r="C193" i="8"/>
  <c r="D193" i="8"/>
  <c r="B194" i="8"/>
  <c r="C194" i="8"/>
  <c r="E194" i="8" s="1"/>
  <c r="D194" i="8"/>
  <c r="B195" i="8"/>
  <c r="C195" i="8"/>
  <c r="D195" i="8"/>
  <c r="B196" i="8"/>
  <c r="C196" i="8"/>
  <c r="E196" i="8" s="1"/>
  <c r="D196" i="8"/>
  <c r="B197" i="8"/>
  <c r="C197" i="8"/>
  <c r="D197" i="8"/>
  <c r="B198" i="8"/>
  <c r="C198" i="8"/>
  <c r="E198" i="8" s="1"/>
  <c r="D198" i="8"/>
  <c r="B199" i="8"/>
  <c r="C199" i="8"/>
  <c r="D199" i="8"/>
  <c r="B200" i="8"/>
  <c r="C200" i="8"/>
  <c r="E200" i="8" s="1"/>
  <c r="D200" i="8"/>
  <c r="B201" i="8"/>
  <c r="C201" i="8"/>
  <c r="D201" i="8"/>
  <c r="B202" i="8"/>
  <c r="C202" i="8"/>
  <c r="E202" i="8" s="1"/>
  <c r="D202" i="8"/>
  <c r="B203" i="8"/>
  <c r="C203" i="8"/>
  <c r="D203" i="8"/>
  <c r="B204" i="8"/>
  <c r="C204" i="8"/>
  <c r="E204" i="8" s="1"/>
  <c r="D204" i="8"/>
  <c r="B205" i="8"/>
  <c r="C205" i="8"/>
  <c r="D205" i="8"/>
  <c r="B206" i="8"/>
  <c r="C206" i="8"/>
  <c r="E206" i="8" s="1"/>
  <c r="D206" i="8"/>
  <c r="B207" i="8"/>
  <c r="C207" i="8"/>
  <c r="D207" i="8"/>
  <c r="B208" i="8"/>
  <c r="C208" i="8"/>
  <c r="E208" i="8" s="1"/>
  <c r="D208" i="8"/>
  <c r="B209" i="8"/>
  <c r="C209" i="8"/>
  <c r="D209" i="8"/>
  <c r="B210" i="8"/>
  <c r="C210" i="8"/>
  <c r="E210" i="8" s="1"/>
  <c r="D210" i="8"/>
  <c r="B211" i="8"/>
  <c r="C211" i="8"/>
  <c r="D211" i="8"/>
  <c r="B212" i="8"/>
  <c r="C212" i="8"/>
  <c r="E212" i="8" s="1"/>
  <c r="D212" i="8"/>
  <c r="B213" i="8"/>
  <c r="C213" i="8"/>
  <c r="D213" i="8"/>
  <c r="B214" i="8"/>
  <c r="C214" i="8"/>
  <c r="E214" i="8" s="1"/>
  <c r="D214" i="8"/>
  <c r="B215" i="8"/>
  <c r="C215" i="8"/>
  <c r="D215" i="8"/>
  <c r="B216" i="8"/>
  <c r="C216" i="8"/>
  <c r="E216" i="8" s="1"/>
  <c r="D216" i="8"/>
  <c r="B217" i="8"/>
  <c r="C217" i="8"/>
  <c r="D217" i="8"/>
  <c r="B218" i="8"/>
  <c r="C218" i="8"/>
  <c r="E218" i="8" s="1"/>
  <c r="D218" i="8"/>
  <c r="B219" i="8"/>
  <c r="C219" i="8"/>
  <c r="D219" i="8"/>
  <c r="B220" i="8"/>
  <c r="C220" i="8"/>
  <c r="E220" i="8" s="1"/>
  <c r="D220" i="8"/>
  <c r="B221" i="8"/>
  <c r="C221" i="8"/>
  <c r="D221" i="8"/>
  <c r="B222" i="8"/>
  <c r="C222" i="8"/>
  <c r="E222" i="8" s="1"/>
  <c r="D222" i="8"/>
  <c r="B223" i="8"/>
  <c r="C223" i="8"/>
  <c r="D223" i="8"/>
  <c r="B224" i="8"/>
  <c r="C224" i="8"/>
  <c r="E224" i="8" s="1"/>
  <c r="D224" i="8"/>
  <c r="B225" i="8"/>
  <c r="C225" i="8"/>
  <c r="D225" i="8"/>
  <c r="B226" i="8"/>
  <c r="C226" i="8"/>
  <c r="E226" i="8" s="1"/>
  <c r="D226" i="8"/>
  <c r="B227" i="8"/>
  <c r="C227" i="8"/>
  <c r="D227" i="8"/>
  <c r="B228" i="8"/>
  <c r="C228" i="8"/>
  <c r="E228" i="8" s="1"/>
  <c r="D228" i="8"/>
  <c r="B229" i="8"/>
  <c r="C229" i="8"/>
  <c r="D229" i="8"/>
  <c r="B230" i="8"/>
  <c r="C230" i="8"/>
  <c r="E230" i="8" s="1"/>
  <c r="D230" i="8"/>
  <c r="B231" i="8"/>
  <c r="C231" i="8"/>
  <c r="D231" i="8"/>
  <c r="B232" i="8"/>
  <c r="C232" i="8"/>
  <c r="E232" i="8" s="1"/>
  <c r="D232" i="8"/>
  <c r="B233" i="8"/>
  <c r="C233" i="8"/>
  <c r="D233" i="8"/>
  <c r="B234" i="8"/>
  <c r="C234" i="8"/>
  <c r="E234" i="8" s="1"/>
  <c r="D234" i="8"/>
  <c r="B235" i="8"/>
  <c r="C235" i="8"/>
  <c r="D235" i="8"/>
  <c r="B236" i="8"/>
  <c r="C236" i="8"/>
  <c r="E236" i="8" s="1"/>
  <c r="D236" i="8"/>
  <c r="B237" i="8"/>
  <c r="C237" i="8"/>
  <c r="D237" i="8"/>
  <c r="B238" i="8"/>
  <c r="C238" i="8"/>
  <c r="E238" i="8" s="1"/>
  <c r="D238" i="8"/>
  <c r="B239" i="8"/>
  <c r="C239" i="8"/>
  <c r="D239" i="8"/>
  <c r="B240" i="8"/>
  <c r="C240" i="8"/>
  <c r="E240" i="8" s="1"/>
  <c r="D240" i="8"/>
  <c r="B241" i="8"/>
  <c r="C241" i="8"/>
  <c r="D241" i="8"/>
  <c r="B242" i="8"/>
  <c r="C242" i="8"/>
  <c r="E242" i="8" s="1"/>
  <c r="D242" i="8"/>
  <c r="B243" i="8"/>
  <c r="C243" i="8"/>
  <c r="D243" i="8"/>
  <c r="B244" i="8"/>
  <c r="C244" i="8"/>
  <c r="E244" i="8" s="1"/>
  <c r="D244" i="8"/>
  <c r="B245" i="8"/>
  <c r="C245" i="8"/>
  <c r="D245" i="8"/>
  <c r="B246" i="8"/>
  <c r="C246" i="8"/>
  <c r="E246" i="8" s="1"/>
  <c r="D246" i="8"/>
  <c r="B247" i="8"/>
  <c r="C247" i="8"/>
  <c r="D247" i="8"/>
  <c r="B248" i="8"/>
  <c r="C248" i="8"/>
  <c r="E248" i="8" s="1"/>
  <c r="D248" i="8"/>
  <c r="B249" i="8"/>
  <c r="C249" i="8"/>
  <c r="D249" i="8"/>
  <c r="B250" i="8"/>
  <c r="C250" i="8"/>
  <c r="E250" i="8" s="1"/>
  <c r="D250" i="8"/>
  <c r="B251" i="8"/>
  <c r="C251" i="8"/>
  <c r="D251" i="8"/>
  <c r="B252" i="8"/>
  <c r="C252" i="8"/>
  <c r="E252" i="8" s="1"/>
  <c r="D252" i="8"/>
  <c r="B253" i="8"/>
  <c r="C253" i="8"/>
  <c r="D253" i="8"/>
  <c r="B254" i="8"/>
  <c r="C254" i="8"/>
  <c r="E254" i="8" s="1"/>
  <c r="D254" i="8"/>
  <c r="B255" i="8"/>
  <c r="C255" i="8"/>
  <c r="D255" i="8"/>
  <c r="B256" i="8"/>
  <c r="C256" i="8"/>
  <c r="E256" i="8" s="1"/>
  <c r="D256" i="8"/>
  <c r="B257" i="8"/>
  <c r="C257" i="8"/>
  <c r="D257" i="8"/>
  <c r="D3" i="8"/>
  <c r="E3" i="8" s="1"/>
  <c r="C3" i="8"/>
  <c r="B3" i="8"/>
  <c r="O161" i="7" l="1"/>
  <c r="P160" i="7"/>
  <c r="Q160" i="7" s="1"/>
  <c r="P136" i="7"/>
  <c r="Q136" i="7" s="1"/>
  <c r="O137" i="7"/>
  <c r="E44" i="7"/>
  <c r="I44" i="7"/>
  <c r="C46" i="7"/>
  <c r="D46" i="7" s="1"/>
  <c r="D45" i="7"/>
  <c r="E38" i="7"/>
  <c r="I38" i="7"/>
  <c r="C40" i="7"/>
  <c r="D39" i="7"/>
  <c r="E257" i="8"/>
  <c r="E253" i="8"/>
  <c r="E249" i="8"/>
  <c r="E245" i="8"/>
  <c r="E241" i="8"/>
  <c r="E237" i="8"/>
  <c r="E233" i="8"/>
  <c r="E229" i="8"/>
  <c r="E225" i="8"/>
  <c r="E221" i="8"/>
  <c r="E217" i="8"/>
  <c r="E213" i="8"/>
  <c r="E209" i="8"/>
  <c r="E205" i="8"/>
  <c r="E201" i="8"/>
  <c r="E197" i="8"/>
  <c r="E193" i="8"/>
  <c r="E189" i="8"/>
  <c r="E185" i="8"/>
  <c r="E181" i="8"/>
  <c r="E177" i="8"/>
  <c r="E173" i="8"/>
  <c r="E169" i="8"/>
  <c r="E165" i="8"/>
  <c r="E161" i="8"/>
  <c r="E157" i="8"/>
  <c r="E153" i="8"/>
  <c r="E149" i="8"/>
  <c r="E145" i="8"/>
  <c r="E141" i="8"/>
  <c r="E137" i="8"/>
  <c r="E133" i="8"/>
  <c r="E129" i="8"/>
  <c r="E125" i="8"/>
  <c r="E121" i="8"/>
  <c r="E117" i="8"/>
  <c r="E113" i="8"/>
  <c r="E109" i="8"/>
  <c r="E105" i="8"/>
  <c r="E101" i="8"/>
  <c r="E97" i="8"/>
  <c r="E93" i="8"/>
  <c r="E89" i="8"/>
  <c r="E85" i="8"/>
  <c r="E81" i="8"/>
  <c r="E77" i="8"/>
  <c r="E73" i="8"/>
  <c r="E69" i="8"/>
  <c r="E65" i="8"/>
  <c r="E61" i="8"/>
  <c r="E57" i="8"/>
  <c r="E53" i="8"/>
  <c r="E49" i="8"/>
  <c r="E45" i="8"/>
  <c r="E41" i="8"/>
  <c r="E37" i="8"/>
  <c r="E33" i="8"/>
  <c r="E29" i="8"/>
  <c r="E25" i="8"/>
  <c r="E21" i="8"/>
  <c r="E17" i="8"/>
  <c r="E13" i="8"/>
  <c r="E9" i="8"/>
  <c r="E5" i="8"/>
  <c r="E6" i="8"/>
  <c r="E255" i="8"/>
  <c r="E251" i="8"/>
  <c r="E247" i="8"/>
  <c r="E243" i="8"/>
  <c r="E239" i="8"/>
  <c r="E235" i="8"/>
  <c r="E231" i="8"/>
  <c r="E227" i="8"/>
  <c r="E223" i="8"/>
  <c r="E219" i="8"/>
  <c r="E215" i="8"/>
  <c r="E211" i="8"/>
  <c r="E207" i="8"/>
  <c r="E203" i="8"/>
  <c r="E199" i="8"/>
  <c r="E195" i="8"/>
  <c r="E191" i="8"/>
  <c r="E187" i="8"/>
  <c r="E183" i="8"/>
  <c r="E179" i="8"/>
  <c r="E175" i="8"/>
  <c r="E171" i="8"/>
  <c r="E167" i="8"/>
  <c r="E163" i="8"/>
  <c r="E159" i="8"/>
  <c r="E155" i="8"/>
  <c r="E151" i="8"/>
  <c r="E147" i="8"/>
  <c r="E143" i="8"/>
  <c r="E139" i="8"/>
  <c r="E135" i="8"/>
  <c r="E131" i="8"/>
  <c r="E127" i="8"/>
  <c r="E123" i="8"/>
  <c r="E119" i="8"/>
  <c r="E115" i="8"/>
  <c r="E111" i="8"/>
  <c r="E107" i="8"/>
  <c r="E103" i="8"/>
  <c r="E99" i="8"/>
  <c r="E95" i="8"/>
  <c r="E91" i="8"/>
  <c r="E87" i="8"/>
  <c r="E83" i="8"/>
  <c r="E79" i="8"/>
  <c r="E75" i="8"/>
  <c r="E71" i="8"/>
  <c r="E67" i="8"/>
  <c r="E63" i="8"/>
  <c r="E59" i="8"/>
  <c r="E55" i="8"/>
  <c r="E51" i="8"/>
  <c r="E47" i="8"/>
  <c r="E43" i="8"/>
  <c r="E39" i="8"/>
  <c r="E35" i="8"/>
  <c r="E31" i="8"/>
  <c r="E27" i="8"/>
  <c r="E23" i="8"/>
  <c r="E19" i="8"/>
  <c r="E15" i="8"/>
  <c r="E11" i="8"/>
  <c r="E7" i="8"/>
  <c r="P161" i="7" l="1"/>
  <c r="Q161" i="7" s="1"/>
  <c r="O162" i="7"/>
  <c r="P137" i="7"/>
  <c r="Q137" i="7" s="1"/>
  <c r="O138" i="7"/>
  <c r="E45" i="7"/>
  <c r="I45" i="7"/>
  <c r="I46" i="7"/>
  <c r="E46" i="7"/>
  <c r="E39" i="7"/>
  <c r="I39" i="7"/>
  <c r="C41" i="7"/>
  <c r="D41" i="7" s="1"/>
  <c r="D40" i="7"/>
  <c r="I6" i="4"/>
  <c r="P162" i="7" l="1"/>
  <c r="Q162" i="7" s="1"/>
  <c r="O163" i="7"/>
  <c r="P138" i="7"/>
  <c r="Q138" i="7" s="1"/>
  <c r="O139" i="7"/>
  <c r="G42" i="7"/>
  <c r="I40" i="7"/>
  <c r="E40" i="7"/>
  <c r="I41" i="7"/>
  <c r="E41" i="7"/>
  <c r="C2" i="7"/>
  <c r="D2" i="7" s="1"/>
  <c r="I2" i="7" s="1"/>
  <c r="P163" i="7" l="1"/>
  <c r="Q163" i="7" s="1"/>
  <c r="O164" i="7"/>
  <c r="P139" i="7"/>
  <c r="Q139" i="7" s="1"/>
  <c r="O140" i="7"/>
  <c r="G37" i="7"/>
  <c r="C3" i="7"/>
  <c r="D3" i="7" s="1"/>
  <c r="I3" i="7" s="1"/>
  <c r="C4" i="7"/>
  <c r="O165" i="7" l="1"/>
  <c r="P164" i="7"/>
  <c r="Q164" i="7" s="1"/>
  <c r="P140" i="7"/>
  <c r="Q140" i="7" s="1"/>
  <c r="O141" i="7"/>
  <c r="D4" i="7"/>
  <c r="I4" i="7" s="1"/>
  <c r="C5" i="7"/>
  <c r="P165" i="7" l="1"/>
  <c r="Q165" i="7" s="1"/>
  <c r="O166" i="7"/>
  <c r="P141" i="7"/>
  <c r="Q141" i="7" s="1"/>
  <c r="O142" i="7"/>
  <c r="D5" i="7"/>
  <c r="I5" i="7" s="1"/>
  <c r="C6" i="7"/>
  <c r="D6" i="7" s="1"/>
  <c r="I6" i="7" s="1"/>
  <c r="P166" i="7" l="1"/>
  <c r="Q166" i="7" s="1"/>
  <c r="O167" i="7"/>
  <c r="P142" i="7"/>
  <c r="Q142" i="7" s="1"/>
  <c r="O143" i="7"/>
  <c r="AF5" i="8"/>
  <c r="AF9" i="8"/>
  <c r="AF13" i="8"/>
  <c r="AF17" i="8"/>
  <c r="AF21" i="8"/>
  <c r="AF25" i="8"/>
  <c r="AF29" i="8"/>
  <c r="AF33" i="8"/>
  <c r="AF37" i="8"/>
  <c r="AF41" i="8"/>
  <c r="AF45" i="8"/>
  <c r="AF49" i="8"/>
  <c r="AF53" i="8"/>
  <c r="AF57" i="8"/>
  <c r="AF61" i="8"/>
  <c r="AF6" i="8"/>
  <c r="AF10" i="8"/>
  <c r="AF14" i="8"/>
  <c r="AF18" i="8"/>
  <c r="AF22" i="8"/>
  <c r="AF26" i="8"/>
  <c r="AF30" i="8"/>
  <c r="AF34" i="8"/>
  <c r="AF38" i="8"/>
  <c r="AF46" i="8"/>
  <c r="AF50" i="8"/>
  <c r="AF54" i="8"/>
  <c r="AF58" i="8"/>
  <c r="AF62" i="8"/>
  <c r="AF7" i="8"/>
  <c r="AF11" i="8"/>
  <c r="AF15" i="8"/>
  <c r="AF19" i="8"/>
  <c r="AF23" i="8"/>
  <c r="AF27" i="8"/>
  <c r="AF31" i="8"/>
  <c r="AF35" i="8"/>
  <c r="AF39" i="8"/>
  <c r="AF43" i="8"/>
  <c r="AF47" i="8"/>
  <c r="AF51" i="8"/>
  <c r="AF59" i="8"/>
  <c r="AF3" i="8"/>
  <c r="AF4" i="8"/>
  <c r="AF8" i="8"/>
  <c r="AF12" i="8"/>
  <c r="AF16" i="8"/>
  <c r="AF20" i="8"/>
  <c r="AF28" i="8"/>
  <c r="AF36" i="8"/>
  <c r="AF40" i="8"/>
  <c r="AF44" i="8"/>
  <c r="AF48" i="8"/>
  <c r="AF52" i="8"/>
  <c r="AF56" i="8"/>
  <c r="AF60" i="8"/>
  <c r="F5285" i="1"/>
  <c r="E5285" i="1"/>
  <c r="D5285" i="1"/>
  <c r="F5284" i="1"/>
  <c r="E5284" i="1"/>
  <c r="D5284" i="1"/>
  <c r="F5283" i="1"/>
  <c r="E5283" i="1"/>
  <c r="D5283" i="1"/>
  <c r="F5282" i="1"/>
  <c r="E5282" i="1"/>
  <c r="D5282" i="1"/>
  <c r="F5281" i="1"/>
  <c r="E5281" i="1"/>
  <c r="D5281" i="1"/>
  <c r="F5280" i="1"/>
  <c r="E5280" i="1"/>
  <c r="D5280" i="1"/>
  <c r="F5279" i="1"/>
  <c r="E5279" i="1"/>
  <c r="D5279" i="1"/>
  <c r="F5278" i="1"/>
  <c r="E5278" i="1"/>
  <c r="D5278" i="1"/>
  <c r="F5277" i="1"/>
  <c r="E5277" i="1"/>
  <c r="D5277" i="1"/>
  <c r="F5276" i="1"/>
  <c r="E5276" i="1"/>
  <c r="D5276" i="1"/>
  <c r="F5275" i="1"/>
  <c r="E5275" i="1"/>
  <c r="D5275" i="1"/>
  <c r="F5274" i="1"/>
  <c r="E5274" i="1"/>
  <c r="D5274" i="1"/>
  <c r="F5273" i="1"/>
  <c r="E5273" i="1"/>
  <c r="D5273" i="1"/>
  <c r="F5272" i="1"/>
  <c r="E5272" i="1"/>
  <c r="D5272" i="1"/>
  <c r="F5271" i="1"/>
  <c r="E5271" i="1"/>
  <c r="D5271" i="1"/>
  <c r="F5270" i="1"/>
  <c r="E5270" i="1"/>
  <c r="D5270" i="1"/>
  <c r="F5269" i="1"/>
  <c r="E5269" i="1"/>
  <c r="D5269" i="1"/>
  <c r="F5268" i="1"/>
  <c r="E5268" i="1"/>
  <c r="D5268" i="1"/>
  <c r="F5267" i="1"/>
  <c r="E5267" i="1"/>
  <c r="D5267" i="1"/>
  <c r="F5266" i="1"/>
  <c r="E5266" i="1"/>
  <c r="D5266" i="1"/>
  <c r="F5265" i="1"/>
  <c r="E5265" i="1"/>
  <c r="D5265" i="1"/>
  <c r="F5264" i="1"/>
  <c r="E5264" i="1"/>
  <c r="D5264" i="1"/>
  <c r="F5263" i="1"/>
  <c r="E5263" i="1"/>
  <c r="D5263" i="1"/>
  <c r="F5262" i="1"/>
  <c r="E5262" i="1"/>
  <c r="D5262" i="1"/>
  <c r="F5261" i="1"/>
  <c r="E5261" i="1"/>
  <c r="D5261" i="1"/>
  <c r="F5260" i="1"/>
  <c r="E5260" i="1"/>
  <c r="D5260" i="1"/>
  <c r="F5259" i="1"/>
  <c r="E5259" i="1"/>
  <c r="D5259" i="1"/>
  <c r="F5258" i="1"/>
  <c r="E5258" i="1"/>
  <c r="D5258" i="1"/>
  <c r="F5257" i="1"/>
  <c r="E5257" i="1"/>
  <c r="D5257" i="1"/>
  <c r="F5256" i="1"/>
  <c r="E5256" i="1"/>
  <c r="D5256" i="1"/>
  <c r="F5255" i="1"/>
  <c r="E5255" i="1"/>
  <c r="D5255" i="1"/>
  <c r="F5254" i="1"/>
  <c r="E5254" i="1"/>
  <c r="D5254" i="1"/>
  <c r="F5253" i="1"/>
  <c r="E5253" i="1"/>
  <c r="D5253" i="1"/>
  <c r="F5252" i="1"/>
  <c r="E5252" i="1"/>
  <c r="D5252" i="1"/>
  <c r="F5251" i="1"/>
  <c r="E5251" i="1"/>
  <c r="D5251" i="1"/>
  <c r="F5250" i="1"/>
  <c r="E5250" i="1"/>
  <c r="D5250" i="1"/>
  <c r="F5249" i="1"/>
  <c r="E5249" i="1"/>
  <c r="D5249" i="1"/>
  <c r="F5248" i="1"/>
  <c r="E5248" i="1"/>
  <c r="D5248" i="1"/>
  <c r="F5247" i="1"/>
  <c r="E5247" i="1"/>
  <c r="D5247" i="1"/>
  <c r="F5246" i="1"/>
  <c r="E5246" i="1"/>
  <c r="D5246" i="1"/>
  <c r="F5245" i="1"/>
  <c r="E5245" i="1"/>
  <c r="D5245" i="1"/>
  <c r="F5244" i="1"/>
  <c r="E5244" i="1"/>
  <c r="D5244" i="1"/>
  <c r="F5243" i="1"/>
  <c r="E5243" i="1"/>
  <c r="D5243" i="1"/>
  <c r="F5242" i="1"/>
  <c r="E5242" i="1"/>
  <c r="D5242" i="1"/>
  <c r="F5241" i="1"/>
  <c r="E5241" i="1"/>
  <c r="D5241" i="1"/>
  <c r="F5240" i="1"/>
  <c r="E5240" i="1"/>
  <c r="D5240" i="1"/>
  <c r="F5239" i="1"/>
  <c r="E5239" i="1"/>
  <c r="D5239" i="1"/>
  <c r="F5238" i="1"/>
  <c r="E5238" i="1"/>
  <c r="D5238" i="1"/>
  <c r="F5237" i="1"/>
  <c r="E5237" i="1"/>
  <c r="D5237" i="1"/>
  <c r="F5236" i="1"/>
  <c r="E5236" i="1"/>
  <c r="D5236" i="1"/>
  <c r="F5235" i="1"/>
  <c r="E5235" i="1"/>
  <c r="D5235" i="1"/>
  <c r="F5234" i="1"/>
  <c r="E5234" i="1"/>
  <c r="D5234" i="1"/>
  <c r="F5233" i="1"/>
  <c r="E5233" i="1"/>
  <c r="D5233" i="1"/>
  <c r="F5232" i="1"/>
  <c r="E5232" i="1"/>
  <c r="D5232" i="1"/>
  <c r="F5231" i="1"/>
  <c r="E5231" i="1"/>
  <c r="D5231" i="1"/>
  <c r="F5230" i="1"/>
  <c r="E5230" i="1"/>
  <c r="D5230" i="1"/>
  <c r="F5229" i="1"/>
  <c r="E5229" i="1"/>
  <c r="D5229" i="1"/>
  <c r="F5228" i="1"/>
  <c r="E5228" i="1"/>
  <c r="D5228" i="1"/>
  <c r="F5227" i="1"/>
  <c r="E5227" i="1"/>
  <c r="D5227" i="1"/>
  <c r="F5226" i="1"/>
  <c r="E5226" i="1"/>
  <c r="D5226" i="1"/>
  <c r="F5225" i="1"/>
  <c r="E5225" i="1"/>
  <c r="D5225" i="1"/>
  <c r="F5224" i="1"/>
  <c r="E5224" i="1"/>
  <c r="D5224" i="1"/>
  <c r="F5223" i="1"/>
  <c r="E5223" i="1"/>
  <c r="D5223" i="1"/>
  <c r="F5222" i="1"/>
  <c r="E5222" i="1"/>
  <c r="D5222" i="1"/>
  <c r="F5221" i="1"/>
  <c r="E5221" i="1"/>
  <c r="D5221" i="1"/>
  <c r="F5220" i="1"/>
  <c r="E5220" i="1"/>
  <c r="D5220" i="1"/>
  <c r="F5219" i="1"/>
  <c r="E5219" i="1"/>
  <c r="D5219" i="1"/>
  <c r="F5218" i="1"/>
  <c r="E5218" i="1"/>
  <c r="D5218" i="1"/>
  <c r="F5217" i="1"/>
  <c r="E5217" i="1"/>
  <c r="D5217" i="1"/>
  <c r="F5216" i="1"/>
  <c r="E5216" i="1"/>
  <c r="D5216" i="1"/>
  <c r="F5215" i="1"/>
  <c r="E5215" i="1"/>
  <c r="D5215" i="1"/>
  <c r="F5214" i="1"/>
  <c r="E5214" i="1"/>
  <c r="D5214" i="1"/>
  <c r="F5213" i="1"/>
  <c r="E5213" i="1"/>
  <c r="D5213" i="1"/>
  <c r="F5212" i="1"/>
  <c r="E5212" i="1"/>
  <c r="D5212" i="1"/>
  <c r="F5211" i="1"/>
  <c r="E5211" i="1"/>
  <c r="D5211" i="1"/>
  <c r="F5210" i="1"/>
  <c r="E5210" i="1"/>
  <c r="D5210" i="1"/>
  <c r="F5209" i="1"/>
  <c r="E5209" i="1"/>
  <c r="D5209" i="1"/>
  <c r="F5208" i="1"/>
  <c r="E5208" i="1"/>
  <c r="D5208" i="1"/>
  <c r="F5207" i="1"/>
  <c r="E5207" i="1"/>
  <c r="D5207" i="1"/>
  <c r="F5206" i="1"/>
  <c r="E5206" i="1"/>
  <c r="D5206" i="1"/>
  <c r="F5205" i="1"/>
  <c r="E5205" i="1"/>
  <c r="D5205" i="1"/>
  <c r="F5204" i="1"/>
  <c r="E5204" i="1"/>
  <c r="D5204" i="1"/>
  <c r="F5203" i="1"/>
  <c r="E5203" i="1"/>
  <c r="D5203" i="1"/>
  <c r="F5202" i="1"/>
  <c r="E5202" i="1"/>
  <c r="D5202" i="1"/>
  <c r="F5201" i="1"/>
  <c r="E5201" i="1"/>
  <c r="D5201" i="1"/>
  <c r="F5200" i="1"/>
  <c r="E5200" i="1"/>
  <c r="D5200" i="1"/>
  <c r="F5199" i="1"/>
  <c r="E5199" i="1"/>
  <c r="D5199" i="1"/>
  <c r="F5198" i="1"/>
  <c r="E5198" i="1"/>
  <c r="D5198" i="1"/>
  <c r="F5197" i="1"/>
  <c r="E5197" i="1"/>
  <c r="D5197" i="1"/>
  <c r="F5196" i="1"/>
  <c r="E5196" i="1"/>
  <c r="D5196" i="1"/>
  <c r="F5195" i="1"/>
  <c r="E5195" i="1"/>
  <c r="D5195" i="1"/>
  <c r="F5194" i="1"/>
  <c r="E5194" i="1"/>
  <c r="D5194" i="1"/>
  <c r="F5193" i="1"/>
  <c r="E5193" i="1"/>
  <c r="D5193" i="1"/>
  <c r="F5192" i="1"/>
  <c r="E5192" i="1"/>
  <c r="D5192" i="1"/>
  <c r="F5191" i="1"/>
  <c r="E5191" i="1"/>
  <c r="D5191" i="1"/>
  <c r="F5190" i="1"/>
  <c r="E5190" i="1"/>
  <c r="D5190" i="1"/>
  <c r="F5189" i="1"/>
  <c r="E5189" i="1"/>
  <c r="D5189" i="1"/>
  <c r="F5188" i="1"/>
  <c r="E5188" i="1"/>
  <c r="D5188" i="1"/>
  <c r="F5187" i="1"/>
  <c r="E5187" i="1"/>
  <c r="D5187" i="1"/>
  <c r="F5186" i="1"/>
  <c r="E5186" i="1"/>
  <c r="D5186" i="1"/>
  <c r="F5185" i="1"/>
  <c r="E5185" i="1"/>
  <c r="D5185" i="1"/>
  <c r="F5184" i="1"/>
  <c r="E5184" i="1"/>
  <c r="D5184" i="1"/>
  <c r="F5183" i="1"/>
  <c r="E5183" i="1"/>
  <c r="D5183" i="1"/>
  <c r="F5182" i="1"/>
  <c r="E5182" i="1"/>
  <c r="D5182" i="1"/>
  <c r="F5181" i="1"/>
  <c r="E5181" i="1"/>
  <c r="D5181" i="1"/>
  <c r="F5180" i="1"/>
  <c r="E5180" i="1"/>
  <c r="D5180" i="1"/>
  <c r="F5179" i="1"/>
  <c r="E5179" i="1"/>
  <c r="D5179" i="1"/>
  <c r="F5178" i="1"/>
  <c r="E5178" i="1"/>
  <c r="D5178" i="1"/>
  <c r="F5177" i="1"/>
  <c r="E5177" i="1"/>
  <c r="D5177" i="1"/>
  <c r="F5176" i="1"/>
  <c r="E5176" i="1"/>
  <c r="D5176" i="1"/>
  <c r="F5175" i="1"/>
  <c r="E5175" i="1"/>
  <c r="D5175" i="1"/>
  <c r="F5174" i="1"/>
  <c r="E5174" i="1"/>
  <c r="D5174" i="1"/>
  <c r="F5173" i="1"/>
  <c r="E5173" i="1"/>
  <c r="D5173" i="1"/>
  <c r="F5172" i="1"/>
  <c r="E5172" i="1"/>
  <c r="D5172" i="1"/>
  <c r="F5171" i="1"/>
  <c r="E5171" i="1"/>
  <c r="D5171" i="1"/>
  <c r="F5170" i="1"/>
  <c r="E5170" i="1"/>
  <c r="D5170" i="1"/>
  <c r="F5169" i="1"/>
  <c r="E5169" i="1"/>
  <c r="D5169" i="1"/>
  <c r="F5168" i="1"/>
  <c r="E5168" i="1"/>
  <c r="D5168" i="1"/>
  <c r="F5167" i="1"/>
  <c r="E5167" i="1"/>
  <c r="D5167" i="1"/>
  <c r="F5166" i="1"/>
  <c r="E5166" i="1"/>
  <c r="D5166" i="1"/>
  <c r="F5165" i="1"/>
  <c r="E5165" i="1"/>
  <c r="D5165" i="1"/>
  <c r="F5164" i="1"/>
  <c r="E5164" i="1"/>
  <c r="D5164" i="1"/>
  <c r="F5163" i="1"/>
  <c r="E5163" i="1"/>
  <c r="D5163" i="1"/>
  <c r="F5162" i="1"/>
  <c r="E5162" i="1"/>
  <c r="D5162" i="1"/>
  <c r="F5161" i="1"/>
  <c r="E5161" i="1"/>
  <c r="D5161" i="1"/>
  <c r="F5160" i="1"/>
  <c r="E5160" i="1"/>
  <c r="D5160" i="1"/>
  <c r="F5159" i="1"/>
  <c r="E5159" i="1"/>
  <c r="D5159" i="1"/>
  <c r="F5158" i="1"/>
  <c r="E5158" i="1"/>
  <c r="D5158" i="1"/>
  <c r="F5157" i="1"/>
  <c r="E5157" i="1"/>
  <c r="D5157" i="1"/>
  <c r="F5156" i="1"/>
  <c r="E5156" i="1"/>
  <c r="D5156" i="1"/>
  <c r="F5155" i="1"/>
  <c r="E5155" i="1"/>
  <c r="D5155" i="1"/>
  <c r="F5154" i="1"/>
  <c r="E5154" i="1"/>
  <c r="D5154" i="1"/>
  <c r="F5153" i="1"/>
  <c r="E5153" i="1"/>
  <c r="D5153" i="1"/>
  <c r="F5152" i="1"/>
  <c r="E5152" i="1"/>
  <c r="D5152" i="1"/>
  <c r="F5151" i="1"/>
  <c r="E5151" i="1"/>
  <c r="D5151" i="1"/>
  <c r="F5150" i="1"/>
  <c r="E5150" i="1"/>
  <c r="D5150" i="1"/>
  <c r="F5149" i="1"/>
  <c r="E5149" i="1"/>
  <c r="D5149" i="1"/>
  <c r="F5148" i="1"/>
  <c r="E5148" i="1"/>
  <c r="D5148" i="1"/>
  <c r="F5147" i="1"/>
  <c r="E5147" i="1"/>
  <c r="D5147" i="1"/>
  <c r="F5146" i="1"/>
  <c r="E5146" i="1"/>
  <c r="D5146" i="1"/>
  <c r="F5145" i="1"/>
  <c r="E5145" i="1"/>
  <c r="D5145" i="1"/>
  <c r="F5144" i="1"/>
  <c r="E5144" i="1"/>
  <c r="D5144" i="1"/>
  <c r="F5143" i="1"/>
  <c r="E5143" i="1"/>
  <c r="D5143" i="1"/>
  <c r="F5142" i="1"/>
  <c r="E5142" i="1"/>
  <c r="D5142" i="1"/>
  <c r="F5141" i="1"/>
  <c r="E5141" i="1"/>
  <c r="D5141" i="1"/>
  <c r="F5140" i="1"/>
  <c r="E5140" i="1"/>
  <c r="D5140" i="1"/>
  <c r="F5139" i="1"/>
  <c r="E5139" i="1"/>
  <c r="D5139" i="1"/>
  <c r="F5138" i="1"/>
  <c r="E5138" i="1"/>
  <c r="D5138" i="1"/>
  <c r="F5137" i="1"/>
  <c r="E5137" i="1"/>
  <c r="D5137" i="1"/>
  <c r="F5136" i="1"/>
  <c r="E5136" i="1"/>
  <c r="D5136" i="1"/>
  <c r="F5135" i="1"/>
  <c r="E5135" i="1"/>
  <c r="D5135" i="1"/>
  <c r="F5134" i="1"/>
  <c r="E5134" i="1"/>
  <c r="D5134" i="1"/>
  <c r="F5133" i="1"/>
  <c r="E5133" i="1"/>
  <c r="D5133" i="1"/>
  <c r="F5132" i="1"/>
  <c r="E5132" i="1"/>
  <c r="D5132" i="1"/>
  <c r="F5131" i="1"/>
  <c r="E5131" i="1"/>
  <c r="D5131" i="1"/>
  <c r="F5130" i="1"/>
  <c r="E5130" i="1"/>
  <c r="D5130" i="1"/>
  <c r="F5129" i="1"/>
  <c r="E5129" i="1"/>
  <c r="D5129" i="1"/>
  <c r="F5128" i="1"/>
  <c r="E5128" i="1"/>
  <c r="D5128" i="1"/>
  <c r="F5127" i="1"/>
  <c r="E5127" i="1"/>
  <c r="D5127" i="1"/>
  <c r="F5126" i="1"/>
  <c r="E5126" i="1"/>
  <c r="D5126" i="1"/>
  <c r="F5125" i="1"/>
  <c r="E5125" i="1"/>
  <c r="D5125" i="1"/>
  <c r="F5124" i="1"/>
  <c r="E5124" i="1"/>
  <c r="D5124" i="1"/>
  <c r="F5123" i="1"/>
  <c r="E5123" i="1"/>
  <c r="D5123" i="1"/>
  <c r="F5122" i="1"/>
  <c r="E5122" i="1"/>
  <c r="D5122" i="1"/>
  <c r="F5121" i="1"/>
  <c r="E5121" i="1"/>
  <c r="D5121" i="1"/>
  <c r="F5120" i="1"/>
  <c r="E5120" i="1"/>
  <c r="D5120" i="1"/>
  <c r="F5119" i="1"/>
  <c r="E5119" i="1"/>
  <c r="D5119" i="1"/>
  <c r="F5118" i="1"/>
  <c r="E5118" i="1"/>
  <c r="D5118" i="1"/>
  <c r="F5117" i="1"/>
  <c r="E5117" i="1"/>
  <c r="D5117" i="1"/>
  <c r="F5116" i="1"/>
  <c r="E5116" i="1"/>
  <c r="D5116" i="1"/>
  <c r="F5115" i="1"/>
  <c r="E5115" i="1"/>
  <c r="D5115" i="1"/>
  <c r="F5114" i="1"/>
  <c r="E5114" i="1"/>
  <c r="D5114" i="1"/>
  <c r="F5113" i="1"/>
  <c r="E5113" i="1"/>
  <c r="D5113" i="1"/>
  <c r="F5112" i="1"/>
  <c r="E5112" i="1"/>
  <c r="D5112" i="1"/>
  <c r="F5111" i="1"/>
  <c r="E5111" i="1"/>
  <c r="D5111" i="1"/>
  <c r="F5110" i="1"/>
  <c r="E5110" i="1"/>
  <c r="D5110" i="1"/>
  <c r="F5109" i="1"/>
  <c r="E5109" i="1"/>
  <c r="D5109" i="1"/>
  <c r="F5108" i="1"/>
  <c r="E5108" i="1"/>
  <c r="D5108" i="1"/>
  <c r="F5107" i="1"/>
  <c r="E5107" i="1"/>
  <c r="D5107" i="1"/>
  <c r="F5106" i="1"/>
  <c r="E5106" i="1"/>
  <c r="D5106" i="1"/>
  <c r="F5105" i="1"/>
  <c r="E5105" i="1"/>
  <c r="D5105" i="1"/>
  <c r="F5104" i="1"/>
  <c r="E5104" i="1"/>
  <c r="D5104" i="1"/>
  <c r="F5103" i="1"/>
  <c r="E5103" i="1"/>
  <c r="D5103" i="1"/>
  <c r="F5102" i="1"/>
  <c r="E5102" i="1"/>
  <c r="D5102" i="1"/>
  <c r="F5101" i="1"/>
  <c r="E5101" i="1"/>
  <c r="D5101" i="1"/>
  <c r="F5100" i="1"/>
  <c r="E5100" i="1"/>
  <c r="D5100" i="1"/>
  <c r="F5099" i="1"/>
  <c r="E5099" i="1"/>
  <c r="D5099" i="1"/>
  <c r="F5098" i="1"/>
  <c r="E5098" i="1"/>
  <c r="D5098" i="1"/>
  <c r="F5097" i="1"/>
  <c r="E5097" i="1"/>
  <c r="D5097" i="1"/>
  <c r="F5096" i="1"/>
  <c r="E5096" i="1"/>
  <c r="D5096" i="1"/>
  <c r="F5095" i="1"/>
  <c r="E5095" i="1"/>
  <c r="D5095" i="1"/>
  <c r="F5094" i="1"/>
  <c r="E5094" i="1"/>
  <c r="D5094" i="1"/>
  <c r="F5093" i="1"/>
  <c r="E5093" i="1"/>
  <c r="D5093" i="1"/>
  <c r="F5092" i="1"/>
  <c r="E5092" i="1"/>
  <c r="D5092" i="1"/>
  <c r="F5091" i="1"/>
  <c r="E5091" i="1"/>
  <c r="D5091" i="1"/>
  <c r="F5090" i="1"/>
  <c r="E5090" i="1"/>
  <c r="D5090" i="1"/>
  <c r="F5089" i="1"/>
  <c r="E5089" i="1"/>
  <c r="D5089" i="1"/>
  <c r="F5088" i="1"/>
  <c r="E5088" i="1"/>
  <c r="D5088" i="1"/>
  <c r="F5087" i="1"/>
  <c r="E5087" i="1"/>
  <c r="D5087" i="1"/>
  <c r="F5086" i="1"/>
  <c r="E5086" i="1"/>
  <c r="D5086" i="1"/>
  <c r="F5085" i="1"/>
  <c r="E5085" i="1"/>
  <c r="D5085" i="1"/>
  <c r="F5084" i="1"/>
  <c r="E5084" i="1"/>
  <c r="D5084" i="1"/>
  <c r="F5083" i="1"/>
  <c r="E5083" i="1"/>
  <c r="D5083" i="1"/>
  <c r="F5082" i="1"/>
  <c r="E5082" i="1"/>
  <c r="D5082" i="1"/>
  <c r="F5081" i="1"/>
  <c r="E5081" i="1"/>
  <c r="D5081" i="1"/>
  <c r="F5080" i="1"/>
  <c r="E5080" i="1"/>
  <c r="D5080" i="1"/>
  <c r="F5079" i="1"/>
  <c r="E5079" i="1"/>
  <c r="D5079" i="1"/>
  <c r="F5078" i="1"/>
  <c r="E5078" i="1"/>
  <c r="D5078" i="1"/>
  <c r="F5077" i="1"/>
  <c r="E5077" i="1"/>
  <c r="D5077" i="1"/>
  <c r="F5076" i="1"/>
  <c r="E5076" i="1"/>
  <c r="D5076" i="1"/>
  <c r="F5075" i="1"/>
  <c r="E5075" i="1"/>
  <c r="D5075" i="1"/>
  <c r="F5074" i="1"/>
  <c r="E5074" i="1"/>
  <c r="D5074" i="1"/>
  <c r="F5073" i="1"/>
  <c r="E5073" i="1"/>
  <c r="D5073" i="1"/>
  <c r="F5072" i="1"/>
  <c r="E5072" i="1"/>
  <c r="D5072" i="1"/>
  <c r="F5071" i="1"/>
  <c r="E5071" i="1"/>
  <c r="D5071" i="1"/>
  <c r="F5070" i="1"/>
  <c r="E5070" i="1"/>
  <c r="D5070" i="1"/>
  <c r="F5069" i="1"/>
  <c r="E5069" i="1"/>
  <c r="D5069" i="1"/>
  <c r="F5068" i="1"/>
  <c r="E5068" i="1"/>
  <c r="D5068" i="1"/>
  <c r="F5067" i="1"/>
  <c r="E5067" i="1"/>
  <c r="D5067" i="1"/>
  <c r="F5066" i="1"/>
  <c r="E5066" i="1"/>
  <c r="D5066" i="1"/>
  <c r="F5065" i="1"/>
  <c r="E5065" i="1"/>
  <c r="D5065" i="1"/>
  <c r="F5064" i="1"/>
  <c r="E5064" i="1"/>
  <c r="D5064" i="1"/>
  <c r="F5063" i="1"/>
  <c r="E5063" i="1"/>
  <c r="D5063" i="1"/>
  <c r="F5062" i="1"/>
  <c r="E5062" i="1"/>
  <c r="D5062" i="1"/>
  <c r="F5061" i="1"/>
  <c r="E5061" i="1"/>
  <c r="D5061" i="1"/>
  <c r="F5060" i="1"/>
  <c r="E5060" i="1"/>
  <c r="D5060" i="1"/>
  <c r="F5059" i="1"/>
  <c r="E5059" i="1"/>
  <c r="D5059" i="1"/>
  <c r="F5058" i="1"/>
  <c r="E5058" i="1"/>
  <c r="D5058" i="1"/>
  <c r="F5057" i="1"/>
  <c r="E5057" i="1"/>
  <c r="D5057" i="1"/>
  <c r="F5056" i="1"/>
  <c r="E5056" i="1"/>
  <c r="D5056" i="1"/>
  <c r="F5055" i="1"/>
  <c r="E5055" i="1"/>
  <c r="D5055" i="1"/>
  <c r="F5054" i="1"/>
  <c r="E5054" i="1"/>
  <c r="D5054" i="1"/>
  <c r="F5053" i="1"/>
  <c r="E5053" i="1"/>
  <c r="D5053" i="1"/>
  <c r="F5052" i="1"/>
  <c r="E5052" i="1"/>
  <c r="D5052" i="1"/>
  <c r="F5051" i="1"/>
  <c r="E5051" i="1"/>
  <c r="D5051" i="1"/>
  <c r="F5050" i="1"/>
  <c r="E5050" i="1"/>
  <c r="D5050" i="1"/>
  <c r="F5049" i="1"/>
  <c r="E5049" i="1"/>
  <c r="D5049" i="1"/>
  <c r="F5048" i="1"/>
  <c r="E5048" i="1"/>
  <c r="D5048" i="1"/>
  <c r="F5047" i="1"/>
  <c r="E5047" i="1"/>
  <c r="D5047" i="1"/>
  <c r="F5046" i="1"/>
  <c r="E5046" i="1"/>
  <c r="D5046" i="1"/>
  <c r="F5045" i="1"/>
  <c r="E5045" i="1"/>
  <c r="D5045" i="1"/>
  <c r="F5044" i="1"/>
  <c r="E5044" i="1"/>
  <c r="D5044" i="1"/>
  <c r="F5043" i="1"/>
  <c r="E5043" i="1"/>
  <c r="D5043" i="1"/>
  <c r="F5042" i="1"/>
  <c r="E5042" i="1"/>
  <c r="D5042" i="1"/>
  <c r="F5041" i="1"/>
  <c r="E5041" i="1"/>
  <c r="D5041" i="1"/>
  <c r="F5040" i="1"/>
  <c r="E5040" i="1"/>
  <c r="D5040" i="1"/>
  <c r="F5039" i="1"/>
  <c r="E5039" i="1"/>
  <c r="D5039" i="1"/>
  <c r="F5038" i="1"/>
  <c r="E5038" i="1"/>
  <c r="D5038" i="1"/>
  <c r="F5037" i="1"/>
  <c r="E5037" i="1"/>
  <c r="D5037" i="1"/>
  <c r="F5036" i="1"/>
  <c r="E5036" i="1"/>
  <c r="D5036" i="1"/>
  <c r="F5035" i="1"/>
  <c r="E5035" i="1"/>
  <c r="D5035" i="1"/>
  <c r="F5034" i="1"/>
  <c r="E5034" i="1"/>
  <c r="D5034" i="1"/>
  <c r="F5033" i="1"/>
  <c r="E5033" i="1"/>
  <c r="D5033" i="1"/>
  <c r="F5032" i="1"/>
  <c r="E5032" i="1"/>
  <c r="D5032" i="1"/>
  <c r="F5031" i="1"/>
  <c r="E5031" i="1"/>
  <c r="D5031" i="1"/>
  <c r="F5030" i="1"/>
  <c r="E5030" i="1"/>
  <c r="D5030" i="1"/>
  <c r="F5029" i="1"/>
  <c r="E5029" i="1"/>
  <c r="D5029" i="1"/>
  <c r="F5028" i="1"/>
  <c r="E5028" i="1"/>
  <c r="D5028" i="1"/>
  <c r="F5027" i="1"/>
  <c r="E5027" i="1"/>
  <c r="D5027" i="1"/>
  <c r="F5026" i="1"/>
  <c r="E5026" i="1"/>
  <c r="D5026" i="1"/>
  <c r="F5025" i="1"/>
  <c r="E5025" i="1"/>
  <c r="D5025" i="1"/>
  <c r="F5024" i="1"/>
  <c r="E5024" i="1"/>
  <c r="D5024" i="1"/>
  <c r="F5023" i="1"/>
  <c r="E5023" i="1"/>
  <c r="D5023" i="1"/>
  <c r="F5022" i="1"/>
  <c r="E5022" i="1"/>
  <c r="D5022" i="1"/>
  <c r="F5021" i="1"/>
  <c r="E5021" i="1"/>
  <c r="D5021" i="1"/>
  <c r="F5020" i="1"/>
  <c r="E5020" i="1"/>
  <c r="D5020" i="1"/>
  <c r="F5019" i="1"/>
  <c r="E5019" i="1"/>
  <c r="D5019" i="1"/>
  <c r="F5018" i="1"/>
  <c r="E5018" i="1"/>
  <c r="D5018" i="1"/>
  <c r="F5017" i="1"/>
  <c r="E5017" i="1"/>
  <c r="D5017" i="1"/>
  <c r="F5016" i="1"/>
  <c r="E5016" i="1"/>
  <c r="D5016" i="1"/>
  <c r="F5015" i="1"/>
  <c r="E5015" i="1"/>
  <c r="D5015" i="1"/>
  <c r="F5014" i="1"/>
  <c r="E5014" i="1"/>
  <c r="D5014" i="1"/>
  <c r="F5013" i="1"/>
  <c r="E5013" i="1"/>
  <c r="D5013" i="1"/>
  <c r="F5012" i="1"/>
  <c r="E5012" i="1"/>
  <c r="D5012" i="1"/>
  <c r="F5011" i="1"/>
  <c r="E5011" i="1"/>
  <c r="D5011" i="1"/>
  <c r="F5010" i="1"/>
  <c r="E5010" i="1"/>
  <c r="D5010" i="1"/>
  <c r="F5009" i="1"/>
  <c r="E5009" i="1"/>
  <c r="D5009" i="1"/>
  <c r="F5008" i="1"/>
  <c r="E5008" i="1"/>
  <c r="D5008" i="1"/>
  <c r="F5007" i="1"/>
  <c r="E5007" i="1"/>
  <c r="D5007" i="1"/>
  <c r="F5006" i="1"/>
  <c r="E5006" i="1"/>
  <c r="D5006" i="1"/>
  <c r="F5005" i="1"/>
  <c r="E5005" i="1"/>
  <c r="D5005" i="1"/>
  <c r="F5004" i="1"/>
  <c r="E5004" i="1"/>
  <c r="D5004" i="1"/>
  <c r="F5003" i="1"/>
  <c r="E5003" i="1"/>
  <c r="D5003" i="1"/>
  <c r="F5002" i="1"/>
  <c r="E5002" i="1"/>
  <c r="D5002" i="1"/>
  <c r="F5001" i="1"/>
  <c r="E5001" i="1"/>
  <c r="D5001" i="1"/>
  <c r="F5000" i="1"/>
  <c r="E5000" i="1"/>
  <c r="D5000" i="1"/>
  <c r="F4999" i="1"/>
  <c r="E4999" i="1"/>
  <c r="D4999" i="1"/>
  <c r="F4998" i="1"/>
  <c r="E4998" i="1"/>
  <c r="D4998" i="1"/>
  <c r="F4997" i="1"/>
  <c r="E4997" i="1"/>
  <c r="D4997" i="1"/>
  <c r="F4996" i="1"/>
  <c r="E4996" i="1"/>
  <c r="D4996" i="1"/>
  <c r="F4995" i="1"/>
  <c r="E4995" i="1"/>
  <c r="D4995" i="1"/>
  <c r="F4994" i="1"/>
  <c r="E4994" i="1"/>
  <c r="D4994" i="1"/>
  <c r="F4993" i="1"/>
  <c r="E4993" i="1"/>
  <c r="D4993" i="1"/>
  <c r="F4992" i="1"/>
  <c r="E4992" i="1"/>
  <c r="D4992" i="1"/>
  <c r="F4991" i="1"/>
  <c r="E4991" i="1"/>
  <c r="D4991" i="1"/>
  <c r="F4990" i="1"/>
  <c r="E4990" i="1"/>
  <c r="D4990" i="1"/>
  <c r="F4989" i="1"/>
  <c r="E4989" i="1"/>
  <c r="D4989" i="1"/>
  <c r="F4988" i="1"/>
  <c r="E4988" i="1"/>
  <c r="D4988" i="1"/>
  <c r="F4987" i="1"/>
  <c r="E4987" i="1"/>
  <c r="D4987" i="1"/>
  <c r="F4986" i="1"/>
  <c r="E4986" i="1"/>
  <c r="D4986" i="1"/>
  <c r="F4985" i="1"/>
  <c r="E4985" i="1"/>
  <c r="D4985" i="1"/>
  <c r="F4984" i="1"/>
  <c r="E4984" i="1"/>
  <c r="D4984" i="1"/>
  <c r="F4983" i="1"/>
  <c r="E4983" i="1"/>
  <c r="D4983" i="1"/>
  <c r="F4982" i="1"/>
  <c r="E4982" i="1"/>
  <c r="D4982" i="1"/>
  <c r="F4981" i="1"/>
  <c r="E4981" i="1"/>
  <c r="D4981" i="1"/>
  <c r="F4980" i="1"/>
  <c r="E4980" i="1"/>
  <c r="D4980" i="1"/>
  <c r="F4979" i="1"/>
  <c r="E4979" i="1"/>
  <c r="D4979" i="1"/>
  <c r="F4978" i="1"/>
  <c r="E4978" i="1"/>
  <c r="D4978" i="1"/>
  <c r="F4977" i="1"/>
  <c r="E4977" i="1"/>
  <c r="D4977" i="1"/>
  <c r="F4976" i="1"/>
  <c r="E4976" i="1"/>
  <c r="D4976" i="1"/>
  <c r="F4975" i="1"/>
  <c r="E4975" i="1"/>
  <c r="D4975" i="1"/>
  <c r="F4974" i="1"/>
  <c r="E4974" i="1"/>
  <c r="D4974" i="1"/>
  <c r="F4973" i="1"/>
  <c r="E4973" i="1"/>
  <c r="D4973" i="1"/>
  <c r="F4972" i="1"/>
  <c r="E4972" i="1"/>
  <c r="D4972" i="1"/>
  <c r="F4971" i="1"/>
  <c r="E4971" i="1"/>
  <c r="D4971" i="1"/>
  <c r="F4970" i="1"/>
  <c r="E4970" i="1"/>
  <c r="D4970" i="1"/>
  <c r="F4969" i="1"/>
  <c r="E4969" i="1"/>
  <c r="D4969" i="1"/>
  <c r="F4968" i="1"/>
  <c r="E4968" i="1"/>
  <c r="D4968" i="1"/>
  <c r="F4967" i="1"/>
  <c r="E4967" i="1"/>
  <c r="D4967" i="1"/>
  <c r="F4966" i="1"/>
  <c r="E4966" i="1"/>
  <c r="D4966" i="1"/>
  <c r="F4965" i="1"/>
  <c r="E4965" i="1"/>
  <c r="D4965" i="1"/>
  <c r="F4964" i="1"/>
  <c r="E4964" i="1"/>
  <c r="D4964" i="1"/>
  <c r="F4963" i="1"/>
  <c r="E4963" i="1"/>
  <c r="D4963" i="1"/>
  <c r="F4962" i="1"/>
  <c r="E4962" i="1"/>
  <c r="D4962" i="1"/>
  <c r="F4961" i="1"/>
  <c r="E4961" i="1"/>
  <c r="D4961" i="1"/>
  <c r="F4960" i="1"/>
  <c r="E4960" i="1"/>
  <c r="D4960" i="1"/>
  <c r="F4959" i="1"/>
  <c r="E4959" i="1"/>
  <c r="D4959" i="1"/>
  <c r="F4958" i="1"/>
  <c r="E4958" i="1"/>
  <c r="D4958" i="1"/>
  <c r="F4957" i="1"/>
  <c r="E4957" i="1"/>
  <c r="D4957" i="1"/>
  <c r="F4956" i="1"/>
  <c r="E4956" i="1"/>
  <c r="D4956" i="1"/>
  <c r="F4955" i="1"/>
  <c r="E4955" i="1"/>
  <c r="D4955" i="1"/>
  <c r="F4954" i="1"/>
  <c r="E4954" i="1"/>
  <c r="D4954" i="1"/>
  <c r="F4953" i="1"/>
  <c r="E4953" i="1"/>
  <c r="D4953" i="1"/>
  <c r="F4952" i="1"/>
  <c r="E4952" i="1"/>
  <c r="D4952" i="1"/>
  <c r="F4951" i="1"/>
  <c r="E4951" i="1"/>
  <c r="D4951" i="1"/>
  <c r="F4950" i="1"/>
  <c r="E4950" i="1"/>
  <c r="D4950" i="1"/>
  <c r="F4949" i="1"/>
  <c r="E4949" i="1"/>
  <c r="D4949" i="1"/>
  <c r="F4948" i="1"/>
  <c r="E4948" i="1"/>
  <c r="D4948" i="1"/>
  <c r="F4947" i="1"/>
  <c r="E4947" i="1"/>
  <c r="D4947" i="1"/>
  <c r="F4946" i="1"/>
  <c r="E4946" i="1"/>
  <c r="D4946" i="1"/>
  <c r="F4945" i="1"/>
  <c r="E4945" i="1"/>
  <c r="D4945" i="1"/>
  <c r="F4944" i="1"/>
  <c r="E4944" i="1"/>
  <c r="D4944" i="1"/>
  <c r="F4943" i="1"/>
  <c r="E4943" i="1"/>
  <c r="D4943" i="1"/>
  <c r="F4942" i="1"/>
  <c r="E4942" i="1"/>
  <c r="D4942" i="1"/>
  <c r="F4941" i="1"/>
  <c r="E4941" i="1"/>
  <c r="D4941" i="1"/>
  <c r="F4940" i="1"/>
  <c r="E4940" i="1"/>
  <c r="D4940" i="1"/>
  <c r="F4939" i="1"/>
  <c r="E4939" i="1"/>
  <c r="D4939" i="1"/>
  <c r="F4938" i="1"/>
  <c r="E4938" i="1"/>
  <c r="D4938" i="1"/>
  <c r="F4937" i="1"/>
  <c r="E4937" i="1"/>
  <c r="D4937" i="1"/>
  <c r="F4936" i="1"/>
  <c r="E4936" i="1"/>
  <c r="D4936" i="1"/>
  <c r="F4935" i="1"/>
  <c r="E4935" i="1"/>
  <c r="D4935" i="1"/>
  <c r="F4934" i="1"/>
  <c r="E4934" i="1"/>
  <c r="D4934" i="1"/>
  <c r="F4933" i="1"/>
  <c r="E4933" i="1"/>
  <c r="D4933" i="1"/>
  <c r="F4932" i="1"/>
  <c r="E4932" i="1"/>
  <c r="D4932" i="1"/>
  <c r="F4931" i="1"/>
  <c r="E4931" i="1"/>
  <c r="D4931" i="1"/>
  <c r="F4930" i="1"/>
  <c r="E4930" i="1"/>
  <c r="D4930" i="1"/>
  <c r="F4929" i="1"/>
  <c r="E4929" i="1"/>
  <c r="D4929" i="1"/>
  <c r="F4928" i="1"/>
  <c r="E4928" i="1"/>
  <c r="D4928" i="1"/>
  <c r="F4927" i="1"/>
  <c r="E4927" i="1"/>
  <c r="D4927" i="1"/>
  <c r="F4926" i="1"/>
  <c r="E4926" i="1"/>
  <c r="D4926" i="1"/>
  <c r="F4925" i="1"/>
  <c r="E4925" i="1"/>
  <c r="D4925" i="1"/>
  <c r="F4924" i="1"/>
  <c r="E4924" i="1"/>
  <c r="D4924" i="1"/>
  <c r="F4923" i="1"/>
  <c r="E4923" i="1"/>
  <c r="D4923" i="1"/>
  <c r="F4922" i="1"/>
  <c r="E4922" i="1"/>
  <c r="D4922" i="1"/>
  <c r="F4921" i="1"/>
  <c r="E4921" i="1"/>
  <c r="D4921" i="1"/>
  <c r="F4920" i="1"/>
  <c r="E4920" i="1"/>
  <c r="D4920" i="1"/>
  <c r="F4919" i="1"/>
  <c r="E4919" i="1"/>
  <c r="D4919" i="1"/>
  <c r="F4918" i="1"/>
  <c r="E4918" i="1"/>
  <c r="D4918" i="1"/>
  <c r="F4917" i="1"/>
  <c r="E4917" i="1"/>
  <c r="D4917" i="1"/>
  <c r="F4916" i="1"/>
  <c r="E4916" i="1"/>
  <c r="D4916" i="1"/>
  <c r="F4915" i="1"/>
  <c r="E4915" i="1"/>
  <c r="D4915" i="1"/>
  <c r="F4914" i="1"/>
  <c r="E4914" i="1"/>
  <c r="D4914" i="1"/>
  <c r="F4913" i="1"/>
  <c r="E4913" i="1"/>
  <c r="D4913" i="1"/>
  <c r="F4912" i="1"/>
  <c r="E4912" i="1"/>
  <c r="D4912" i="1"/>
  <c r="F4911" i="1"/>
  <c r="E4911" i="1"/>
  <c r="D4911" i="1"/>
  <c r="F4910" i="1"/>
  <c r="E4910" i="1"/>
  <c r="D4910" i="1"/>
  <c r="F4909" i="1"/>
  <c r="E4909" i="1"/>
  <c r="D4909" i="1"/>
  <c r="F4908" i="1"/>
  <c r="E4908" i="1"/>
  <c r="D4908" i="1"/>
  <c r="F4907" i="1"/>
  <c r="E4907" i="1"/>
  <c r="D4907" i="1"/>
  <c r="F4906" i="1"/>
  <c r="E4906" i="1"/>
  <c r="D4906" i="1"/>
  <c r="F4905" i="1"/>
  <c r="E4905" i="1"/>
  <c r="D4905" i="1"/>
  <c r="F4904" i="1"/>
  <c r="E4904" i="1"/>
  <c r="D4904" i="1"/>
  <c r="F4903" i="1"/>
  <c r="E4903" i="1"/>
  <c r="D4903" i="1"/>
  <c r="F4902" i="1"/>
  <c r="E4902" i="1"/>
  <c r="D4902" i="1"/>
  <c r="F4901" i="1"/>
  <c r="E4901" i="1"/>
  <c r="D4901" i="1"/>
  <c r="F4900" i="1"/>
  <c r="E4900" i="1"/>
  <c r="D4900" i="1"/>
  <c r="F4899" i="1"/>
  <c r="E4899" i="1"/>
  <c r="D4899" i="1"/>
  <c r="F4898" i="1"/>
  <c r="E4898" i="1"/>
  <c r="D4898" i="1"/>
  <c r="F4897" i="1"/>
  <c r="E4897" i="1"/>
  <c r="D4897" i="1"/>
  <c r="F4896" i="1"/>
  <c r="E4896" i="1"/>
  <c r="D4896" i="1"/>
  <c r="F4895" i="1"/>
  <c r="E4895" i="1"/>
  <c r="D4895" i="1"/>
  <c r="F4894" i="1"/>
  <c r="E4894" i="1"/>
  <c r="D4894" i="1"/>
  <c r="F4893" i="1"/>
  <c r="E4893" i="1"/>
  <c r="D4893" i="1"/>
  <c r="F4892" i="1"/>
  <c r="E4892" i="1"/>
  <c r="D4892" i="1"/>
  <c r="F4891" i="1"/>
  <c r="E4891" i="1"/>
  <c r="D4891" i="1"/>
  <c r="F4890" i="1"/>
  <c r="E4890" i="1"/>
  <c r="D4890" i="1"/>
  <c r="F4889" i="1"/>
  <c r="E4889" i="1"/>
  <c r="D4889" i="1"/>
  <c r="F4888" i="1"/>
  <c r="E4888" i="1"/>
  <c r="D4888" i="1"/>
  <c r="F4887" i="1"/>
  <c r="E4887" i="1"/>
  <c r="D4887" i="1"/>
  <c r="F4886" i="1"/>
  <c r="E4886" i="1"/>
  <c r="D4886" i="1"/>
  <c r="F4885" i="1"/>
  <c r="E4885" i="1"/>
  <c r="D4885" i="1"/>
  <c r="F4884" i="1"/>
  <c r="E4884" i="1"/>
  <c r="D4884" i="1"/>
  <c r="F4883" i="1"/>
  <c r="E4883" i="1"/>
  <c r="D4883" i="1"/>
  <c r="F4882" i="1"/>
  <c r="E4882" i="1"/>
  <c r="D4882" i="1"/>
  <c r="F4881" i="1"/>
  <c r="E4881" i="1"/>
  <c r="D4881" i="1"/>
  <c r="F4880" i="1"/>
  <c r="E4880" i="1"/>
  <c r="D4880" i="1"/>
  <c r="F4879" i="1"/>
  <c r="E4879" i="1"/>
  <c r="D4879" i="1"/>
  <c r="F4878" i="1"/>
  <c r="E4878" i="1"/>
  <c r="D4878" i="1"/>
  <c r="F4877" i="1"/>
  <c r="E4877" i="1"/>
  <c r="D4877" i="1"/>
  <c r="F4876" i="1"/>
  <c r="E4876" i="1"/>
  <c r="D4876" i="1"/>
  <c r="F4875" i="1"/>
  <c r="E4875" i="1"/>
  <c r="D4875" i="1"/>
  <c r="F4874" i="1"/>
  <c r="E4874" i="1"/>
  <c r="D4874" i="1"/>
  <c r="F4873" i="1"/>
  <c r="E4873" i="1"/>
  <c r="D4873" i="1"/>
  <c r="F4872" i="1"/>
  <c r="E4872" i="1"/>
  <c r="D4872" i="1"/>
  <c r="F4871" i="1"/>
  <c r="E4871" i="1"/>
  <c r="D4871" i="1"/>
  <c r="F4870" i="1"/>
  <c r="E4870" i="1"/>
  <c r="D4870" i="1"/>
  <c r="F4869" i="1"/>
  <c r="E4869" i="1"/>
  <c r="D4869" i="1"/>
  <c r="F4868" i="1"/>
  <c r="E4868" i="1"/>
  <c r="D4868" i="1"/>
  <c r="F4867" i="1"/>
  <c r="E4867" i="1"/>
  <c r="D4867" i="1"/>
  <c r="F4866" i="1"/>
  <c r="E4866" i="1"/>
  <c r="D4866" i="1"/>
  <c r="F4865" i="1"/>
  <c r="E4865" i="1"/>
  <c r="D4865" i="1"/>
  <c r="F4864" i="1"/>
  <c r="E4864" i="1"/>
  <c r="D4864" i="1"/>
  <c r="F4863" i="1"/>
  <c r="E4863" i="1"/>
  <c r="D4863" i="1"/>
  <c r="F4862" i="1"/>
  <c r="E4862" i="1"/>
  <c r="D4862" i="1"/>
  <c r="F4861" i="1"/>
  <c r="E4861" i="1"/>
  <c r="D4861" i="1"/>
  <c r="F4860" i="1"/>
  <c r="E4860" i="1"/>
  <c r="D4860" i="1"/>
  <c r="F4859" i="1"/>
  <c r="E4859" i="1"/>
  <c r="D4859" i="1"/>
  <c r="F4858" i="1"/>
  <c r="E4858" i="1"/>
  <c r="D4858" i="1"/>
  <c r="F4857" i="1"/>
  <c r="E4857" i="1"/>
  <c r="D4857" i="1"/>
  <c r="F4856" i="1"/>
  <c r="E4856" i="1"/>
  <c r="D4856" i="1"/>
  <c r="F4855" i="1"/>
  <c r="E4855" i="1"/>
  <c r="D4855" i="1"/>
  <c r="F4854" i="1"/>
  <c r="E4854" i="1"/>
  <c r="D4854" i="1"/>
  <c r="F4853" i="1"/>
  <c r="E4853" i="1"/>
  <c r="D4853" i="1"/>
  <c r="F4852" i="1"/>
  <c r="E4852" i="1"/>
  <c r="D4852" i="1"/>
  <c r="F4851" i="1"/>
  <c r="E4851" i="1"/>
  <c r="D4851" i="1"/>
  <c r="F4850" i="1"/>
  <c r="E4850" i="1"/>
  <c r="D4850" i="1"/>
  <c r="F4849" i="1"/>
  <c r="E4849" i="1"/>
  <c r="D4849" i="1"/>
  <c r="F4848" i="1"/>
  <c r="E4848" i="1"/>
  <c r="D4848" i="1"/>
  <c r="F4847" i="1"/>
  <c r="E4847" i="1"/>
  <c r="D4847" i="1"/>
  <c r="F4846" i="1"/>
  <c r="E4846" i="1"/>
  <c r="D4846" i="1"/>
  <c r="F4845" i="1"/>
  <c r="E4845" i="1"/>
  <c r="D4845" i="1"/>
  <c r="F4844" i="1"/>
  <c r="E4844" i="1"/>
  <c r="D4844" i="1"/>
  <c r="F4843" i="1"/>
  <c r="E4843" i="1"/>
  <c r="D4843" i="1"/>
  <c r="F4842" i="1"/>
  <c r="E4842" i="1"/>
  <c r="D4842" i="1"/>
  <c r="F4841" i="1"/>
  <c r="E4841" i="1"/>
  <c r="D4841" i="1"/>
  <c r="F4840" i="1"/>
  <c r="E4840" i="1"/>
  <c r="D4840" i="1"/>
  <c r="F4839" i="1"/>
  <c r="E4839" i="1"/>
  <c r="D4839" i="1"/>
  <c r="F4838" i="1"/>
  <c r="E4838" i="1"/>
  <c r="D4838" i="1"/>
  <c r="F4837" i="1"/>
  <c r="E4837" i="1"/>
  <c r="D4837" i="1"/>
  <c r="F4836" i="1"/>
  <c r="E4836" i="1"/>
  <c r="D4836" i="1"/>
  <c r="F4835" i="1"/>
  <c r="E4835" i="1"/>
  <c r="D4835" i="1"/>
  <c r="F4834" i="1"/>
  <c r="E4834" i="1"/>
  <c r="D4834" i="1"/>
  <c r="F4833" i="1"/>
  <c r="E4833" i="1"/>
  <c r="D4833" i="1"/>
  <c r="F4832" i="1"/>
  <c r="E4832" i="1"/>
  <c r="D4832" i="1"/>
  <c r="F4831" i="1"/>
  <c r="E4831" i="1"/>
  <c r="D4831" i="1"/>
  <c r="F4830" i="1"/>
  <c r="E4830" i="1"/>
  <c r="D4830" i="1"/>
  <c r="F4829" i="1"/>
  <c r="E4829" i="1"/>
  <c r="D4829" i="1"/>
  <c r="F4828" i="1"/>
  <c r="E4828" i="1"/>
  <c r="D4828" i="1"/>
  <c r="F4827" i="1"/>
  <c r="E4827" i="1"/>
  <c r="D4827" i="1"/>
  <c r="F4826" i="1"/>
  <c r="E4826" i="1"/>
  <c r="D4826" i="1"/>
  <c r="F4825" i="1"/>
  <c r="E4825" i="1"/>
  <c r="D4825" i="1"/>
  <c r="F4824" i="1"/>
  <c r="E4824" i="1"/>
  <c r="D4824" i="1"/>
  <c r="F4823" i="1"/>
  <c r="E4823" i="1"/>
  <c r="D4823" i="1"/>
  <c r="F4822" i="1"/>
  <c r="E4822" i="1"/>
  <c r="D4822" i="1"/>
  <c r="F4821" i="1"/>
  <c r="E4821" i="1"/>
  <c r="D4821" i="1"/>
  <c r="F4820" i="1"/>
  <c r="E4820" i="1"/>
  <c r="D4820" i="1"/>
  <c r="F4819" i="1"/>
  <c r="E4819" i="1"/>
  <c r="D4819" i="1"/>
  <c r="F4818" i="1"/>
  <c r="E4818" i="1"/>
  <c r="D4818" i="1"/>
  <c r="F4817" i="1"/>
  <c r="E4817" i="1"/>
  <c r="D4817" i="1"/>
  <c r="F4816" i="1"/>
  <c r="E4816" i="1"/>
  <c r="D4816" i="1"/>
  <c r="F4815" i="1"/>
  <c r="E4815" i="1"/>
  <c r="D4815" i="1"/>
  <c r="F4814" i="1"/>
  <c r="E4814" i="1"/>
  <c r="D4814" i="1"/>
  <c r="F4813" i="1"/>
  <c r="E4813" i="1"/>
  <c r="D4813" i="1"/>
  <c r="F4812" i="1"/>
  <c r="E4812" i="1"/>
  <c r="D4812" i="1"/>
  <c r="F4811" i="1"/>
  <c r="E4811" i="1"/>
  <c r="D4811" i="1"/>
  <c r="F4810" i="1"/>
  <c r="E4810" i="1"/>
  <c r="D4810" i="1"/>
  <c r="F4809" i="1"/>
  <c r="E4809" i="1"/>
  <c r="D4809" i="1"/>
  <c r="F4808" i="1"/>
  <c r="E4808" i="1"/>
  <c r="D4808" i="1"/>
  <c r="F4807" i="1"/>
  <c r="E4807" i="1"/>
  <c r="D4807" i="1"/>
  <c r="F4806" i="1"/>
  <c r="E4806" i="1"/>
  <c r="D4806" i="1"/>
  <c r="F4805" i="1"/>
  <c r="E4805" i="1"/>
  <c r="D4805" i="1"/>
  <c r="F4804" i="1"/>
  <c r="E4804" i="1"/>
  <c r="D4804" i="1"/>
  <c r="F4803" i="1"/>
  <c r="E4803" i="1"/>
  <c r="D4803" i="1"/>
  <c r="F4802" i="1"/>
  <c r="E4802" i="1"/>
  <c r="D4802" i="1"/>
  <c r="F4801" i="1"/>
  <c r="E4801" i="1"/>
  <c r="D4801" i="1"/>
  <c r="F4800" i="1"/>
  <c r="E4800" i="1"/>
  <c r="D4800" i="1"/>
  <c r="F4799" i="1"/>
  <c r="E4799" i="1"/>
  <c r="D4799" i="1"/>
  <c r="F4798" i="1"/>
  <c r="E4798" i="1"/>
  <c r="D4798" i="1"/>
  <c r="F4797" i="1"/>
  <c r="E4797" i="1"/>
  <c r="D4797" i="1"/>
  <c r="F4796" i="1"/>
  <c r="E4796" i="1"/>
  <c r="D4796" i="1"/>
  <c r="F4795" i="1"/>
  <c r="E4795" i="1"/>
  <c r="D4795" i="1"/>
  <c r="F4794" i="1"/>
  <c r="E4794" i="1"/>
  <c r="D4794" i="1"/>
  <c r="F4793" i="1"/>
  <c r="E4793" i="1"/>
  <c r="D4793" i="1"/>
  <c r="F4792" i="1"/>
  <c r="E4792" i="1"/>
  <c r="D4792" i="1"/>
  <c r="F4791" i="1"/>
  <c r="E4791" i="1"/>
  <c r="D4791" i="1"/>
  <c r="F4790" i="1"/>
  <c r="E4790" i="1"/>
  <c r="D4790" i="1"/>
  <c r="F4789" i="1"/>
  <c r="E4789" i="1"/>
  <c r="D4789" i="1"/>
  <c r="F4788" i="1"/>
  <c r="E4788" i="1"/>
  <c r="D4788" i="1"/>
  <c r="F4787" i="1"/>
  <c r="E4787" i="1"/>
  <c r="D4787" i="1"/>
  <c r="F4786" i="1"/>
  <c r="E4786" i="1"/>
  <c r="D4786" i="1"/>
  <c r="F4785" i="1"/>
  <c r="E4785" i="1"/>
  <c r="D4785" i="1"/>
  <c r="F4784" i="1"/>
  <c r="E4784" i="1"/>
  <c r="D4784" i="1"/>
  <c r="F4783" i="1"/>
  <c r="E4783" i="1"/>
  <c r="D4783" i="1"/>
  <c r="F4782" i="1"/>
  <c r="E4782" i="1"/>
  <c r="D4782" i="1"/>
  <c r="F4781" i="1"/>
  <c r="E4781" i="1"/>
  <c r="D4781" i="1"/>
  <c r="F4780" i="1"/>
  <c r="E4780" i="1"/>
  <c r="D4780" i="1"/>
  <c r="F4779" i="1"/>
  <c r="E4779" i="1"/>
  <c r="D4779" i="1"/>
  <c r="F4778" i="1"/>
  <c r="E4778" i="1"/>
  <c r="D4778" i="1"/>
  <c r="F4777" i="1"/>
  <c r="E4777" i="1"/>
  <c r="D4777" i="1"/>
  <c r="F4776" i="1"/>
  <c r="E4776" i="1"/>
  <c r="D4776" i="1"/>
  <c r="F4775" i="1"/>
  <c r="E4775" i="1"/>
  <c r="D4775" i="1"/>
  <c r="F4774" i="1"/>
  <c r="E4774" i="1"/>
  <c r="D4774" i="1"/>
  <c r="F4773" i="1"/>
  <c r="E4773" i="1"/>
  <c r="D4773" i="1"/>
  <c r="F4772" i="1"/>
  <c r="E4772" i="1"/>
  <c r="D4772" i="1"/>
  <c r="F4771" i="1"/>
  <c r="E4771" i="1"/>
  <c r="D4771" i="1"/>
  <c r="F4770" i="1"/>
  <c r="E4770" i="1"/>
  <c r="D4770" i="1"/>
  <c r="F4769" i="1"/>
  <c r="E4769" i="1"/>
  <c r="D4769" i="1"/>
  <c r="F4768" i="1"/>
  <c r="E4768" i="1"/>
  <c r="D4768" i="1"/>
  <c r="F4767" i="1"/>
  <c r="E4767" i="1"/>
  <c r="D4767" i="1"/>
  <c r="F4766" i="1"/>
  <c r="E4766" i="1"/>
  <c r="D4766" i="1"/>
  <c r="F4765" i="1"/>
  <c r="E4765" i="1"/>
  <c r="D4765" i="1"/>
  <c r="F4764" i="1"/>
  <c r="E4764" i="1"/>
  <c r="D4764" i="1"/>
  <c r="F4763" i="1"/>
  <c r="E4763" i="1"/>
  <c r="D4763" i="1"/>
  <c r="F4762" i="1"/>
  <c r="E4762" i="1"/>
  <c r="D4762" i="1"/>
  <c r="F4761" i="1"/>
  <c r="E4761" i="1"/>
  <c r="D4761" i="1"/>
  <c r="F4760" i="1"/>
  <c r="E4760" i="1"/>
  <c r="D4760" i="1"/>
  <c r="F4759" i="1"/>
  <c r="E4759" i="1"/>
  <c r="D4759" i="1"/>
  <c r="F4758" i="1"/>
  <c r="E4758" i="1"/>
  <c r="D4758" i="1"/>
  <c r="F4757" i="1"/>
  <c r="E4757" i="1"/>
  <c r="D4757" i="1"/>
  <c r="F4756" i="1"/>
  <c r="E4756" i="1"/>
  <c r="D4756" i="1"/>
  <c r="F4755" i="1"/>
  <c r="E4755" i="1"/>
  <c r="D4755" i="1"/>
  <c r="F4754" i="1"/>
  <c r="E4754" i="1"/>
  <c r="D4754" i="1"/>
  <c r="F4753" i="1"/>
  <c r="E4753" i="1"/>
  <c r="D4753" i="1"/>
  <c r="F4752" i="1"/>
  <c r="E4752" i="1"/>
  <c r="D4752" i="1"/>
  <c r="F4751" i="1"/>
  <c r="E4751" i="1"/>
  <c r="D4751" i="1"/>
  <c r="F4750" i="1"/>
  <c r="E4750" i="1"/>
  <c r="D4750" i="1"/>
  <c r="F4749" i="1"/>
  <c r="E4749" i="1"/>
  <c r="D4749" i="1"/>
  <c r="F4748" i="1"/>
  <c r="E4748" i="1"/>
  <c r="D4748" i="1"/>
  <c r="F4747" i="1"/>
  <c r="E4747" i="1"/>
  <c r="D4747" i="1"/>
  <c r="F4746" i="1"/>
  <c r="E4746" i="1"/>
  <c r="D4746" i="1"/>
  <c r="F4745" i="1"/>
  <c r="E4745" i="1"/>
  <c r="D4745" i="1"/>
  <c r="F4744" i="1"/>
  <c r="E4744" i="1"/>
  <c r="D4744" i="1"/>
  <c r="F4743" i="1"/>
  <c r="E4743" i="1"/>
  <c r="D4743" i="1"/>
  <c r="F4742" i="1"/>
  <c r="E4742" i="1"/>
  <c r="D4742" i="1"/>
  <c r="F4741" i="1"/>
  <c r="E4741" i="1"/>
  <c r="D4741" i="1"/>
  <c r="F4740" i="1"/>
  <c r="E4740" i="1"/>
  <c r="D4740" i="1"/>
  <c r="F4739" i="1"/>
  <c r="E4739" i="1"/>
  <c r="D4739" i="1"/>
  <c r="F4738" i="1"/>
  <c r="E4738" i="1"/>
  <c r="D4738" i="1"/>
  <c r="F4737" i="1"/>
  <c r="E4737" i="1"/>
  <c r="D4737" i="1"/>
  <c r="F4736" i="1"/>
  <c r="E4736" i="1"/>
  <c r="D4736" i="1"/>
  <c r="F4735" i="1"/>
  <c r="E4735" i="1"/>
  <c r="D4735" i="1"/>
  <c r="F4734" i="1"/>
  <c r="E4734" i="1"/>
  <c r="D4734" i="1"/>
  <c r="F4733" i="1"/>
  <c r="E4733" i="1"/>
  <c r="D4733" i="1"/>
  <c r="F4732" i="1"/>
  <c r="E4732" i="1"/>
  <c r="D4732" i="1"/>
  <c r="F4731" i="1"/>
  <c r="E4731" i="1"/>
  <c r="D4731" i="1"/>
  <c r="F4730" i="1"/>
  <c r="E4730" i="1"/>
  <c r="D4730" i="1"/>
  <c r="F4729" i="1"/>
  <c r="E4729" i="1"/>
  <c r="D4729" i="1"/>
  <c r="F4728" i="1"/>
  <c r="E4728" i="1"/>
  <c r="D4728" i="1"/>
  <c r="F4727" i="1"/>
  <c r="E4727" i="1"/>
  <c r="D4727" i="1"/>
  <c r="F4726" i="1"/>
  <c r="E4726" i="1"/>
  <c r="D4726" i="1"/>
  <c r="F4725" i="1"/>
  <c r="E4725" i="1"/>
  <c r="D4725" i="1"/>
  <c r="F4724" i="1"/>
  <c r="E4724" i="1"/>
  <c r="D4724" i="1"/>
  <c r="F4723" i="1"/>
  <c r="E4723" i="1"/>
  <c r="D4723" i="1"/>
  <c r="F4722" i="1"/>
  <c r="E4722" i="1"/>
  <c r="D4722" i="1"/>
  <c r="F4721" i="1"/>
  <c r="E4721" i="1"/>
  <c r="D4721" i="1"/>
  <c r="F4720" i="1"/>
  <c r="E4720" i="1"/>
  <c r="D4720" i="1"/>
  <c r="F4719" i="1"/>
  <c r="E4719" i="1"/>
  <c r="D4719" i="1"/>
  <c r="F4718" i="1"/>
  <c r="E4718" i="1"/>
  <c r="D4718" i="1"/>
  <c r="F4717" i="1"/>
  <c r="E4717" i="1"/>
  <c r="D4717" i="1"/>
  <c r="F4716" i="1"/>
  <c r="E4716" i="1"/>
  <c r="D4716" i="1"/>
  <c r="F4715" i="1"/>
  <c r="E4715" i="1"/>
  <c r="D4715" i="1"/>
  <c r="F4714" i="1"/>
  <c r="E4714" i="1"/>
  <c r="D4714" i="1"/>
  <c r="F4713" i="1"/>
  <c r="E4713" i="1"/>
  <c r="D4713" i="1"/>
  <c r="F4712" i="1"/>
  <c r="E4712" i="1"/>
  <c r="D4712" i="1"/>
  <c r="F4711" i="1"/>
  <c r="E4711" i="1"/>
  <c r="D4711" i="1"/>
  <c r="F4710" i="1"/>
  <c r="E4710" i="1"/>
  <c r="D4710" i="1"/>
  <c r="F4709" i="1"/>
  <c r="E4709" i="1"/>
  <c r="D4709" i="1"/>
  <c r="F4708" i="1"/>
  <c r="E4708" i="1"/>
  <c r="D4708" i="1"/>
  <c r="F4707" i="1"/>
  <c r="E4707" i="1"/>
  <c r="D4707" i="1"/>
  <c r="F4706" i="1"/>
  <c r="E4706" i="1"/>
  <c r="D4706" i="1"/>
  <c r="F4705" i="1"/>
  <c r="E4705" i="1"/>
  <c r="D4705" i="1"/>
  <c r="F4704" i="1"/>
  <c r="E4704" i="1"/>
  <c r="D4704" i="1"/>
  <c r="F4703" i="1"/>
  <c r="E4703" i="1"/>
  <c r="D4703" i="1"/>
  <c r="F4702" i="1"/>
  <c r="E4702" i="1"/>
  <c r="D4702" i="1"/>
  <c r="F4701" i="1"/>
  <c r="E4701" i="1"/>
  <c r="D4701" i="1"/>
  <c r="F4700" i="1"/>
  <c r="E4700" i="1"/>
  <c r="D4700" i="1"/>
  <c r="F4699" i="1"/>
  <c r="E4699" i="1"/>
  <c r="D4699" i="1"/>
  <c r="F4698" i="1"/>
  <c r="E4698" i="1"/>
  <c r="D4698" i="1"/>
  <c r="F4697" i="1"/>
  <c r="E4697" i="1"/>
  <c r="D4697" i="1"/>
  <c r="F4696" i="1"/>
  <c r="E4696" i="1"/>
  <c r="D4696" i="1"/>
  <c r="F4695" i="1"/>
  <c r="E4695" i="1"/>
  <c r="D4695" i="1"/>
  <c r="F4694" i="1"/>
  <c r="E4694" i="1"/>
  <c r="D4694" i="1"/>
  <c r="F4693" i="1"/>
  <c r="E4693" i="1"/>
  <c r="D4693" i="1"/>
  <c r="F4692" i="1"/>
  <c r="E4692" i="1"/>
  <c r="D4692" i="1"/>
  <c r="F4691" i="1"/>
  <c r="E4691" i="1"/>
  <c r="D4691" i="1"/>
  <c r="F4690" i="1"/>
  <c r="E4690" i="1"/>
  <c r="D4690" i="1"/>
  <c r="F4689" i="1"/>
  <c r="E4689" i="1"/>
  <c r="D4689" i="1"/>
  <c r="F4688" i="1"/>
  <c r="E4688" i="1"/>
  <c r="D4688" i="1"/>
  <c r="F4687" i="1"/>
  <c r="E4687" i="1"/>
  <c r="D4687" i="1"/>
  <c r="F4686" i="1"/>
  <c r="E4686" i="1"/>
  <c r="D4686" i="1"/>
  <c r="F4685" i="1"/>
  <c r="E4685" i="1"/>
  <c r="D4685" i="1"/>
  <c r="F4684" i="1"/>
  <c r="E4684" i="1"/>
  <c r="D4684" i="1"/>
  <c r="F4683" i="1"/>
  <c r="E4683" i="1"/>
  <c r="D4683" i="1"/>
  <c r="F4682" i="1"/>
  <c r="E4682" i="1"/>
  <c r="D4682" i="1"/>
  <c r="F4681" i="1"/>
  <c r="E4681" i="1"/>
  <c r="D4681" i="1"/>
  <c r="F4680" i="1"/>
  <c r="E4680" i="1"/>
  <c r="D4680" i="1"/>
  <c r="F4679" i="1"/>
  <c r="E4679" i="1"/>
  <c r="D4679" i="1"/>
  <c r="F4678" i="1"/>
  <c r="E4678" i="1"/>
  <c r="D4678" i="1"/>
  <c r="F4677" i="1"/>
  <c r="E4677" i="1"/>
  <c r="D4677" i="1"/>
  <c r="F4676" i="1"/>
  <c r="E4676" i="1"/>
  <c r="D4676" i="1"/>
  <c r="F4675" i="1"/>
  <c r="E4675" i="1"/>
  <c r="D4675" i="1"/>
  <c r="F4674" i="1"/>
  <c r="E4674" i="1"/>
  <c r="D4674" i="1"/>
  <c r="F4673" i="1"/>
  <c r="E4673" i="1"/>
  <c r="D4673" i="1"/>
  <c r="F4672" i="1"/>
  <c r="E4672" i="1"/>
  <c r="D4672" i="1"/>
  <c r="F4671" i="1"/>
  <c r="E4671" i="1"/>
  <c r="D4671" i="1"/>
  <c r="F4670" i="1"/>
  <c r="E4670" i="1"/>
  <c r="D4670" i="1"/>
  <c r="F4669" i="1"/>
  <c r="E4669" i="1"/>
  <c r="D4669" i="1"/>
  <c r="F4668" i="1"/>
  <c r="E4668" i="1"/>
  <c r="D4668" i="1"/>
  <c r="F4667" i="1"/>
  <c r="E4667" i="1"/>
  <c r="D4667" i="1"/>
  <c r="F4666" i="1"/>
  <c r="E4666" i="1"/>
  <c r="D4666" i="1"/>
  <c r="F4665" i="1"/>
  <c r="E4665" i="1"/>
  <c r="D4665" i="1"/>
  <c r="F4664" i="1"/>
  <c r="E4664" i="1"/>
  <c r="D4664" i="1"/>
  <c r="F4663" i="1"/>
  <c r="E4663" i="1"/>
  <c r="D4663" i="1"/>
  <c r="F4662" i="1"/>
  <c r="E4662" i="1"/>
  <c r="D4662" i="1"/>
  <c r="F4661" i="1"/>
  <c r="E4661" i="1"/>
  <c r="D4661" i="1"/>
  <c r="F4660" i="1"/>
  <c r="E4660" i="1"/>
  <c r="D4660" i="1"/>
  <c r="F4659" i="1"/>
  <c r="E4659" i="1"/>
  <c r="D4659" i="1"/>
  <c r="F4658" i="1"/>
  <c r="E4658" i="1"/>
  <c r="D4658" i="1"/>
  <c r="F4657" i="1"/>
  <c r="E4657" i="1"/>
  <c r="D4657" i="1"/>
  <c r="F4656" i="1"/>
  <c r="E4656" i="1"/>
  <c r="D4656" i="1"/>
  <c r="F4655" i="1"/>
  <c r="E4655" i="1"/>
  <c r="D4655" i="1"/>
  <c r="F4654" i="1"/>
  <c r="E4654" i="1"/>
  <c r="D4654" i="1"/>
  <c r="F4653" i="1"/>
  <c r="E4653" i="1"/>
  <c r="D4653" i="1"/>
  <c r="F4652" i="1"/>
  <c r="E4652" i="1"/>
  <c r="D4652" i="1"/>
  <c r="F4651" i="1"/>
  <c r="E4651" i="1"/>
  <c r="D4651" i="1"/>
  <c r="F4650" i="1"/>
  <c r="E4650" i="1"/>
  <c r="D4650" i="1"/>
  <c r="F4649" i="1"/>
  <c r="E4649" i="1"/>
  <c r="D4649" i="1"/>
  <c r="F4648" i="1"/>
  <c r="E4648" i="1"/>
  <c r="D4648" i="1"/>
  <c r="F4647" i="1"/>
  <c r="E4647" i="1"/>
  <c r="D4647" i="1"/>
  <c r="F4646" i="1"/>
  <c r="E4646" i="1"/>
  <c r="D4646" i="1"/>
  <c r="F4645" i="1"/>
  <c r="E4645" i="1"/>
  <c r="D4645" i="1"/>
  <c r="F4644" i="1"/>
  <c r="E4644" i="1"/>
  <c r="D4644" i="1"/>
  <c r="F4643" i="1"/>
  <c r="E4643" i="1"/>
  <c r="D4643" i="1"/>
  <c r="F4642" i="1"/>
  <c r="E4642" i="1"/>
  <c r="D4642" i="1"/>
  <c r="F4641" i="1"/>
  <c r="E4641" i="1"/>
  <c r="D4641" i="1"/>
  <c r="F4640" i="1"/>
  <c r="E4640" i="1"/>
  <c r="D4640" i="1"/>
  <c r="F4639" i="1"/>
  <c r="E4639" i="1"/>
  <c r="D4639" i="1"/>
  <c r="F4638" i="1"/>
  <c r="E4638" i="1"/>
  <c r="D4638" i="1"/>
  <c r="F4637" i="1"/>
  <c r="E4637" i="1"/>
  <c r="D4637" i="1"/>
  <c r="F4636" i="1"/>
  <c r="E4636" i="1"/>
  <c r="D4636" i="1"/>
  <c r="F4635" i="1"/>
  <c r="E4635" i="1"/>
  <c r="D4635" i="1"/>
  <c r="F4634" i="1"/>
  <c r="E4634" i="1"/>
  <c r="D4634" i="1"/>
  <c r="F4633" i="1"/>
  <c r="E4633" i="1"/>
  <c r="D4633" i="1"/>
  <c r="F4632" i="1"/>
  <c r="E4632" i="1"/>
  <c r="D4632" i="1"/>
  <c r="F4631" i="1"/>
  <c r="E4631" i="1"/>
  <c r="D4631" i="1"/>
  <c r="F4630" i="1"/>
  <c r="E4630" i="1"/>
  <c r="D4630" i="1"/>
  <c r="F4629" i="1"/>
  <c r="E4629" i="1"/>
  <c r="D4629" i="1"/>
  <c r="F4628" i="1"/>
  <c r="E4628" i="1"/>
  <c r="D4628" i="1"/>
  <c r="F4627" i="1"/>
  <c r="E4627" i="1"/>
  <c r="D4627" i="1"/>
  <c r="F4626" i="1"/>
  <c r="E4626" i="1"/>
  <c r="D4626" i="1"/>
  <c r="F4625" i="1"/>
  <c r="E4625" i="1"/>
  <c r="D4625" i="1"/>
  <c r="F4624" i="1"/>
  <c r="E4624" i="1"/>
  <c r="D4624" i="1"/>
  <c r="F4623" i="1"/>
  <c r="E4623" i="1"/>
  <c r="D4623" i="1"/>
  <c r="F4622" i="1"/>
  <c r="E4622" i="1"/>
  <c r="D4622" i="1"/>
  <c r="F4621" i="1"/>
  <c r="E4621" i="1"/>
  <c r="D4621" i="1"/>
  <c r="F4620" i="1"/>
  <c r="E4620" i="1"/>
  <c r="D4620" i="1"/>
  <c r="F4619" i="1"/>
  <c r="E4619" i="1"/>
  <c r="D4619" i="1"/>
  <c r="F4618" i="1"/>
  <c r="E4618" i="1"/>
  <c r="D4618" i="1"/>
  <c r="F4617" i="1"/>
  <c r="E4617" i="1"/>
  <c r="D4617" i="1"/>
  <c r="F4616" i="1"/>
  <c r="E4616" i="1"/>
  <c r="D4616" i="1"/>
  <c r="F4615" i="1"/>
  <c r="E4615" i="1"/>
  <c r="D4615" i="1"/>
  <c r="F4614" i="1"/>
  <c r="E4614" i="1"/>
  <c r="D4614" i="1"/>
  <c r="F4613" i="1"/>
  <c r="E4613" i="1"/>
  <c r="D4613" i="1"/>
  <c r="F4612" i="1"/>
  <c r="E4612" i="1"/>
  <c r="D4612" i="1"/>
  <c r="F4611" i="1"/>
  <c r="E4611" i="1"/>
  <c r="D4611" i="1"/>
  <c r="F4610" i="1"/>
  <c r="E4610" i="1"/>
  <c r="D4610" i="1"/>
  <c r="F4609" i="1"/>
  <c r="E4609" i="1"/>
  <c r="D4609" i="1"/>
  <c r="F4608" i="1"/>
  <c r="E4608" i="1"/>
  <c r="D4608" i="1"/>
  <c r="F4607" i="1"/>
  <c r="E4607" i="1"/>
  <c r="D4607" i="1"/>
  <c r="F4606" i="1"/>
  <c r="E4606" i="1"/>
  <c r="D4606" i="1"/>
  <c r="F4605" i="1"/>
  <c r="E4605" i="1"/>
  <c r="D4605" i="1"/>
  <c r="F4604" i="1"/>
  <c r="E4604" i="1"/>
  <c r="D4604" i="1"/>
  <c r="F4603" i="1"/>
  <c r="E4603" i="1"/>
  <c r="D4603" i="1"/>
  <c r="F4602" i="1"/>
  <c r="E4602" i="1"/>
  <c r="D4602" i="1"/>
  <c r="F4601" i="1"/>
  <c r="E4601" i="1"/>
  <c r="D4601" i="1"/>
  <c r="F4600" i="1"/>
  <c r="E4600" i="1"/>
  <c r="D4600" i="1"/>
  <c r="F4599" i="1"/>
  <c r="E4599" i="1"/>
  <c r="D4599" i="1"/>
  <c r="F4598" i="1"/>
  <c r="E4598" i="1"/>
  <c r="D4598" i="1"/>
  <c r="F4597" i="1"/>
  <c r="E4597" i="1"/>
  <c r="D4597" i="1"/>
  <c r="F4596" i="1"/>
  <c r="E4596" i="1"/>
  <c r="D4596" i="1"/>
  <c r="F4595" i="1"/>
  <c r="E4595" i="1"/>
  <c r="D4595" i="1"/>
  <c r="F4594" i="1"/>
  <c r="E4594" i="1"/>
  <c r="D4594" i="1"/>
  <c r="F4593" i="1"/>
  <c r="E4593" i="1"/>
  <c r="D4593" i="1"/>
  <c r="F4592" i="1"/>
  <c r="E4592" i="1"/>
  <c r="D4592" i="1"/>
  <c r="F4591" i="1"/>
  <c r="E4591" i="1"/>
  <c r="D4591" i="1"/>
  <c r="F4590" i="1"/>
  <c r="E4590" i="1"/>
  <c r="D4590" i="1"/>
  <c r="F4589" i="1"/>
  <c r="E4589" i="1"/>
  <c r="D4589" i="1"/>
  <c r="F4588" i="1"/>
  <c r="E4588" i="1"/>
  <c r="D4588" i="1"/>
  <c r="F4587" i="1"/>
  <c r="E4587" i="1"/>
  <c r="D4587" i="1"/>
  <c r="F4586" i="1"/>
  <c r="E4586" i="1"/>
  <c r="D4586" i="1"/>
  <c r="F4585" i="1"/>
  <c r="E4585" i="1"/>
  <c r="D4585" i="1"/>
  <c r="F4584" i="1"/>
  <c r="E4584" i="1"/>
  <c r="D4584" i="1"/>
  <c r="F4583" i="1"/>
  <c r="E4583" i="1"/>
  <c r="D4583" i="1"/>
  <c r="F4582" i="1"/>
  <c r="E4582" i="1"/>
  <c r="D4582" i="1"/>
  <c r="F4581" i="1"/>
  <c r="E4581" i="1"/>
  <c r="D4581" i="1"/>
  <c r="F4580" i="1"/>
  <c r="E4580" i="1"/>
  <c r="D4580" i="1"/>
  <c r="F4579" i="1"/>
  <c r="E4579" i="1"/>
  <c r="D4579" i="1"/>
  <c r="F4578" i="1"/>
  <c r="E4578" i="1"/>
  <c r="D4578" i="1"/>
  <c r="F4577" i="1"/>
  <c r="E4577" i="1"/>
  <c r="D4577" i="1"/>
  <c r="F4576" i="1"/>
  <c r="E4576" i="1"/>
  <c r="D4576" i="1"/>
  <c r="F4575" i="1"/>
  <c r="E4575" i="1"/>
  <c r="D4575" i="1"/>
  <c r="F4574" i="1"/>
  <c r="E4574" i="1"/>
  <c r="D4574" i="1"/>
  <c r="F4573" i="1"/>
  <c r="E4573" i="1"/>
  <c r="D4573" i="1"/>
  <c r="F4572" i="1"/>
  <c r="E4572" i="1"/>
  <c r="D4572" i="1"/>
  <c r="F4571" i="1"/>
  <c r="E4571" i="1"/>
  <c r="D4571" i="1"/>
  <c r="F4570" i="1"/>
  <c r="E4570" i="1"/>
  <c r="D4570" i="1"/>
  <c r="F4569" i="1"/>
  <c r="E4569" i="1"/>
  <c r="D4569" i="1"/>
  <c r="F4568" i="1"/>
  <c r="E4568" i="1"/>
  <c r="D4568" i="1"/>
  <c r="F4567" i="1"/>
  <c r="E4567" i="1"/>
  <c r="D4567" i="1"/>
  <c r="F4566" i="1"/>
  <c r="E4566" i="1"/>
  <c r="D4566" i="1"/>
  <c r="F4565" i="1"/>
  <c r="E4565" i="1"/>
  <c r="D4565" i="1"/>
  <c r="F4564" i="1"/>
  <c r="E4564" i="1"/>
  <c r="D4564" i="1"/>
  <c r="F4563" i="1"/>
  <c r="E4563" i="1"/>
  <c r="D4563" i="1"/>
  <c r="F4562" i="1"/>
  <c r="E4562" i="1"/>
  <c r="D4562" i="1"/>
  <c r="F4561" i="1"/>
  <c r="E4561" i="1"/>
  <c r="D4561" i="1"/>
  <c r="F4560" i="1"/>
  <c r="E4560" i="1"/>
  <c r="D4560" i="1"/>
  <c r="F4559" i="1"/>
  <c r="E4559" i="1"/>
  <c r="D4559" i="1"/>
  <c r="F4558" i="1"/>
  <c r="E4558" i="1"/>
  <c r="D4558" i="1"/>
  <c r="F4557" i="1"/>
  <c r="E4557" i="1"/>
  <c r="D4557" i="1"/>
  <c r="F4556" i="1"/>
  <c r="E4556" i="1"/>
  <c r="D4556" i="1"/>
  <c r="F4555" i="1"/>
  <c r="E4555" i="1"/>
  <c r="D4555" i="1"/>
  <c r="F4554" i="1"/>
  <c r="E4554" i="1"/>
  <c r="D4554" i="1"/>
  <c r="F4553" i="1"/>
  <c r="E4553" i="1"/>
  <c r="D4553" i="1"/>
  <c r="F4552" i="1"/>
  <c r="E4552" i="1"/>
  <c r="D4552" i="1"/>
  <c r="F4551" i="1"/>
  <c r="E4551" i="1"/>
  <c r="D4551" i="1"/>
  <c r="F4550" i="1"/>
  <c r="E4550" i="1"/>
  <c r="D4550" i="1"/>
  <c r="F4549" i="1"/>
  <c r="E4549" i="1"/>
  <c r="D4549" i="1"/>
  <c r="F4548" i="1"/>
  <c r="E4548" i="1"/>
  <c r="D4548" i="1"/>
  <c r="F4547" i="1"/>
  <c r="E4547" i="1"/>
  <c r="D4547" i="1"/>
  <c r="F4546" i="1"/>
  <c r="E4546" i="1"/>
  <c r="D4546" i="1"/>
  <c r="F4545" i="1"/>
  <c r="E4545" i="1"/>
  <c r="D4545" i="1"/>
  <c r="F4544" i="1"/>
  <c r="E4544" i="1"/>
  <c r="D4544" i="1"/>
  <c r="F4543" i="1"/>
  <c r="E4543" i="1"/>
  <c r="D4543" i="1"/>
  <c r="F4542" i="1"/>
  <c r="E4542" i="1"/>
  <c r="D4542" i="1"/>
  <c r="F4541" i="1"/>
  <c r="E4541" i="1"/>
  <c r="D4541" i="1"/>
  <c r="F4540" i="1"/>
  <c r="E4540" i="1"/>
  <c r="D4540" i="1"/>
  <c r="F4539" i="1"/>
  <c r="E4539" i="1"/>
  <c r="D4539" i="1"/>
  <c r="F4538" i="1"/>
  <c r="E4538" i="1"/>
  <c r="D4538" i="1"/>
  <c r="F4537" i="1"/>
  <c r="E4537" i="1"/>
  <c r="D4537" i="1"/>
  <c r="F4536" i="1"/>
  <c r="E4536" i="1"/>
  <c r="D4536" i="1"/>
  <c r="F4535" i="1"/>
  <c r="E4535" i="1"/>
  <c r="D4535" i="1"/>
  <c r="F4534" i="1"/>
  <c r="E4534" i="1"/>
  <c r="D4534" i="1"/>
  <c r="F4533" i="1"/>
  <c r="E4533" i="1"/>
  <c r="D4533" i="1"/>
  <c r="F4532" i="1"/>
  <c r="E4532" i="1"/>
  <c r="D4532" i="1"/>
  <c r="F4531" i="1"/>
  <c r="E4531" i="1"/>
  <c r="D4531" i="1"/>
  <c r="F4530" i="1"/>
  <c r="E4530" i="1"/>
  <c r="D4530" i="1"/>
  <c r="F4529" i="1"/>
  <c r="E4529" i="1"/>
  <c r="D4529" i="1"/>
  <c r="F4528" i="1"/>
  <c r="E4528" i="1"/>
  <c r="D4528" i="1"/>
  <c r="F4527" i="1"/>
  <c r="E4527" i="1"/>
  <c r="D4527" i="1"/>
  <c r="F4526" i="1"/>
  <c r="E4526" i="1"/>
  <c r="D4526" i="1"/>
  <c r="F4525" i="1"/>
  <c r="E4525" i="1"/>
  <c r="D4525" i="1"/>
  <c r="F4524" i="1"/>
  <c r="E4524" i="1"/>
  <c r="D4524" i="1"/>
  <c r="F4523" i="1"/>
  <c r="E4523" i="1"/>
  <c r="D4523" i="1"/>
  <c r="F4522" i="1"/>
  <c r="E4522" i="1"/>
  <c r="D4522" i="1"/>
  <c r="F4521" i="1"/>
  <c r="E4521" i="1"/>
  <c r="D4521" i="1"/>
  <c r="F4520" i="1"/>
  <c r="E4520" i="1"/>
  <c r="D4520" i="1"/>
  <c r="F4519" i="1"/>
  <c r="E4519" i="1"/>
  <c r="D4519" i="1"/>
  <c r="F4518" i="1"/>
  <c r="E4518" i="1"/>
  <c r="D4518" i="1"/>
  <c r="F4517" i="1"/>
  <c r="E4517" i="1"/>
  <c r="D4517" i="1"/>
  <c r="F4516" i="1"/>
  <c r="E4516" i="1"/>
  <c r="D4516" i="1"/>
  <c r="F4515" i="1"/>
  <c r="E4515" i="1"/>
  <c r="D4515" i="1"/>
  <c r="F4514" i="1"/>
  <c r="E4514" i="1"/>
  <c r="D4514" i="1"/>
  <c r="F4513" i="1"/>
  <c r="E4513" i="1"/>
  <c r="D4513" i="1"/>
  <c r="F4512" i="1"/>
  <c r="E4512" i="1"/>
  <c r="D4512" i="1"/>
  <c r="F4511" i="1"/>
  <c r="E4511" i="1"/>
  <c r="D4511" i="1"/>
  <c r="F4510" i="1"/>
  <c r="E4510" i="1"/>
  <c r="D4510" i="1"/>
  <c r="F4509" i="1"/>
  <c r="E4509" i="1"/>
  <c r="D4509" i="1"/>
  <c r="F4508" i="1"/>
  <c r="E4508" i="1"/>
  <c r="D4508" i="1"/>
  <c r="F4507" i="1"/>
  <c r="E4507" i="1"/>
  <c r="D4507" i="1"/>
  <c r="F4506" i="1"/>
  <c r="E4506" i="1"/>
  <c r="D4506" i="1"/>
  <c r="F4505" i="1"/>
  <c r="E4505" i="1"/>
  <c r="D4505" i="1"/>
  <c r="F4504" i="1"/>
  <c r="E4504" i="1"/>
  <c r="D4504" i="1"/>
  <c r="F4503" i="1"/>
  <c r="E4503" i="1"/>
  <c r="D4503" i="1"/>
  <c r="F4502" i="1"/>
  <c r="E4502" i="1"/>
  <c r="D4502" i="1"/>
  <c r="F4501" i="1"/>
  <c r="E4501" i="1"/>
  <c r="D4501" i="1"/>
  <c r="F4500" i="1"/>
  <c r="E4500" i="1"/>
  <c r="D4500" i="1"/>
  <c r="F4499" i="1"/>
  <c r="E4499" i="1"/>
  <c r="D4499" i="1"/>
  <c r="F4498" i="1"/>
  <c r="E4498" i="1"/>
  <c r="D4498" i="1"/>
  <c r="F4497" i="1"/>
  <c r="E4497" i="1"/>
  <c r="D4497" i="1"/>
  <c r="F4496" i="1"/>
  <c r="E4496" i="1"/>
  <c r="D4496" i="1"/>
  <c r="F4495" i="1"/>
  <c r="E4495" i="1"/>
  <c r="D4495" i="1"/>
  <c r="F4494" i="1"/>
  <c r="E4494" i="1"/>
  <c r="D4494" i="1"/>
  <c r="F4493" i="1"/>
  <c r="E4493" i="1"/>
  <c r="D4493" i="1"/>
  <c r="F4492" i="1"/>
  <c r="E4492" i="1"/>
  <c r="D4492" i="1"/>
  <c r="F4491" i="1"/>
  <c r="E4491" i="1"/>
  <c r="D4491" i="1"/>
  <c r="F4490" i="1"/>
  <c r="E4490" i="1"/>
  <c r="D4490" i="1"/>
  <c r="F4489" i="1"/>
  <c r="E4489" i="1"/>
  <c r="D4489" i="1"/>
  <c r="F4488" i="1"/>
  <c r="E4488" i="1"/>
  <c r="D4488" i="1"/>
  <c r="F4487" i="1"/>
  <c r="E4487" i="1"/>
  <c r="D4487" i="1"/>
  <c r="F4486" i="1"/>
  <c r="E4486" i="1"/>
  <c r="D4486" i="1"/>
  <c r="F4485" i="1"/>
  <c r="E4485" i="1"/>
  <c r="D4485" i="1"/>
  <c r="F4484" i="1"/>
  <c r="E4484" i="1"/>
  <c r="D4484" i="1"/>
  <c r="F4483" i="1"/>
  <c r="E4483" i="1"/>
  <c r="D4483" i="1"/>
  <c r="F4482" i="1"/>
  <c r="E4482" i="1"/>
  <c r="D4482" i="1"/>
  <c r="F4481" i="1"/>
  <c r="E4481" i="1"/>
  <c r="D4481" i="1"/>
  <c r="F4480" i="1"/>
  <c r="E4480" i="1"/>
  <c r="D4480" i="1"/>
  <c r="F4479" i="1"/>
  <c r="E4479" i="1"/>
  <c r="D4479" i="1"/>
  <c r="F4478" i="1"/>
  <c r="E4478" i="1"/>
  <c r="D4478" i="1"/>
  <c r="F4477" i="1"/>
  <c r="E4477" i="1"/>
  <c r="D4477" i="1"/>
  <c r="F4476" i="1"/>
  <c r="E4476" i="1"/>
  <c r="D4476" i="1"/>
  <c r="F4475" i="1"/>
  <c r="E4475" i="1"/>
  <c r="D4475" i="1"/>
  <c r="F4474" i="1"/>
  <c r="E4474" i="1"/>
  <c r="D4474" i="1"/>
  <c r="F4473" i="1"/>
  <c r="E4473" i="1"/>
  <c r="D4473" i="1"/>
  <c r="F4472" i="1"/>
  <c r="E4472" i="1"/>
  <c r="D4472" i="1"/>
  <c r="F4471" i="1"/>
  <c r="E4471" i="1"/>
  <c r="D4471" i="1"/>
  <c r="F4470" i="1"/>
  <c r="E4470" i="1"/>
  <c r="D4470" i="1"/>
  <c r="F4469" i="1"/>
  <c r="E4469" i="1"/>
  <c r="D4469" i="1"/>
  <c r="F4468" i="1"/>
  <c r="E4468" i="1"/>
  <c r="D4468" i="1"/>
  <c r="F4467" i="1"/>
  <c r="E4467" i="1"/>
  <c r="D4467" i="1"/>
  <c r="F4466" i="1"/>
  <c r="E4466" i="1"/>
  <c r="D4466" i="1"/>
  <c r="F4465" i="1"/>
  <c r="E4465" i="1"/>
  <c r="D4465" i="1"/>
  <c r="F4464" i="1"/>
  <c r="E4464" i="1"/>
  <c r="D4464" i="1"/>
  <c r="F4463" i="1"/>
  <c r="E4463" i="1"/>
  <c r="D4463" i="1"/>
  <c r="F4462" i="1"/>
  <c r="E4462" i="1"/>
  <c r="D4462" i="1"/>
  <c r="F4461" i="1"/>
  <c r="E4461" i="1"/>
  <c r="D4461" i="1"/>
  <c r="F4460" i="1"/>
  <c r="E4460" i="1"/>
  <c r="D4460" i="1"/>
  <c r="F4459" i="1"/>
  <c r="E4459" i="1"/>
  <c r="D4459" i="1"/>
  <c r="F4458" i="1"/>
  <c r="E4458" i="1"/>
  <c r="D4458" i="1"/>
  <c r="F4457" i="1"/>
  <c r="E4457" i="1"/>
  <c r="D4457" i="1"/>
  <c r="F4456" i="1"/>
  <c r="E4456" i="1"/>
  <c r="D4456" i="1"/>
  <c r="F4455" i="1"/>
  <c r="E4455" i="1"/>
  <c r="D4455" i="1"/>
  <c r="F4454" i="1"/>
  <c r="E4454" i="1"/>
  <c r="D4454" i="1"/>
  <c r="F4453" i="1"/>
  <c r="E4453" i="1"/>
  <c r="D4453" i="1"/>
  <c r="F4452" i="1"/>
  <c r="E4452" i="1"/>
  <c r="D4452" i="1"/>
  <c r="F4451" i="1"/>
  <c r="E4451" i="1"/>
  <c r="D4451" i="1"/>
  <c r="F4450" i="1"/>
  <c r="E4450" i="1"/>
  <c r="D4450" i="1"/>
  <c r="F4449" i="1"/>
  <c r="E4449" i="1"/>
  <c r="D4449" i="1"/>
  <c r="F4448" i="1"/>
  <c r="E4448" i="1"/>
  <c r="D4448" i="1"/>
  <c r="F4447" i="1"/>
  <c r="E4447" i="1"/>
  <c r="D4447" i="1"/>
  <c r="F4446" i="1"/>
  <c r="E4446" i="1"/>
  <c r="D4446" i="1"/>
  <c r="F4445" i="1"/>
  <c r="E4445" i="1"/>
  <c r="D4445" i="1"/>
  <c r="F4444" i="1"/>
  <c r="E4444" i="1"/>
  <c r="D4444" i="1"/>
  <c r="F4443" i="1"/>
  <c r="E4443" i="1"/>
  <c r="D4443" i="1"/>
  <c r="F4442" i="1"/>
  <c r="E4442" i="1"/>
  <c r="D4442" i="1"/>
  <c r="F4441" i="1"/>
  <c r="E4441" i="1"/>
  <c r="D4441" i="1"/>
  <c r="F4440" i="1"/>
  <c r="E4440" i="1"/>
  <c r="D4440" i="1"/>
  <c r="F4439" i="1"/>
  <c r="E4439" i="1"/>
  <c r="D4439" i="1"/>
  <c r="F4438" i="1"/>
  <c r="E4438" i="1"/>
  <c r="D4438" i="1"/>
  <c r="F4437" i="1"/>
  <c r="E4437" i="1"/>
  <c r="D4437" i="1"/>
  <c r="F4436" i="1"/>
  <c r="E4436" i="1"/>
  <c r="D4436" i="1"/>
  <c r="F4435" i="1"/>
  <c r="E4435" i="1"/>
  <c r="D4435" i="1"/>
  <c r="F4434" i="1"/>
  <c r="E4434" i="1"/>
  <c r="D4434" i="1"/>
  <c r="F4433" i="1"/>
  <c r="E4433" i="1"/>
  <c r="D4433" i="1"/>
  <c r="F4432" i="1"/>
  <c r="E4432" i="1"/>
  <c r="D4432" i="1"/>
  <c r="F4431" i="1"/>
  <c r="E4431" i="1"/>
  <c r="D4431" i="1"/>
  <c r="F4430" i="1"/>
  <c r="E4430" i="1"/>
  <c r="D4430" i="1"/>
  <c r="F4429" i="1"/>
  <c r="E4429" i="1"/>
  <c r="D4429" i="1"/>
  <c r="F4428" i="1"/>
  <c r="E4428" i="1"/>
  <c r="D4428" i="1"/>
  <c r="F4427" i="1"/>
  <c r="E4427" i="1"/>
  <c r="D4427" i="1"/>
  <c r="F4426" i="1"/>
  <c r="E4426" i="1"/>
  <c r="D4426" i="1"/>
  <c r="F4425" i="1"/>
  <c r="E4425" i="1"/>
  <c r="D4425" i="1"/>
  <c r="F4424" i="1"/>
  <c r="E4424" i="1"/>
  <c r="D4424" i="1"/>
  <c r="F4423" i="1"/>
  <c r="E4423" i="1"/>
  <c r="D4423" i="1"/>
  <c r="F4422" i="1"/>
  <c r="E4422" i="1"/>
  <c r="D4422" i="1"/>
  <c r="F4421" i="1"/>
  <c r="E4421" i="1"/>
  <c r="D4421" i="1"/>
  <c r="F4420" i="1"/>
  <c r="E4420" i="1"/>
  <c r="D4420" i="1"/>
  <c r="F4419" i="1"/>
  <c r="E4419" i="1"/>
  <c r="D4419" i="1"/>
  <c r="F4418" i="1"/>
  <c r="E4418" i="1"/>
  <c r="D4418" i="1"/>
  <c r="F4417" i="1"/>
  <c r="E4417" i="1"/>
  <c r="D4417" i="1"/>
  <c r="F4416" i="1"/>
  <c r="E4416" i="1"/>
  <c r="D4416" i="1"/>
  <c r="F4415" i="1"/>
  <c r="E4415" i="1"/>
  <c r="D4415" i="1"/>
  <c r="F4414" i="1"/>
  <c r="E4414" i="1"/>
  <c r="D4414" i="1"/>
  <c r="F4413" i="1"/>
  <c r="E4413" i="1"/>
  <c r="D4413" i="1"/>
  <c r="F4412" i="1"/>
  <c r="E4412" i="1"/>
  <c r="D4412" i="1"/>
  <c r="F4411" i="1"/>
  <c r="E4411" i="1"/>
  <c r="D4411" i="1"/>
  <c r="F4410" i="1"/>
  <c r="E4410" i="1"/>
  <c r="D4410" i="1"/>
  <c r="F4409" i="1"/>
  <c r="E4409" i="1"/>
  <c r="D4409" i="1"/>
  <c r="F4408" i="1"/>
  <c r="E4408" i="1"/>
  <c r="D4408" i="1"/>
  <c r="F4407" i="1"/>
  <c r="E4407" i="1"/>
  <c r="D4407" i="1"/>
  <c r="F4406" i="1"/>
  <c r="E4406" i="1"/>
  <c r="D4406" i="1"/>
  <c r="F4405" i="1"/>
  <c r="E4405" i="1"/>
  <c r="D4405" i="1"/>
  <c r="F4404" i="1"/>
  <c r="E4404" i="1"/>
  <c r="D4404" i="1"/>
  <c r="F4403" i="1"/>
  <c r="E4403" i="1"/>
  <c r="D4403" i="1"/>
  <c r="F4402" i="1"/>
  <c r="E4402" i="1"/>
  <c r="D4402" i="1"/>
  <c r="F4401" i="1"/>
  <c r="E4401" i="1"/>
  <c r="D4401" i="1"/>
  <c r="F4400" i="1"/>
  <c r="E4400" i="1"/>
  <c r="D4400" i="1"/>
  <c r="F4399" i="1"/>
  <c r="E4399" i="1"/>
  <c r="D4399" i="1"/>
  <c r="F4398" i="1"/>
  <c r="E4398" i="1"/>
  <c r="D4398" i="1"/>
  <c r="F4397" i="1"/>
  <c r="E4397" i="1"/>
  <c r="D4397" i="1"/>
  <c r="F4396" i="1"/>
  <c r="E4396" i="1"/>
  <c r="D4396" i="1"/>
  <c r="F4395" i="1"/>
  <c r="E4395" i="1"/>
  <c r="D4395" i="1"/>
  <c r="F4394" i="1"/>
  <c r="E4394" i="1"/>
  <c r="D4394" i="1"/>
  <c r="F4393" i="1"/>
  <c r="E4393" i="1"/>
  <c r="D4393" i="1"/>
  <c r="F4392" i="1"/>
  <c r="E4392" i="1"/>
  <c r="D4392" i="1"/>
  <c r="F4391" i="1"/>
  <c r="E4391" i="1"/>
  <c r="D4391" i="1"/>
  <c r="F4390" i="1"/>
  <c r="E4390" i="1"/>
  <c r="D4390" i="1"/>
  <c r="F4389" i="1"/>
  <c r="E4389" i="1"/>
  <c r="D4389" i="1"/>
  <c r="F4388" i="1"/>
  <c r="E4388" i="1"/>
  <c r="D4388" i="1"/>
  <c r="F4387" i="1"/>
  <c r="E4387" i="1"/>
  <c r="D4387" i="1"/>
  <c r="F4386" i="1"/>
  <c r="E4386" i="1"/>
  <c r="D4386" i="1"/>
  <c r="F4385" i="1"/>
  <c r="E4385" i="1"/>
  <c r="D4385" i="1"/>
  <c r="F4384" i="1"/>
  <c r="E4384" i="1"/>
  <c r="D4384" i="1"/>
  <c r="F4383" i="1"/>
  <c r="E4383" i="1"/>
  <c r="D4383" i="1"/>
  <c r="F4382" i="1"/>
  <c r="E4382" i="1"/>
  <c r="D4382" i="1"/>
  <c r="F4381" i="1"/>
  <c r="E4381" i="1"/>
  <c r="D4381" i="1"/>
  <c r="F4380" i="1"/>
  <c r="E4380" i="1"/>
  <c r="D4380" i="1"/>
  <c r="F4379" i="1"/>
  <c r="E4379" i="1"/>
  <c r="D4379" i="1"/>
  <c r="F4378" i="1"/>
  <c r="E4378" i="1"/>
  <c r="D4378" i="1"/>
  <c r="F4377" i="1"/>
  <c r="E4377" i="1"/>
  <c r="D4377" i="1"/>
  <c r="F4376" i="1"/>
  <c r="E4376" i="1"/>
  <c r="D4376" i="1"/>
  <c r="F4375" i="1"/>
  <c r="E4375" i="1"/>
  <c r="D4375" i="1"/>
  <c r="F4374" i="1"/>
  <c r="E4374" i="1"/>
  <c r="D4374" i="1"/>
  <c r="F4373" i="1"/>
  <c r="E4373" i="1"/>
  <c r="D4373" i="1"/>
  <c r="F4372" i="1"/>
  <c r="E4372" i="1"/>
  <c r="D4372" i="1"/>
  <c r="F4371" i="1"/>
  <c r="E4371" i="1"/>
  <c r="D4371" i="1"/>
  <c r="F4370" i="1"/>
  <c r="E4370" i="1"/>
  <c r="D4370" i="1"/>
  <c r="F4369" i="1"/>
  <c r="E4369" i="1"/>
  <c r="D4369" i="1"/>
  <c r="F4368" i="1"/>
  <c r="E4368" i="1"/>
  <c r="D4368" i="1"/>
  <c r="F4367" i="1"/>
  <c r="E4367" i="1"/>
  <c r="D4367" i="1"/>
  <c r="F4366" i="1"/>
  <c r="E4366" i="1"/>
  <c r="D4366" i="1"/>
  <c r="F4365" i="1"/>
  <c r="E4365" i="1"/>
  <c r="D4365" i="1"/>
  <c r="F4364" i="1"/>
  <c r="E4364" i="1"/>
  <c r="D4364" i="1"/>
  <c r="F4363" i="1"/>
  <c r="E4363" i="1"/>
  <c r="D4363" i="1"/>
  <c r="F4362" i="1"/>
  <c r="E4362" i="1"/>
  <c r="D4362" i="1"/>
  <c r="F4361" i="1"/>
  <c r="E4361" i="1"/>
  <c r="D4361" i="1"/>
  <c r="F4360" i="1"/>
  <c r="E4360" i="1"/>
  <c r="D4360" i="1"/>
  <c r="F4359" i="1"/>
  <c r="E4359" i="1"/>
  <c r="D4359" i="1"/>
  <c r="F4358" i="1"/>
  <c r="E4358" i="1"/>
  <c r="D4358" i="1"/>
  <c r="F4357" i="1"/>
  <c r="E4357" i="1"/>
  <c r="D4357" i="1"/>
  <c r="F4356" i="1"/>
  <c r="E4356" i="1"/>
  <c r="D4356" i="1"/>
  <c r="F4355" i="1"/>
  <c r="E4355" i="1"/>
  <c r="D4355" i="1"/>
  <c r="F4354" i="1"/>
  <c r="E4354" i="1"/>
  <c r="D4354" i="1"/>
  <c r="F4353" i="1"/>
  <c r="E4353" i="1"/>
  <c r="D4353" i="1"/>
  <c r="F4352" i="1"/>
  <c r="E4352" i="1"/>
  <c r="D4352" i="1"/>
  <c r="F4351" i="1"/>
  <c r="E4351" i="1"/>
  <c r="D4351" i="1"/>
  <c r="F4350" i="1"/>
  <c r="E4350" i="1"/>
  <c r="D4350" i="1"/>
  <c r="F4349" i="1"/>
  <c r="E4349" i="1"/>
  <c r="D4349" i="1"/>
  <c r="F4348" i="1"/>
  <c r="E4348" i="1"/>
  <c r="D4348" i="1"/>
  <c r="F4347" i="1"/>
  <c r="E4347" i="1"/>
  <c r="D4347" i="1"/>
  <c r="F4346" i="1"/>
  <c r="E4346" i="1"/>
  <c r="D4346" i="1"/>
  <c r="F4345" i="1"/>
  <c r="E4345" i="1"/>
  <c r="D4345" i="1"/>
  <c r="F4344" i="1"/>
  <c r="E4344" i="1"/>
  <c r="D4344" i="1"/>
  <c r="F4343" i="1"/>
  <c r="E4343" i="1"/>
  <c r="D4343" i="1"/>
  <c r="F4342" i="1"/>
  <c r="E4342" i="1"/>
  <c r="D4342" i="1"/>
  <c r="F4341" i="1"/>
  <c r="E4341" i="1"/>
  <c r="D4341" i="1"/>
  <c r="F4340" i="1"/>
  <c r="E4340" i="1"/>
  <c r="D4340" i="1"/>
  <c r="F4339" i="1"/>
  <c r="E4339" i="1"/>
  <c r="D4339" i="1"/>
  <c r="F4338" i="1"/>
  <c r="E4338" i="1"/>
  <c r="D4338" i="1"/>
  <c r="F4337" i="1"/>
  <c r="E4337" i="1"/>
  <c r="D4337" i="1"/>
  <c r="F4336" i="1"/>
  <c r="E4336" i="1"/>
  <c r="D4336" i="1"/>
  <c r="F4335" i="1"/>
  <c r="E4335" i="1"/>
  <c r="D4335" i="1"/>
  <c r="F4334" i="1"/>
  <c r="E4334" i="1"/>
  <c r="D4334" i="1"/>
  <c r="F4333" i="1"/>
  <c r="E4333" i="1"/>
  <c r="D4333" i="1"/>
  <c r="F4332" i="1"/>
  <c r="E4332" i="1"/>
  <c r="D4332" i="1"/>
  <c r="F4331" i="1"/>
  <c r="E4331" i="1"/>
  <c r="D4331" i="1"/>
  <c r="F4330" i="1"/>
  <c r="E4330" i="1"/>
  <c r="D4330" i="1"/>
  <c r="F4329" i="1"/>
  <c r="E4329" i="1"/>
  <c r="D4329" i="1"/>
  <c r="F4328" i="1"/>
  <c r="E4328" i="1"/>
  <c r="D4328" i="1"/>
  <c r="F4327" i="1"/>
  <c r="E4327" i="1"/>
  <c r="D4327" i="1"/>
  <c r="F4326" i="1"/>
  <c r="E4326" i="1"/>
  <c r="D4326" i="1"/>
  <c r="F4325" i="1"/>
  <c r="E4325" i="1"/>
  <c r="D4325" i="1"/>
  <c r="F4324" i="1"/>
  <c r="E4324" i="1"/>
  <c r="D4324" i="1"/>
  <c r="F4323" i="1"/>
  <c r="E4323" i="1"/>
  <c r="D4323" i="1"/>
  <c r="F4322" i="1"/>
  <c r="E4322" i="1"/>
  <c r="D4322" i="1"/>
  <c r="F4321" i="1"/>
  <c r="E4321" i="1"/>
  <c r="D4321" i="1"/>
  <c r="F4320" i="1"/>
  <c r="E4320" i="1"/>
  <c r="D4320" i="1"/>
  <c r="F4319" i="1"/>
  <c r="E4319" i="1"/>
  <c r="D4319" i="1"/>
  <c r="F4318" i="1"/>
  <c r="E4318" i="1"/>
  <c r="D4318" i="1"/>
  <c r="F4317" i="1"/>
  <c r="E4317" i="1"/>
  <c r="D4317" i="1"/>
  <c r="F4316" i="1"/>
  <c r="E4316" i="1"/>
  <c r="D4316" i="1"/>
  <c r="F4315" i="1"/>
  <c r="E4315" i="1"/>
  <c r="D4315" i="1"/>
  <c r="F4314" i="1"/>
  <c r="E4314" i="1"/>
  <c r="D4314" i="1"/>
  <c r="F4313" i="1"/>
  <c r="E4313" i="1"/>
  <c r="D4313" i="1"/>
  <c r="F4312" i="1"/>
  <c r="E4312" i="1"/>
  <c r="D4312" i="1"/>
  <c r="F4311" i="1"/>
  <c r="E4311" i="1"/>
  <c r="D4311" i="1"/>
  <c r="F4310" i="1"/>
  <c r="E4310" i="1"/>
  <c r="D4310" i="1"/>
  <c r="F4309" i="1"/>
  <c r="E4309" i="1"/>
  <c r="D4309" i="1"/>
  <c r="F4308" i="1"/>
  <c r="E4308" i="1"/>
  <c r="D4308" i="1"/>
  <c r="F4307" i="1"/>
  <c r="E4307" i="1"/>
  <c r="D4307" i="1"/>
  <c r="F4306" i="1"/>
  <c r="E4306" i="1"/>
  <c r="D4306" i="1"/>
  <c r="F4305" i="1"/>
  <c r="E4305" i="1"/>
  <c r="D4305" i="1"/>
  <c r="F4304" i="1"/>
  <c r="E4304" i="1"/>
  <c r="D4304" i="1"/>
  <c r="F4303" i="1"/>
  <c r="E4303" i="1"/>
  <c r="D4303" i="1"/>
  <c r="F4302" i="1"/>
  <c r="E4302" i="1"/>
  <c r="D4302" i="1"/>
  <c r="F4301" i="1"/>
  <c r="E4301" i="1"/>
  <c r="D4301" i="1"/>
  <c r="F4300" i="1"/>
  <c r="E4300" i="1"/>
  <c r="D4300" i="1"/>
  <c r="F4299" i="1"/>
  <c r="E4299" i="1"/>
  <c r="D4299" i="1"/>
  <c r="F4298" i="1"/>
  <c r="E4298" i="1"/>
  <c r="D4298" i="1"/>
  <c r="F4297" i="1"/>
  <c r="E4297" i="1"/>
  <c r="D4297" i="1"/>
  <c r="F4296" i="1"/>
  <c r="E4296" i="1"/>
  <c r="D4296" i="1"/>
  <c r="F4295" i="1"/>
  <c r="E4295" i="1"/>
  <c r="D4295" i="1"/>
  <c r="F4294" i="1"/>
  <c r="E4294" i="1"/>
  <c r="D4294" i="1"/>
  <c r="F4293" i="1"/>
  <c r="E4293" i="1"/>
  <c r="D4293" i="1"/>
  <c r="F4292" i="1"/>
  <c r="E4292" i="1"/>
  <c r="D4292" i="1"/>
  <c r="F4291" i="1"/>
  <c r="E4291" i="1"/>
  <c r="D4291" i="1"/>
  <c r="F4290" i="1"/>
  <c r="E4290" i="1"/>
  <c r="D4290" i="1"/>
  <c r="F4289" i="1"/>
  <c r="E4289" i="1"/>
  <c r="D4289" i="1"/>
  <c r="F4288" i="1"/>
  <c r="E4288" i="1"/>
  <c r="D4288" i="1"/>
  <c r="F4287" i="1"/>
  <c r="E4287" i="1"/>
  <c r="D4287" i="1"/>
  <c r="F4286" i="1"/>
  <c r="E4286" i="1"/>
  <c r="D4286" i="1"/>
  <c r="F4285" i="1"/>
  <c r="E4285" i="1"/>
  <c r="D4285" i="1"/>
  <c r="F4284" i="1"/>
  <c r="E4284" i="1"/>
  <c r="D4284" i="1"/>
  <c r="F4283" i="1"/>
  <c r="E4283" i="1"/>
  <c r="D4283" i="1"/>
  <c r="F4282" i="1"/>
  <c r="E4282" i="1"/>
  <c r="D4282" i="1"/>
  <c r="F4281" i="1"/>
  <c r="E4281" i="1"/>
  <c r="D4281" i="1"/>
  <c r="F4280" i="1"/>
  <c r="E4280" i="1"/>
  <c r="D4280" i="1"/>
  <c r="F4279" i="1"/>
  <c r="E4279" i="1"/>
  <c r="D4279" i="1"/>
  <c r="F4278" i="1"/>
  <c r="E4278" i="1"/>
  <c r="D4278" i="1"/>
  <c r="F4277" i="1"/>
  <c r="E4277" i="1"/>
  <c r="D4277" i="1"/>
  <c r="F4276" i="1"/>
  <c r="E4276" i="1"/>
  <c r="D4276" i="1"/>
  <c r="F4275" i="1"/>
  <c r="E4275" i="1"/>
  <c r="D4275" i="1"/>
  <c r="F4274" i="1"/>
  <c r="E4274" i="1"/>
  <c r="D4274" i="1"/>
  <c r="F4273" i="1"/>
  <c r="E4273" i="1"/>
  <c r="D4273" i="1"/>
  <c r="F4272" i="1"/>
  <c r="E4272" i="1"/>
  <c r="D4272" i="1"/>
  <c r="F4271" i="1"/>
  <c r="E4271" i="1"/>
  <c r="D4271" i="1"/>
  <c r="F4270" i="1"/>
  <c r="E4270" i="1"/>
  <c r="D4270" i="1"/>
  <c r="F4269" i="1"/>
  <c r="E4269" i="1"/>
  <c r="D4269" i="1"/>
  <c r="F4268" i="1"/>
  <c r="E4268" i="1"/>
  <c r="D4268" i="1"/>
  <c r="F4267" i="1"/>
  <c r="E4267" i="1"/>
  <c r="D4267" i="1"/>
  <c r="F4266" i="1"/>
  <c r="E4266" i="1"/>
  <c r="D4266" i="1"/>
  <c r="F4265" i="1"/>
  <c r="E4265" i="1"/>
  <c r="D4265" i="1"/>
  <c r="F4264" i="1"/>
  <c r="E4264" i="1"/>
  <c r="D4264" i="1"/>
  <c r="F4263" i="1"/>
  <c r="E4263" i="1"/>
  <c r="D4263" i="1"/>
  <c r="F4262" i="1"/>
  <c r="E4262" i="1"/>
  <c r="D4262" i="1"/>
  <c r="F4261" i="1"/>
  <c r="E4261" i="1"/>
  <c r="D4261" i="1"/>
  <c r="F4260" i="1"/>
  <c r="E4260" i="1"/>
  <c r="D4260" i="1"/>
  <c r="F4259" i="1"/>
  <c r="E4259" i="1"/>
  <c r="D4259" i="1"/>
  <c r="F4258" i="1"/>
  <c r="E4258" i="1"/>
  <c r="D4258" i="1"/>
  <c r="F4257" i="1"/>
  <c r="E4257" i="1"/>
  <c r="D4257" i="1"/>
  <c r="F4256" i="1"/>
  <c r="E4256" i="1"/>
  <c r="D4256" i="1"/>
  <c r="F4255" i="1"/>
  <c r="E4255" i="1"/>
  <c r="D4255" i="1"/>
  <c r="F4254" i="1"/>
  <c r="E4254" i="1"/>
  <c r="D4254" i="1"/>
  <c r="F4253" i="1"/>
  <c r="E4253" i="1"/>
  <c r="D4253" i="1"/>
  <c r="F4252" i="1"/>
  <c r="E4252" i="1"/>
  <c r="D4252" i="1"/>
  <c r="F4251" i="1"/>
  <c r="E4251" i="1"/>
  <c r="D4251" i="1"/>
  <c r="F4250" i="1"/>
  <c r="E4250" i="1"/>
  <c r="D4250" i="1"/>
  <c r="F4249" i="1"/>
  <c r="E4249" i="1"/>
  <c r="D4249" i="1"/>
  <c r="F4248" i="1"/>
  <c r="E4248" i="1"/>
  <c r="D4248" i="1"/>
  <c r="F4247" i="1"/>
  <c r="E4247" i="1"/>
  <c r="D4247" i="1"/>
  <c r="F4246" i="1"/>
  <c r="E4246" i="1"/>
  <c r="D4246" i="1"/>
  <c r="F4245" i="1"/>
  <c r="E4245" i="1"/>
  <c r="D4245" i="1"/>
  <c r="F4244" i="1"/>
  <c r="E4244" i="1"/>
  <c r="D4244" i="1"/>
  <c r="F4243" i="1"/>
  <c r="E4243" i="1"/>
  <c r="D4243" i="1"/>
  <c r="F4242" i="1"/>
  <c r="E4242" i="1"/>
  <c r="D4242" i="1"/>
  <c r="F4241" i="1"/>
  <c r="E4241" i="1"/>
  <c r="D4241" i="1"/>
  <c r="F4240" i="1"/>
  <c r="E4240" i="1"/>
  <c r="D4240" i="1"/>
  <c r="F4239" i="1"/>
  <c r="E4239" i="1"/>
  <c r="D4239" i="1"/>
  <c r="F4238" i="1"/>
  <c r="E4238" i="1"/>
  <c r="D4238" i="1"/>
  <c r="F4237" i="1"/>
  <c r="E4237" i="1"/>
  <c r="D4237" i="1"/>
  <c r="F4236" i="1"/>
  <c r="E4236" i="1"/>
  <c r="D4236" i="1"/>
  <c r="F4235" i="1"/>
  <c r="E4235" i="1"/>
  <c r="D4235" i="1"/>
  <c r="F4234" i="1"/>
  <c r="E4234" i="1"/>
  <c r="D4234" i="1"/>
  <c r="F4233" i="1"/>
  <c r="E4233" i="1"/>
  <c r="D4233" i="1"/>
  <c r="F4232" i="1"/>
  <c r="E4232" i="1"/>
  <c r="D4232" i="1"/>
  <c r="F4231" i="1"/>
  <c r="E4231" i="1"/>
  <c r="D4231" i="1"/>
  <c r="F4230" i="1"/>
  <c r="E4230" i="1"/>
  <c r="D4230" i="1"/>
  <c r="F4229" i="1"/>
  <c r="E4229" i="1"/>
  <c r="D4229" i="1"/>
  <c r="F4228" i="1"/>
  <c r="E4228" i="1"/>
  <c r="D4228" i="1"/>
  <c r="F4227" i="1"/>
  <c r="E4227" i="1"/>
  <c r="D4227" i="1"/>
  <c r="F4226" i="1"/>
  <c r="E4226" i="1"/>
  <c r="D4226" i="1"/>
  <c r="F4225" i="1"/>
  <c r="E4225" i="1"/>
  <c r="D4225" i="1"/>
  <c r="F4224" i="1"/>
  <c r="E4224" i="1"/>
  <c r="D4224" i="1"/>
  <c r="F4223" i="1"/>
  <c r="E4223" i="1"/>
  <c r="D4223" i="1"/>
  <c r="F4222" i="1"/>
  <c r="E4222" i="1"/>
  <c r="D4222" i="1"/>
  <c r="F4221" i="1"/>
  <c r="E4221" i="1"/>
  <c r="D4221" i="1"/>
  <c r="F4220" i="1"/>
  <c r="E4220" i="1"/>
  <c r="D4220" i="1"/>
  <c r="F4219" i="1"/>
  <c r="E4219" i="1"/>
  <c r="D4219" i="1"/>
  <c r="F4218" i="1"/>
  <c r="E4218" i="1"/>
  <c r="D4218" i="1"/>
  <c r="F4217" i="1"/>
  <c r="E4217" i="1"/>
  <c r="D4217" i="1"/>
  <c r="F4216" i="1"/>
  <c r="E4216" i="1"/>
  <c r="D4216" i="1"/>
  <c r="F4215" i="1"/>
  <c r="E4215" i="1"/>
  <c r="D4215" i="1"/>
  <c r="F4214" i="1"/>
  <c r="E4214" i="1"/>
  <c r="D4214" i="1"/>
  <c r="F4213" i="1"/>
  <c r="E4213" i="1"/>
  <c r="D4213" i="1"/>
  <c r="F4212" i="1"/>
  <c r="E4212" i="1"/>
  <c r="D4212" i="1"/>
  <c r="F4211" i="1"/>
  <c r="E4211" i="1"/>
  <c r="D4211" i="1"/>
  <c r="F4210" i="1"/>
  <c r="E4210" i="1"/>
  <c r="D4210" i="1"/>
  <c r="F4209" i="1"/>
  <c r="E4209" i="1"/>
  <c r="D4209" i="1"/>
  <c r="F4208" i="1"/>
  <c r="E4208" i="1"/>
  <c r="D4208" i="1"/>
  <c r="F4207" i="1"/>
  <c r="E4207" i="1"/>
  <c r="D4207" i="1"/>
  <c r="F4206" i="1"/>
  <c r="E4206" i="1"/>
  <c r="D4206" i="1"/>
  <c r="F4205" i="1"/>
  <c r="E4205" i="1"/>
  <c r="D4205" i="1"/>
  <c r="F4204" i="1"/>
  <c r="E4204" i="1"/>
  <c r="D4204" i="1"/>
  <c r="F4203" i="1"/>
  <c r="E4203" i="1"/>
  <c r="D4203" i="1"/>
  <c r="F4202" i="1"/>
  <c r="E4202" i="1"/>
  <c r="D4202" i="1"/>
  <c r="F4201" i="1"/>
  <c r="E4201" i="1"/>
  <c r="D4201" i="1"/>
  <c r="F4200" i="1"/>
  <c r="E4200" i="1"/>
  <c r="D4200" i="1"/>
  <c r="F4199" i="1"/>
  <c r="E4199" i="1"/>
  <c r="D4199" i="1"/>
  <c r="F4198" i="1"/>
  <c r="E4198" i="1"/>
  <c r="D4198" i="1"/>
  <c r="F4197" i="1"/>
  <c r="E4197" i="1"/>
  <c r="D4197" i="1"/>
  <c r="F4196" i="1"/>
  <c r="E4196" i="1"/>
  <c r="D4196" i="1"/>
  <c r="F4195" i="1"/>
  <c r="E4195" i="1"/>
  <c r="D4195" i="1"/>
  <c r="F4194" i="1"/>
  <c r="E4194" i="1"/>
  <c r="D4194" i="1"/>
  <c r="F4193" i="1"/>
  <c r="E4193" i="1"/>
  <c r="D4193" i="1"/>
  <c r="F4192" i="1"/>
  <c r="E4192" i="1"/>
  <c r="D4192" i="1"/>
  <c r="F4191" i="1"/>
  <c r="E4191" i="1"/>
  <c r="D4191" i="1"/>
  <c r="F4190" i="1"/>
  <c r="E4190" i="1"/>
  <c r="D4190" i="1"/>
  <c r="F4189" i="1"/>
  <c r="E4189" i="1"/>
  <c r="D4189" i="1"/>
  <c r="F4188" i="1"/>
  <c r="E4188" i="1"/>
  <c r="D4188" i="1"/>
  <c r="F4187" i="1"/>
  <c r="E4187" i="1"/>
  <c r="D4187" i="1"/>
  <c r="F4186" i="1"/>
  <c r="E4186" i="1"/>
  <c r="D4186" i="1"/>
  <c r="F4185" i="1"/>
  <c r="E4185" i="1"/>
  <c r="D4185" i="1"/>
  <c r="F4184" i="1"/>
  <c r="E4184" i="1"/>
  <c r="D4184" i="1"/>
  <c r="F4183" i="1"/>
  <c r="E4183" i="1"/>
  <c r="D4183" i="1"/>
  <c r="F4182" i="1"/>
  <c r="E4182" i="1"/>
  <c r="D4182" i="1"/>
  <c r="F4181" i="1"/>
  <c r="E4181" i="1"/>
  <c r="D4181" i="1"/>
  <c r="F4180" i="1"/>
  <c r="E4180" i="1"/>
  <c r="D4180" i="1"/>
  <c r="F4179" i="1"/>
  <c r="E4179" i="1"/>
  <c r="D4179" i="1"/>
  <c r="F4178" i="1"/>
  <c r="E4178" i="1"/>
  <c r="D4178" i="1"/>
  <c r="F4177" i="1"/>
  <c r="E4177" i="1"/>
  <c r="D4177" i="1"/>
  <c r="F4176" i="1"/>
  <c r="E4176" i="1"/>
  <c r="D4176" i="1"/>
  <c r="F4175" i="1"/>
  <c r="E4175" i="1"/>
  <c r="D4175" i="1"/>
  <c r="F4174" i="1"/>
  <c r="E4174" i="1"/>
  <c r="D4174" i="1"/>
  <c r="F4173" i="1"/>
  <c r="E4173" i="1"/>
  <c r="D4173" i="1"/>
  <c r="F4172" i="1"/>
  <c r="E4172" i="1"/>
  <c r="D4172" i="1"/>
  <c r="F4171" i="1"/>
  <c r="E4171" i="1"/>
  <c r="D4171" i="1"/>
  <c r="F4170" i="1"/>
  <c r="E4170" i="1"/>
  <c r="D4170" i="1"/>
  <c r="F4169" i="1"/>
  <c r="E4169" i="1"/>
  <c r="D4169" i="1"/>
  <c r="F4168" i="1"/>
  <c r="E4168" i="1"/>
  <c r="D4168" i="1"/>
  <c r="F4167" i="1"/>
  <c r="E4167" i="1"/>
  <c r="D4167" i="1"/>
  <c r="F4166" i="1"/>
  <c r="E4166" i="1"/>
  <c r="D4166" i="1"/>
  <c r="F4165" i="1"/>
  <c r="E4165" i="1"/>
  <c r="D4165" i="1"/>
  <c r="F4164" i="1"/>
  <c r="E4164" i="1"/>
  <c r="D4164" i="1"/>
  <c r="F4163" i="1"/>
  <c r="E4163" i="1"/>
  <c r="D4163" i="1"/>
  <c r="F4162" i="1"/>
  <c r="E4162" i="1"/>
  <c r="D4162" i="1"/>
  <c r="F4161" i="1"/>
  <c r="E4161" i="1"/>
  <c r="D4161" i="1"/>
  <c r="F4160" i="1"/>
  <c r="E4160" i="1"/>
  <c r="D4160" i="1"/>
  <c r="F4159" i="1"/>
  <c r="E4159" i="1"/>
  <c r="D4159" i="1"/>
  <c r="F4158" i="1"/>
  <c r="E4158" i="1"/>
  <c r="D4158" i="1"/>
  <c r="F4157" i="1"/>
  <c r="E4157" i="1"/>
  <c r="D4157" i="1"/>
  <c r="F4156" i="1"/>
  <c r="E4156" i="1"/>
  <c r="D4156" i="1"/>
  <c r="F4155" i="1"/>
  <c r="E4155" i="1"/>
  <c r="D4155" i="1"/>
  <c r="F4154" i="1"/>
  <c r="E4154" i="1"/>
  <c r="D4154" i="1"/>
  <c r="F4153" i="1"/>
  <c r="E4153" i="1"/>
  <c r="D4153" i="1"/>
  <c r="F4152" i="1"/>
  <c r="E4152" i="1"/>
  <c r="D4152" i="1"/>
  <c r="F4151" i="1"/>
  <c r="E4151" i="1"/>
  <c r="D4151" i="1"/>
  <c r="F4150" i="1"/>
  <c r="E4150" i="1"/>
  <c r="D4150" i="1"/>
  <c r="F4149" i="1"/>
  <c r="E4149" i="1"/>
  <c r="D4149" i="1"/>
  <c r="F4148" i="1"/>
  <c r="E4148" i="1"/>
  <c r="D4148" i="1"/>
  <c r="F4147" i="1"/>
  <c r="E4147" i="1"/>
  <c r="D4147" i="1"/>
  <c r="F4146" i="1"/>
  <c r="E4146" i="1"/>
  <c r="D4146" i="1"/>
  <c r="F4145" i="1"/>
  <c r="E4145" i="1"/>
  <c r="D4145" i="1"/>
  <c r="F4144" i="1"/>
  <c r="E4144" i="1"/>
  <c r="D4144" i="1"/>
  <c r="F4143" i="1"/>
  <c r="E4143" i="1"/>
  <c r="D4143" i="1"/>
  <c r="F4142" i="1"/>
  <c r="E4142" i="1"/>
  <c r="D4142" i="1"/>
  <c r="F4141" i="1"/>
  <c r="E4141" i="1"/>
  <c r="D4141" i="1"/>
  <c r="F4140" i="1"/>
  <c r="E4140" i="1"/>
  <c r="D4140" i="1"/>
  <c r="F4139" i="1"/>
  <c r="E4139" i="1"/>
  <c r="D4139" i="1"/>
  <c r="F4138" i="1"/>
  <c r="E4138" i="1"/>
  <c r="D4138" i="1"/>
  <c r="F4137" i="1"/>
  <c r="E4137" i="1"/>
  <c r="D4137" i="1"/>
  <c r="F4136" i="1"/>
  <c r="E4136" i="1"/>
  <c r="D4136" i="1"/>
  <c r="F4135" i="1"/>
  <c r="E4135" i="1"/>
  <c r="D4135" i="1"/>
  <c r="F4134" i="1"/>
  <c r="E4134" i="1"/>
  <c r="D4134" i="1"/>
  <c r="F4133" i="1"/>
  <c r="E4133" i="1"/>
  <c r="D4133" i="1"/>
  <c r="F4132" i="1"/>
  <c r="E4132" i="1"/>
  <c r="D4132" i="1"/>
  <c r="F4131" i="1"/>
  <c r="E4131" i="1"/>
  <c r="D4131" i="1"/>
  <c r="F4130" i="1"/>
  <c r="E4130" i="1"/>
  <c r="D4130" i="1"/>
  <c r="F4129" i="1"/>
  <c r="E4129" i="1"/>
  <c r="D4129" i="1"/>
  <c r="F4128" i="1"/>
  <c r="E4128" i="1"/>
  <c r="D4128" i="1"/>
  <c r="F4127" i="1"/>
  <c r="E4127" i="1"/>
  <c r="D4127" i="1"/>
  <c r="F4126" i="1"/>
  <c r="E4126" i="1"/>
  <c r="D4126" i="1"/>
  <c r="F4125" i="1"/>
  <c r="E4125" i="1"/>
  <c r="D4125" i="1"/>
  <c r="F4124" i="1"/>
  <c r="E4124" i="1"/>
  <c r="D4124" i="1"/>
  <c r="F4123" i="1"/>
  <c r="E4123" i="1"/>
  <c r="D4123" i="1"/>
  <c r="F4122" i="1"/>
  <c r="E4122" i="1"/>
  <c r="D4122" i="1"/>
  <c r="F4121" i="1"/>
  <c r="E4121" i="1"/>
  <c r="D4121" i="1"/>
  <c r="F4120" i="1"/>
  <c r="E4120" i="1"/>
  <c r="D4120" i="1"/>
  <c r="F4119" i="1"/>
  <c r="E4119" i="1"/>
  <c r="D4119" i="1"/>
  <c r="F4118" i="1"/>
  <c r="E4118" i="1"/>
  <c r="D4118" i="1"/>
  <c r="F4117" i="1"/>
  <c r="E4117" i="1"/>
  <c r="D4117" i="1"/>
  <c r="F4116" i="1"/>
  <c r="E4116" i="1"/>
  <c r="D4116" i="1"/>
  <c r="F4115" i="1"/>
  <c r="E4115" i="1"/>
  <c r="D4115" i="1"/>
  <c r="F4114" i="1"/>
  <c r="E4114" i="1"/>
  <c r="D4114" i="1"/>
  <c r="F4113" i="1"/>
  <c r="E4113" i="1"/>
  <c r="D4113" i="1"/>
  <c r="F4112" i="1"/>
  <c r="E4112" i="1"/>
  <c r="D4112" i="1"/>
  <c r="F4111" i="1"/>
  <c r="E4111" i="1"/>
  <c r="D4111" i="1"/>
  <c r="F4110" i="1"/>
  <c r="E4110" i="1"/>
  <c r="D4110" i="1"/>
  <c r="F4109" i="1"/>
  <c r="E4109" i="1"/>
  <c r="D4109" i="1"/>
  <c r="F4108" i="1"/>
  <c r="E4108" i="1"/>
  <c r="D4108" i="1"/>
  <c r="F4107" i="1"/>
  <c r="E4107" i="1"/>
  <c r="D4107" i="1"/>
  <c r="F4106" i="1"/>
  <c r="E4106" i="1"/>
  <c r="D4106" i="1"/>
  <c r="F4105" i="1"/>
  <c r="E4105" i="1"/>
  <c r="D4105" i="1"/>
  <c r="F4104" i="1"/>
  <c r="E4104" i="1"/>
  <c r="D4104" i="1"/>
  <c r="F4103" i="1"/>
  <c r="E4103" i="1"/>
  <c r="D4103" i="1"/>
  <c r="F4102" i="1"/>
  <c r="E4102" i="1"/>
  <c r="D4102" i="1"/>
  <c r="F4101" i="1"/>
  <c r="E4101" i="1"/>
  <c r="D4101" i="1"/>
  <c r="F4100" i="1"/>
  <c r="E4100" i="1"/>
  <c r="D4100" i="1"/>
  <c r="F4099" i="1"/>
  <c r="E4099" i="1"/>
  <c r="D4099" i="1"/>
  <c r="F4098" i="1"/>
  <c r="E4098" i="1"/>
  <c r="D4098" i="1"/>
  <c r="F4097" i="1"/>
  <c r="E4097" i="1"/>
  <c r="D4097" i="1"/>
  <c r="F4096" i="1"/>
  <c r="E4096" i="1"/>
  <c r="D4096" i="1"/>
  <c r="F4095" i="1"/>
  <c r="E4095" i="1"/>
  <c r="D4095" i="1"/>
  <c r="F4094" i="1"/>
  <c r="E4094" i="1"/>
  <c r="D4094" i="1"/>
  <c r="F4093" i="1"/>
  <c r="E4093" i="1"/>
  <c r="D4093" i="1"/>
  <c r="F4092" i="1"/>
  <c r="E4092" i="1"/>
  <c r="D4092" i="1"/>
  <c r="F4091" i="1"/>
  <c r="E4091" i="1"/>
  <c r="D4091" i="1"/>
  <c r="F4090" i="1"/>
  <c r="E4090" i="1"/>
  <c r="D4090" i="1"/>
  <c r="F4089" i="1"/>
  <c r="E4089" i="1"/>
  <c r="D4089" i="1"/>
  <c r="F4088" i="1"/>
  <c r="E4088" i="1"/>
  <c r="D4088" i="1"/>
  <c r="F4087" i="1"/>
  <c r="E4087" i="1"/>
  <c r="D4087" i="1"/>
  <c r="F4086" i="1"/>
  <c r="E4086" i="1"/>
  <c r="D4086" i="1"/>
  <c r="F4085" i="1"/>
  <c r="E4085" i="1"/>
  <c r="D4085" i="1"/>
  <c r="F4084" i="1"/>
  <c r="E4084" i="1"/>
  <c r="D4084" i="1"/>
  <c r="F4083" i="1"/>
  <c r="E4083" i="1"/>
  <c r="D4083" i="1"/>
  <c r="F4082" i="1"/>
  <c r="E4082" i="1"/>
  <c r="D4082" i="1"/>
  <c r="F4081" i="1"/>
  <c r="E4081" i="1"/>
  <c r="D4081" i="1"/>
  <c r="F4080" i="1"/>
  <c r="E4080" i="1"/>
  <c r="D4080" i="1"/>
  <c r="F4079" i="1"/>
  <c r="E4079" i="1"/>
  <c r="D4079" i="1"/>
  <c r="F4078" i="1"/>
  <c r="E4078" i="1"/>
  <c r="D4078" i="1"/>
  <c r="F4077" i="1"/>
  <c r="E4077" i="1"/>
  <c r="D4077" i="1"/>
  <c r="F4076" i="1"/>
  <c r="E4076" i="1"/>
  <c r="D4076" i="1"/>
  <c r="F4075" i="1"/>
  <c r="E4075" i="1"/>
  <c r="D4075" i="1"/>
  <c r="F4074" i="1"/>
  <c r="E4074" i="1"/>
  <c r="D4074" i="1"/>
  <c r="F4073" i="1"/>
  <c r="E4073" i="1"/>
  <c r="D4073" i="1"/>
  <c r="F4072" i="1"/>
  <c r="E4072" i="1"/>
  <c r="D4072" i="1"/>
  <c r="F4071" i="1"/>
  <c r="E4071" i="1"/>
  <c r="D4071" i="1"/>
  <c r="F4070" i="1"/>
  <c r="E4070" i="1"/>
  <c r="D4070" i="1"/>
  <c r="F4069" i="1"/>
  <c r="E4069" i="1"/>
  <c r="D4069" i="1"/>
  <c r="F4068" i="1"/>
  <c r="E4068" i="1"/>
  <c r="D4068" i="1"/>
  <c r="F4067" i="1"/>
  <c r="E4067" i="1"/>
  <c r="D4067" i="1"/>
  <c r="F4066" i="1"/>
  <c r="E4066" i="1"/>
  <c r="D4066" i="1"/>
  <c r="F4065" i="1"/>
  <c r="E4065" i="1"/>
  <c r="D4065" i="1"/>
  <c r="F4064" i="1"/>
  <c r="E4064" i="1"/>
  <c r="D4064" i="1"/>
  <c r="F4063" i="1"/>
  <c r="E4063" i="1"/>
  <c r="D4063" i="1"/>
  <c r="F4062" i="1"/>
  <c r="E4062" i="1"/>
  <c r="D4062" i="1"/>
  <c r="F4061" i="1"/>
  <c r="E4061" i="1"/>
  <c r="D4061" i="1"/>
  <c r="F4060" i="1"/>
  <c r="E4060" i="1"/>
  <c r="D4060" i="1"/>
  <c r="F4059" i="1"/>
  <c r="E4059" i="1"/>
  <c r="D4059" i="1"/>
  <c r="F4058" i="1"/>
  <c r="E4058" i="1"/>
  <c r="D4058" i="1"/>
  <c r="F4057" i="1"/>
  <c r="E4057" i="1"/>
  <c r="D4057" i="1"/>
  <c r="F4056" i="1"/>
  <c r="E4056" i="1"/>
  <c r="D4056" i="1"/>
  <c r="F4055" i="1"/>
  <c r="E4055" i="1"/>
  <c r="D4055" i="1"/>
  <c r="F4054" i="1"/>
  <c r="E4054" i="1"/>
  <c r="D4054" i="1"/>
  <c r="F4053" i="1"/>
  <c r="E4053" i="1"/>
  <c r="D4053" i="1"/>
  <c r="F4052" i="1"/>
  <c r="E4052" i="1"/>
  <c r="D4052" i="1"/>
  <c r="F4051" i="1"/>
  <c r="E4051" i="1"/>
  <c r="D4051" i="1"/>
  <c r="F4050" i="1"/>
  <c r="E4050" i="1"/>
  <c r="D4050" i="1"/>
  <c r="F4049" i="1"/>
  <c r="E4049" i="1"/>
  <c r="D4049" i="1"/>
  <c r="F4048" i="1"/>
  <c r="E4048" i="1"/>
  <c r="D4048" i="1"/>
  <c r="F4047" i="1"/>
  <c r="E4047" i="1"/>
  <c r="D4047" i="1"/>
  <c r="F4046" i="1"/>
  <c r="E4046" i="1"/>
  <c r="D4046" i="1"/>
  <c r="F4045" i="1"/>
  <c r="E4045" i="1"/>
  <c r="D4045" i="1"/>
  <c r="F4044" i="1"/>
  <c r="E4044" i="1"/>
  <c r="D4044" i="1"/>
  <c r="F4043" i="1"/>
  <c r="E4043" i="1"/>
  <c r="D4043" i="1"/>
  <c r="F4042" i="1"/>
  <c r="E4042" i="1"/>
  <c r="D4042" i="1"/>
  <c r="F4041" i="1"/>
  <c r="E4041" i="1"/>
  <c r="D4041" i="1"/>
  <c r="F4040" i="1"/>
  <c r="E4040" i="1"/>
  <c r="D4040" i="1"/>
  <c r="F4039" i="1"/>
  <c r="E4039" i="1"/>
  <c r="D4039" i="1"/>
  <c r="F4038" i="1"/>
  <c r="E4038" i="1"/>
  <c r="D4038" i="1"/>
  <c r="F4037" i="1"/>
  <c r="E4037" i="1"/>
  <c r="D4037" i="1"/>
  <c r="F4036" i="1"/>
  <c r="E4036" i="1"/>
  <c r="D4036" i="1"/>
  <c r="F4035" i="1"/>
  <c r="E4035" i="1"/>
  <c r="D4035" i="1"/>
  <c r="F4034" i="1"/>
  <c r="E4034" i="1"/>
  <c r="D4034" i="1"/>
  <c r="F4033" i="1"/>
  <c r="E4033" i="1"/>
  <c r="D4033" i="1"/>
  <c r="F4032" i="1"/>
  <c r="E4032" i="1"/>
  <c r="D4032" i="1"/>
  <c r="F4031" i="1"/>
  <c r="E4031" i="1"/>
  <c r="D4031" i="1"/>
  <c r="F4030" i="1"/>
  <c r="E4030" i="1"/>
  <c r="D4030" i="1"/>
  <c r="F4029" i="1"/>
  <c r="E4029" i="1"/>
  <c r="D4029" i="1"/>
  <c r="F4028" i="1"/>
  <c r="E4028" i="1"/>
  <c r="D4028" i="1"/>
  <c r="F4027" i="1"/>
  <c r="E4027" i="1"/>
  <c r="D4027" i="1"/>
  <c r="F4026" i="1"/>
  <c r="E4026" i="1"/>
  <c r="D4026" i="1"/>
  <c r="F4025" i="1"/>
  <c r="E4025" i="1"/>
  <c r="D4025" i="1"/>
  <c r="F4024" i="1"/>
  <c r="E4024" i="1"/>
  <c r="D4024" i="1"/>
  <c r="F4023" i="1"/>
  <c r="E4023" i="1"/>
  <c r="D4023" i="1"/>
  <c r="F4022" i="1"/>
  <c r="E4022" i="1"/>
  <c r="D4022" i="1"/>
  <c r="F4021" i="1"/>
  <c r="E4021" i="1"/>
  <c r="D4021" i="1"/>
  <c r="F4020" i="1"/>
  <c r="E4020" i="1"/>
  <c r="D4020" i="1"/>
  <c r="F4019" i="1"/>
  <c r="E4019" i="1"/>
  <c r="D4019" i="1"/>
  <c r="F4018" i="1"/>
  <c r="E4018" i="1"/>
  <c r="D4018" i="1"/>
  <c r="F4017" i="1"/>
  <c r="E4017" i="1"/>
  <c r="D4017" i="1"/>
  <c r="F4016" i="1"/>
  <c r="E4016" i="1"/>
  <c r="D4016" i="1"/>
  <c r="F4015" i="1"/>
  <c r="E4015" i="1"/>
  <c r="D4015" i="1"/>
  <c r="F4014" i="1"/>
  <c r="E4014" i="1"/>
  <c r="D4014" i="1"/>
  <c r="F4013" i="1"/>
  <c r="E4013" i="1"/>
  <c r="D4013" i="1"/>
  <c r="F4012" i="1"/>
  <c r="E4012" i="1"/>
  <c r="D4012" i="1"/>
  <c r="F4011" i="1"/>
  <c r="E4011" i="1"/>
  <c r="D4011" i="1"/>
  <c r="F4010" i="1"/>
  <c r="E4010" i="1"/>
  <c r="D4010" i="1"/>
  <c r="F4009" i="1"/>
  <c r="E4009" i="1"/>
  <c r="D4009" i="1"/>
  <c r="F4008" i="1"/>
  <c r="E4008" i="1"/>
  <c r="D4008" i="1"/>
  <c r="F4007" i="1"/>
  <c r="E4007" i="1"/>
  <c r="D4007" i="1"/>
  <c r="F4006" i="1"/>
  <c r="E4006" i="1"/>
  <c r="D4006" i="1"/>
  <c r="F4005" i="1"/>
  <c r="E4005" i="1"/>
  <c r="D4005" i="1"/>
  <c r="F4004" i="1"/>
  <c r="E4004" i="1"/>
  <c r="D4004" i="1"/>
  <c r="F4003" i="1"/>
  <c r="E4003" i="1"/>
  <c r="D4003" i="1"/>
  <c r="F4002" i="1"/>
  <c r="E4002" i="1"/>
  <c r="D4002" i="1"/>
  <c r="F4001" i="1"/>
  <c r="E4001" i="1"/>
  <c r="D4001" i="1"/>
  <c r="F4000" i="1"/>
  <c r="E4000" i="1"/>
  <c r="D4000" i="1"/>
  <c r="F3999" i="1"/>
  <c r="E3999" i="1"/>
  <c r="D3999" i="1"/>
  <c r="F3998" i="1"/>
  <c r="E3998" i="1"/>
  <c r="D3998" i="1"/>
  <c r="F3997" i="1"/>
  <c r="E3997" i="1"/>
  <c r="D3997" i="1"/>
  <c r="F3996" i="1"/>
  <c r="E3996" i="1"/>
  <c r="D3996" i="1"/>
  <c r="F3995" i="1"/>
  <c r="E3995" i="1"/>
  <c r="D3995" i="1"/>
  <c r="F3994" i="1"/>
  <c r="E3994" i="1"/>
  <c r="D3994" i="1"/>
  <c r="F3993" i="1"/>
  <c r="E3993" i="1"/>
  <c r="D3993" i="1"/>
  <c r="F3992" i="1"/>
  <c r="E3992" i="1"/>
  <c r="D3992" i="1"/>
  <c r="F3991" i="1"/>
  <c r="E3991" i="1"/>
  <c r="D3991" i="1"/>
  <c r="F3990" i="1"/>
  <c r="E3990" i="1"/>
  <c r="D3990" i="1"/>
  <c r="F3989" i="1"/>
  <c r="E3989" i="1"/>
  <c r="D3989" i="1"/>
  <c r="F3988" i="1"/>
  <c r="E3988" i="1"/>
  <c r="D3988" i="1"/>
  <c r="F3987" i="1"/>
  <c r="E3987" i="1"/>
  <c r="D3987" i="1"/>
  <c r="F3986" i="1"/>
  <c r="E3986" i="1"/>
  <c r="D3986" i="1"/>
  <c r="F3985" i="1"/>
  <c r="E3985" i="1"/>
  <c r="D3985" i="1"/>
  <c r="F3984" i="1"/>
  <c r="E3984" i="1"/>
  <c r="D3984" i="1"/>
  <c r="F3983" i="1"/>
  <c r="E3983" i="1"/>
  <c r="D3983" i="1"/>
  <c r="F3982" i="1"/>
  <c r="E3982" i="1"/>
  <c r="D3982" i="1"/>
  <c r="F3981" i="1"/>
  <c r="E3981" i="1"/>
  <c r="D3981" i="1"/>
  <c r="F3980" i="1"/>
  <c r="E3980" i="1"/>
  <c r="D3980" i="1"/>
  <c r="F3979" i="1"/>
  <c r="E3979" i="1"/>
  <c r="D3979" i="1"/>
  <c r="F3978" i="1"/>
  <c r="E3978" i="1"/>
  <c r="D3978" i="1"/>
  <c r="F3977" i="1"/>
  <c r="E3977" i="1"/>
  <c r="D3977" i="1"/>
  <c r="F3976" i="1"/>
  <c r="E3976" i="1"/>
  <c r="D3976" i="1"/>
  <c r="F3975" i="1"/>
  <c r="E3975" i="1"/>
  <c r="D3975" i="1"/>
  <c r="F3974" i="1"/>
  <c r="E3974" i="1"/>
  <c r="D3974" i="1"/>
  <c r="F3973" i="1"/>
  <c r="E3973" i="1"/>
  <c r="D3973" i="1"/>
  <c r="F3972" i="1"/>
  <c r="E3972" i="1"/>
  <c r="D3972" i="1"/>
  <c r="F3971" i="1"/>
  <c r="E3971" i="1"/>
  <c r="D3971" i="1"/>
  <c r="F3970" i="1"/>
  <c r="E3970" i="1"/>
  <c r="D3970" i="1"/>
  <c r="F3969" i="1"/>
  <c r="E3969" i="1"/>
  <c r="D3969" i="1"/>
  <c r="F3968" i="1"/>
  <c r="E3968" i="1"/>
  <c r="D3968" i="1"/>
  <c r="F3967" i="1"/>
  <c r="E3967" i="1"/>
  <c r="D3967" i="1"/>
  <c r="F3966" i="1"/>
  <c r="E3966" i="1"/>
  <c r="D3966" i="1"/>
  <c r="F3965" i="1"/>
  <c r="E3965" i="1"/>
  <c r="D3965" i="1"/>
  <c r="F3964" i="1"/>
  <c r="E3964" i="1"/>
  <c r="D3964" i="1"/>
  <c r="F3963" i="1"/>
  <c r="E3963" i="1"/>
  <c r="D3963" i="1"/>
  <c r="F3962" i="1"/>
  <c r="E3962" i="1"/>
  <c r="D3962" i="1"/>
  <c r="F3961" i="1"/>
  <c r="E3961" i="1"/>
  <c r="D3961" i="1"/>
  <c r="F3960" i="1"/>
  <c r="E3960" i="1"/>
  <c r="D3960" i="1"/>
  <c r="F3959" i="1"/>
  <c r="E3959" i="1"/>
  <c r="D3959" i="1"/>
  <c r="F3958" i="1"/>
  <c r="E3958" i="1"/>
  <c r="D3958" i="1"/>
  <c r="F3957" i="1"/>
  <c r="E3957" i="1"/>
  <c r="D3957" i="1"/>
  <c r="F3956" i="1"/>
  <c r="E3956" i="1"/>
  <c r="D3956" i="1"/>
  <c r="F3955" i="1"/>
  <c r="E3955" i="1"/>
  <c r="D3955" i="1"/>
  <c r="F3954" i="1"/>
  <c r="E3954" i="1"/>
  <c r="D3954" i="1"/>
  <c r="F3953" i="1"/>
  <c r="E3953" i="1"/>
  <c r="D3953" i="1"/>
  <c r="F3952" i="1"/>
  <c r="E3952" i="1"/>
  <c r="D3952" i="1"/>
  <c r="F3951" i="1"/>
  <c r="E3951" i="1"/>
  <c r="D3951" i="1"/>
  <c r="F3950" i="1"/>
  <c r="E3950" i="1"/>
  <c r="D3950" i="1"/>
  <c r="F3949" i="1"/>
  <c r="E3949" i="1"/>
  <c r="D3949" i="1"/>
  <c r="F3948" i="1"/>
  <c r="E3948" i="1"/>
  <c r="D3948" i="1"/>
  <c r="F3947" i="1"/>
  <c r="E3947" i="1"/>
  <c r="D3947" i="1"/>
  <c r="F3946" i="1"/>
  <c r="E3946" i="1"/>
  <c r="D3946" i="1"/>
  <c r="F3945" i="1"/>
  <c r="E3945" i="1"/>
  <c r="D3945" i="1"/>
  <c r="F3944" i="1"/>
  <c r="E3944" i="1"/>
  <c r="D3944" i="1"/>
  <c r="F3943" i="1"/>
  <c r="E3943" i="1"/>
  <c r="D3943" i="1"/>
  <c r="F3942" i="1"/>
  <c r="E3942" i="1"/>
  <c r="D3942" i="1"/>
  <c r="F3941" i="1"/>
  <c r="E3941" i="1"/>
  <c r="D3941" i="1"/>
  <c r="F3940" i="1"/>
  <c r="E3940" i="1"/>
  <c r="D3940" i="1"/>
  <c r="F3939" i="1"/>
  <c r="E3939" i="1"/>
  <c r="D3939" i="1"/>
  <c r="F3938" i="1"/>
  <c r="E3938" i="1"/>
  <c r="D3938" i="1"/>
  <c r="F3937" i="1"/>
  <c r="E3937" i="1"/>
  <c r="D3937" i="1"/>
  <c r="F3936" i="1"/>
  <c r="E3936" i="1"/>
  <c r="D3936" i="1"/>
  <c r="F3935" i="1"/>
  <c r="E3935" i="1"/>
  <c r="D3935" i="1"/>
  <c r="F3934" i="1"/>
  <c r="E3934" i="1"/>
  <c r="D3934" i="1"/>
  <c r="F3933" i="1"/>
  <c r="E3933" i="1"/>
  <c r="D3933" i="1"/>
  <c r="F3932" i="1"/>
  <c r="E3932" i="1"/>
  <c r="D3932" i="1"/>
  <c r="F3931" i="1"/>
  <c r="E3931" i="1"/>
  <c r="D3931" i="1"/>
  <c r="F3930" i="1"/>
  <c r="E3930" i="1"/>
  <c r="D3930" i="1"/>
  <c r="F3929" i="1"/>
  <c r="E3929" i="1"/>
  <c r="D3929" i="1"/>
  <c r="F3928" i="1"/>
  <c r="E3928" i="1"/>
  <c r="D3928" i="1"/>
  <c r="F3927" i="1"/>
  <c r="E3927" i="1"/>
  <c r="D3927" i="1"/>
  <c r="F3926" i="1"/>
  <c r="E3926" i="1"/>
  <c r="D3926" i="1"/>
  <c r="F3925" i="1"/>
  <c r="E3925" i="1"/>
  <c r="D3925" i="1"/>
  <c r="F3924" i="1"/>
  <c r="E3924" i="1"/>
  <c r="D3924" i="1"/>
  <c r="F3923" i="1"/>
  <c r="E3923" i="1"/>
  <c r="D3923" i="1"/>
  <c r="F3922" i="1"/>
  <c r="E3922" i="1"/>
  <c r="D3922" i="1"/>
  <c r="F3921" i="1"/>
  <c r="E3921" i="1"/>
  <c r="D3921" i="1"/>
  <c r="F3920" i="1"/>
  <c r="E3920" i="1"/>
  <c r="D3920" i="1"/>
  <c r="F3919" i="1"/>
  <c r="E3919" i="1"/>
  <c r="D3919" i="1"/>
  <c r="F3918" i="1"/>
  <c r="E3918" i="1"/>
  <c r="D3918" i="1"/>
  <c r="F3917" i="1"/>
  <c r="E3917" i="1"/>
  <c r="D3917" i="1"/>
  <c r="F3916" i="1"/>
  <c r="E3916" i="1"/>
  <c r="D3916" i="1"/>
  <c r="F3915" i="1"/>
  <c r="E3915" i="1"/>
  <c r="D3915" i="1"/>
  <c r="F3914" i="1"/>
  <c r="E3914" i="1"/>
  <c r="D3914" i="1"/>
  <c r="F3913" i="1"/>
  <c r="E3913" i="1"/>
  <c r="D3913" i="1"/>
  <c r="F3912" i="1"/>
  <c r="E3912" i="1"/>
  <c r="D3912" i="1"/>
  <c r="F3911" i="1"/>
  <c r="E3911" i="1"/>
  <c r="D3911" i="1"/>
  <c r="F3910" i="1"/>
  <c r="E3910" i="1"/>
  <c r="D3910" i="1"/>
  <c r="F3909" i="1"/>
  <c r="E3909" i="1"/>
  <c r="D3909" i="1"/>
  <c r="F3908" i="1"/>
  <c r="E3908" i="1"/>
  <c r="D3908" i="1"/>
  <c r="F3907" i="1"/>
  <c r="E3907" i="1"/>
  <c r="D3907" i="1"/>
  <c r="F3906" i="1"/>
  <c r="E3906" i="1"/>
  <c r="D3906" i="1"/>
  <c r="F3905" i="1"/>
  <c r="E3905" i="1"/>
  <c r="D3905" i="1"/>
  <c r="F3904" i="1"/>
  <c r="E3904" i="1"/>
  <c r="D3904" i="1"/>
  <c r="F3903" i="1"/>
  <c r="E3903" i="1"/>
  <c r="D3903" i="1"/>
  <c r="F3902" i="1"/>
  <c r="E3902" i="1"/>
  <c r="D3902" i="1"/>
  <c r="F3901" i="1"/>
  <c r="E3901" i="1"/>
  <c r="D3901" i="1"/>
  <c r="F3900" i="1"/>
  <c r="E3900" i="1"/>
  <c r="D3900" i="1"/>
  <c r="F3899" i="1"/>
  <c r="E3899" i="1"/>
  <c r="D3899" i="1"/>
  <c r="F3898" i="1"/>
  <c r="E3898" i="1"/>
  <c r="D3898" i="1"/>
  <c r="F3897" i="1"/>
  <c r="E3897" i="1"/>
  <c r="D3897" i="1"/>
  <c r="F3896" i="1"/>
  <c r="E3896" i="1"/>
  <c r="D3896" i="1"/>
  <c r="F3895" i="1"/>
  <c r="E3895" i="1"/>
  <c r="D3895" i="1"/>
  <c r="F3894" i="1"/>
  <c r="E3894" i="1"/>
  <c r="D3894" i="1"/>
  <c r="F3893" i="1"/>
  <c r="E3893" i="1"/>
  <c r="D3893" i="1"/>
  <c r="F3892" i="1"/>
  <c r="E3892" i="1"/>
  <c r="D3892" i="1"/>
  <c r="F3891" i="1"/>
  <c r="E3891" i="1"/>
  <c r="D3891" i="1"/>
  <c r="F3890" i="1"/>
  <c r="E3890" i="1"/>
  <c r="D3890" i="1"/>
  <c r="F3889" i="1"/>
  <c r="E3889" i="1"/>
  <c r="D3889" i="1"/>
  <c r="F3888" i="1"/>
  <c r="E3888" i="1"/>
  <c r="D3888" i="1"/>
  <c r="F3887" i="1"/>
  <c r="E3887" i="1"/>
  <c r="D3887" i="1"/>
  <c r="F3886" i="1"/>
  <c r="E3886" i="1"/>
  <c r="D3886" i="1"/>
  <c r="F3885" i="1"/>
  <c r="E3885" i="1"/>
  <c r="D3885" i="1"/>
  <c r="F3884" i="1"/>
  <c r="E3884" i="1"/>
  <c r="D3884" i="1"/>
  <c r="F3883" i="1"/>
  <c r="E3883" i="1"/>
  <c r="D3883" i="1"/>
  <c r="F3882" i="1"/>
  <c r="E3882" i="1"/>
  <c r="D3882" i="1"/>
  <c r="F3881" i="1"/>
  <c r="E3881" i="1"/>
  <c r="D3881" i="1"/>
  <c r="F3880" i="1"/>
  <c r="E3880" i="1"/>
  <c r="D3880" i="1"/>
  <c r="F3879" i="1"/>
  <c r="E3879" i="1"/>
  <c r="D3879" i="1"/>
  <c r="F3878" i="1"/>
  <c r="E3878" i="1"/>
  <c r="D3878" i="1"/>
  <c r="F3877" i="1"/>
  <c r="E3877" i="1"/>
  <c r="D3877" i="1"/>
  <c r="F3876" i="1"/>
  <c r="E3876" i="1"/>
  <c r="D3876" i="1"/>
  <c r="F3875" i="1"/>
  <c r="E3875" i="1"/>
  <c r="D3875" i="1"/>
  <c r="F3874" i="1"/>
  <c r="E3874" i="1"/>
  <c r="D3874" i="1"/>
  <c r="F3873" i="1"/>
  <c r="E3873" i="1"/>
  <c r="D3873" i="1"/>
  <c r="F3872" i="1"/>
  <c r="E3872" i="1"/>
  <c r="D3872" i="1"/>
  <c r="F3871" i="1"/>
  <c r="E3871" i="1"/>
  <c r="D3871" i="1"/>
  <c r="F3870" i="1"/>
  <c r="E3870" i="1"/>
  <c r="D3870" i="1"/>
  <c r="F3869" i="1"/>
  <c r="E3869" i="1"/>
  <c r="D3869" i="1"/>
  <c r="F3868" i="1"/>
  <c r="E3868" i="1"/>
  <c r="D3868" i="1"/>
  <c r="F3867" i="1"/>
  <c r="E3867" i="1"/>
  <c r="D3867" i="1"/>
  <c r="F3866" i="1"/>
  <c r="E3866" i="1"/>
  <c r="D3866" i="1"/>
  <c r="F3865" i="1"/>
  <c r="E3865" i="1"/>
  <c r="D3865" i="1"/>
  <c r="F3864" i="1"/>
  <c r="E3864" i="1"/>
  <c r="D3864" i="1"/>
  <c r="F3863" i="1"/>
  <c r="E3863" i="1"/>
  <c r="D3863" i="1"/>
  <c r="F3862" i="1"/>
  <c r="E3862" i="1"/>
  <c r="D3862" i="1"/>
  <c r="F3861" i="1"/>
  <c r="E3861" i="1"/>
  <c r="D3861" i="1"/>
  <c r="F3860" i="1"/>
  <c r="E3860" i="1"/>
  <c r="D3860" i="1"/>
  <c r="F3859" i="1"/>
  <c r="E3859" i="1"/>
  <c r="D3859" i="1"/>
  <c r="F3858" i="1"/>
  <c r="E3858" i="1"/>
  <c r="D3858" i="1"/>
  <c r="F3857" i="1"/>
  <c r="E3857" i="1"/>
  <c r="D3857" i="1"/>
  <c r="F3856" i="1"/>
  <c r="E3856" i="1"/>
  <c r="D3856" i="1"/>
  <c r="F3855" i="1"/>
  <c r="E3855" i="1"/>
  <c r="D3855" i="1"/>
  <c r="F3854" i="1"/>
  <c r="E3854" i="1"/>
  <c r="D3854" i="1"/>
  <c r="F3853" i="1"/>
  <c r="E3853" i="1"/>
  <c r="D3853" i="1"/>
  <c r="F3852" i="1"/>
  <c r="E3852" i="1"/>
  <c r="D3852" i="1"/>
  <c r="F3851" i="1"/>
  <c r="E3851" i="1"/>
  <c r="D3851" i="1"/>
  <c r="F3850" i="1"/>
  <c r="E3850" i="1"/>
  <c r="D3850" i="1"/>
  <c r="F3849" i="1"/>
  <c r="E3849" i="1"/>
  <c r="D3849" i="1"/>
  <c r="F3848" i="1"/>
  <c r="E3848" i="1"/>
  <c r="D3848" i="1"/>
  <c r="F3847" i="1"/>
  <c r="E3847" i="1"/>
  <c r="D3847" i="1"/>
  <c r="F3846" i="1"/>
  <c r="E3846" i="1"/>
  <c r="D3846" i="1"/>
  <c r="F3845" i="1"/>
  <c r="E3845" i="1"/>
  <c r="D3845" i="1"/>
  <c r="F3844" i="1"/>
  <c r="E3844" i="1"/>
  <c r="D3844" i="1"/>
  <c r="F3843" i="1"/>
  <c r="E3843" i="1"/>
  <c r="D3843" i="1"/>
  <c r="F3842" i="1"/>
  <c r="E3842" i="1"/>
  <c r="D3842" i="1"/>
  <c r="F3841" i="1"/>
  <c r="E3841" i="1"/>
  <c r="D3841" i="1"/>
  <c r="F3840" i="1"/>
  <c r="E3840" i="1"/>
  <c r="D3840" i="1"/>
  <c r="F3839" i="1"/>
  <c r="E3839" i="1"/>
  <c r="D3839" i="1"/>
  <c r="F3838" i="1"/>
  <c r="E3838" i="1"/>
  <c r="D3838" i="1"/>
  <c r="F3837" i="1"/>
  <c r="E3837" i="1"/>
  <c r="D3837" i="1"/>
  <c r="F3836" i="1"/>
  <c r="E3836" i="1"/>
  <c r="D3836" i="1"/>
  <c r="F3835" i="1"/>
  <c r="E3835" i="1"/>
  <c r="D3835" i="1"/>
  <c r="F3834" i="1"/>
  <c r="E3834" i="1"/>
  <c r="D3834" i="1"/>
  <c r="F3833" i="1"/>
  <c r="E3833" i="1"/>
  <c r="D3833" i="1"/>
  <c r="F3832" i="1"/>
  <c r="E3832" i="1"/>
  <c r="D3832" i="1"/>
  <c r="F3831" i="1"/>
  <c r="E3831" i="1"/>
  <c r="D3831" i="1"/>
  <c r="F3830" i="1"/>
  <c r="E3830" i="1"/>
  <c r="D3830" i="1"/>
  <c r="F3829" i="1"/>
  <c r="E3829" i="1"/>
  <c r="D3829" i="1"/>
  <c r="F3828" i="1"/>
  <c r="E3828" i="1"/>
  <c r="D3828" i="1"/>
  <c r="F3827" i="1"/>
  <c r="E3827" i="1"/>
  <c r="D3827" i="1"/>
  <c r="F3826" i="1"/>
  <c r="E3826" i="1"/>
  <c r="D3826" i="1"/>
  <c r="F3825" i="1"/>
  <c r="E3825" i="1"/>
  <c r="D3825" i="1"/>
  <c r="F3824" i="1"/>
  <c r="E3824" i="1"/>
  <c r="D3824" i="1"/>
  <c r="F3823" i="1"/>
  <c r="E3823" i="1"/>
  <c r="D3823" i="1"/>
  <c r="F3822" i="1"/>
  <c r="E3822" i="1"/>
  <c r="D3822" i="1"/>
  <c r="F3821" i="1"/>
  <c r="E3821" i="1"/>
  <c r="D3821" i="1"/>
  <c r="F3820" i="1"/>
  <c r="E3820" i="1"/>
  <c r="D3820" i="1"/>
  <c r="F3819" i="1"/>
  <c r="E3819" i="1"/>
  <c r="D3819" i="1"/>
  <c r="F3818" i="1"/>
  <c r="E3818" i="1"/>
  <c r="D3818" i="1"/>
  <c r="F3817" i="1"/>
  <c r="E3817" i="1"/>
  <c r="D3817" i="1"/>
  <c r="F3816" i="1"/>
  <c r="E3816" i="1"/>
  <c r="D3816" i="1"/>
  <c r="F3815" i="1"/>
  <c r="E3815" i="1"/>
  <c r="D3815" i="1"/>
  <c r="F3814" i="1"/>
  <c r="E3814" i="1"/>
  <c r="D3814" i="1"/>
  <c r="F3813" i="1"/>
  <c r="E3813" i="1"/>
  <c r="D3813" i="1"/>
  <c r="F3812" i="1"/>
  <c r="E3812" i="1"/>
  <c r="D3812" i="1"/>
  <c r="F3811" i="1"/>
  <c r="E3811" i="1"/>
  <c r="D3811" i="1"/>
  <c r="F3810" i="1"/>
  <c r="E3810" i="1"/>
  <c r="D3810" i="1"/>
  <c r="F3809" i="1"/>
  <c r="E3809" i="1"/>
  <c r="D3809" i="1"/>
  <c r="F3808" i="1"/>
  <c r="E3808" i="1"/>
  <c r="D3808" i="1"/>
  <c r="F3807" i="1"/>
  <c r="E3807" i="1"/>
  <c r="D3807" i="1"/>
  <c r="F3806" i="1"/>
  <c r="E3806" i="1"/>
  <c r="D3806" i="1"/>
  <c r="F3805" i="1"/>
  <c r="E3805" i="1"/>
  <c r="D3805" i="1"/>
  <c r="F3804" i="1"/>
  <c r="E3804" i="1"/>
  <c r="D3804" i="1"/>
  <c r="F3803" i="1"/>
  <c r="E3803" i="1"/>
  <c r="D3803" i="1"/>
  <c r="F3802" i="1"/>
  <c r="E3802" i="1"/>
  <c r="D3802" i="1"/>
  <c r="F3801" i="1"/>
  <c r="E3801" i="1"/>
  <c r="D3801" i="1"/>
  <c r="F3800" i="1"/>
  <c r="E3800" i="1"/>
  <c r="D3800" i="1"/>
  <c r="F3799" i="1"/>
  <c r="E3799" i="1"/>
  <c r="D3799" i="1"/>
  <c r="F3798" i="1"/>
  <c r="E3798" i="1"/>
  <c r="D3798" i="1"/>
  <c r="F3797" i="1"/>
  <c r="E3797" i="1"/>
  <c r="D3797" i="1"/>
  <c r="F3796" i="1"/>
  <c r="E3796" i="1"/>
  <c r="D3796" i="1"/>
  <c r="F3795" i="1"/>
  <c r="E3795" i="1"/>
  <c r="D3795" i="1"/>
  <c r="F3794" i="1"/>
  <c r="E3794" i="1"/>
  <c r="D3794" i="1"/>
  <c r="F3793" i="1"/>
  <c r="E3793" i="1"/>
  <c r="D3793" i="1"/>
  <c r="F3792" i="1"/>
  <c r="E3792" i="1"/>
  <c r="D3792" i="1"/>
  <c r="F3791" i="1"/>
  <c r="E3791" i="1"/>
  <c r="D3791" i="1"/>
  <c r="F3790" i="1"/>
  <c r="E3790" i="1"/>
  <c r="D3790" i="1"/>
  <c r="F3789" i="1"/>
  <c r="E3789" i="1"/>
  <c r="D3789" i="1"/>
  <c r="F3788" i="1"/>
  <c r="E3788" i="1"/>
  <c r="D3788" i="1"/>
  <c r="F3787" i="1"/>
  <c r="E3787" i="1"/>
  <c r="D3787" i="1"/>
  <c r="F3786" i="1"/>
  <c r="E3786" i="1"/>
  <c r="D3786" i="1"/>
  <c r="F3785" i="1"/>
  <c r="E3785" i="1"/>
  <c r="D3785" i="1"/>
  <c r="F3784" i="1"/>
  <c r="E3784" i="1"/>
  <c r="D3784" i="1"/>
  <c r="F3783" i="1"/>
  <c r="E3783" i="1"/>
  <c r="D3783" i="1"/>
  <c r="F3782" i="1"/>
  <c r="E3782" i="1"/>
  <c r="D3782" i="1"/>
  <c r="F3781" i="1"/>
  <c r="E3781" i="1"/>
  <c r="D3781" i="1"/>
  <c r="F3780" i="1"/>
  <c r="E3780" i="1"/>
  <c r="D3780" i="1"/>
  <c r="F3779" i="1"/>
  <c r="E3779" i="1"/>
  <c r="D3779" i="1"/>
  <c r="F3778" i="1"/>
  <c r="E3778" i="1"/>
  <c r="D3778" i="1"/>
  <c r="F3777" i="1"/>
  <c r="E3777" i="1"/>
  <c r="D3777" i="1"/>
  <c r="F3776" i="1"/>
  <c r="E3776" i="1"/>
  <c r="D3776" i="1"/>
  <c r="F3775" i="1"/>
  <c r="E3775" i="1"/>
  <c r="D3775" i="1"/>
  <c r="F3774" i="1"/>
  <c r="E3774" i="1"/>
  <c r="D3774" i="1"/>
  <c r="F3773" i="1"/>
  <c r="E3773" i="1"/>
  <c r="D3773" i="1"/>
  <c r="F3772" i="1"/>
  <c r="E3772" i="1"/>
  <c r="D3772" i="1"/>
  <c r="F3771" i="1"/>
  <c r="E3771" i="1"/>
  <c r="D3771" i="1"/>
  <c r="F3770" i="1"/>
  <c r="E3770" i="1"/>
  <c r="D3770" i="1"/>
  <c r="F3769" i="1"/>
  <c r="E3769" i="1"/>
  <c r="D3769" i="1"/>
  <c r="F3768" i="1"/>
  <c r="E3768" i="1"/>
  <c r="D3768" i="1"/>
  <c r="F3767" i="1"/>
  <c r="E3767" i="1"/>
  <c r="D3767" i="1"/>
  <c r="F3766" i="1"/>
  <c r="E3766" i="1"/>
  <c r="D3766" i="1"/>
  <c r="F3765" i="1"/>
  <c r="E3765" i="1"/>
  <c r="D3765" i="1"/>
  <c r="F3764" i="1"/>
  <c r="E3764" i="1"/>
  <c r="D3764" i="1"/>
  <c r="F3763" i="1"/>
  <c r="E3763" i="1"/>
  <c r="D3763" i="1"/>
  <c r="F3762" i="1"/>
  <c r="E3762" i="1"/>
  <c r="D3762" i="1"/>
  <c r="F3761" i="1"/>
  <c r="E3761" i="1"/>
  <c r="D3761" i="1"/>
  <c r="F3760" i="1"/>
  <c r="E3760" i="1"/>
  <c r="D3760" i="1"/>
  <c r="F3759" i="1"/>
  <c r="E3759" i="1"/>
  <c r="D3759" i="1"/>
  <c r="F3758" i="1"/>
  <c r="E3758" i="1"/>
  <c r="D3758" i="1"/>
  <c r="F3757" i="1"/>
  <c r="E3757" i="1"/>
  <c r="D3757" i="1"/>
  <c r="F3756" i="1"/>
  <c r="E3756" i="1"/>
  <c r="D3756" i="1"/>
  <c r="F3755" i="1"/>
  <c r="E3755" i="1"/>
  <c r="D3755" i="1"/>
  <c r="F3754" i="1"/>
  <c r="E3754" i="1"/>
  <c r="D3754" i="1"/>
  <c r="F3753" i="1"/>
  <c r="E3753" i="1"/>
  <c r="D3753" i="1"/>
  <c r="F3752" i="1"/>
  <c r="E3752" i="1"/>
  <c r="D3752" i="1"/>
  <c r="F3751" i="1"/>
  <c r="E3751" i="1"/>
  <c r="D3751" i="1"/>
  <c r="F3750" i="1"/>
  <c r="E3750" i="1"/>
  <c r="D3750" i="1"/>
  <c r="F3749" i="1"/>
  <c r="E3749" i="1"/>
  <c r="D3749" i="1"/>
  <c r="F3748" i="1"/>
  <c r="E3748" i="1"/>
  <c r="D3748" i="1"/>
  <c r="F3747" i="1"/>
  <c r="E3747" i="1"/>
  <c r="D3747" i="1"/>
  <c r="F3746" i="1"/>
  <c r="E3746" i="1"/>
  <c r="D3746" i="1"/>
  <c r="F3745" i="1"/>
  <c r="E3745" i="1"/>
  <c r="D3745" i="1"/>
  <c r="F3744" i="1"/>
  <c r="E3744" i="1"/>
  <c r="D3744" i="1"/>
  <c r="F3743" i="1"/>
  <c r="E3743" i="1"/>
  <c r="D3743" i="1"/>
  <c r="F3742" i="1"/>
  <c r="E3742" i="1"/>
  <c r="D3742" i="1"/>
  <c r="F3741" i="1"/>
  <c r="E3741" i="1"/>
  <c r="D3741" i="1"/>
  <c r="F3740" i="1"/>
  <c r="E3740" i="1"/>
  <c r="D3740" i="1"/>
  <c r="F3739" i="1"/>
  <c r="E3739" i="1"/>
  <c r="D3739" i="1"/>
  <c r="F3738" i="1"/>
  <c r="E3738" i="1"/>
  <c r="D3738" i="1"/>
  <c r="F3737" i="1"/>
  <c r="E3737" i="1"/>
  <c r="D3737" i="1"/>
  <c r="F3736" i="1"/>
  <c r="E3736" i="1"/>
  <c r="D3736" i="1"/>
  <c r="F3735" i="1"/>
  <c r="E3735" i="1"/>
  <c r="D3735" i="1"/>
  <c r="F3734" i="1"/>
  <c r="E3734" i="1"/>
  <c r="D3734" i="1"/>
  <c r="F3733" i="1"/>
  <c r="E3733" i="1"/>
  <c r="D3733" i="1"/>
  <c r="F3732" i="1"/>
  <c r="E3732" i="1"/>
  <c r="D3732" i="1"/>
  <c r="F3731" i="1"/>
  <c r="E3731" i="1"/>
  <c r="D3731" i="1"/>
  <c r="F3730" i="1"/>
  <c r="E3730" i="1"/>
  <c r="D3730" i="1"/>
  <c r="F3729" i="1"/>
  <c r="E3729" i="1"/>
  <c r="D3729" i="1"/>
  <c r="F3728" i="1"/>
  <c r="E3728" i="1"/>
  <c r="D3728" i="1"/>
  <c r="F3727" i="1"/>
  <c r="E3727" i="1"/>
  <c r="D3727" i="1"/>
  <c r="F3726" i="1"/>
  <c r="E3726" i="1"/>
  <c r="D3726" i="1"/>
  <c r="F3725" i="1"/>
  <c r="E3725" i="1"/>
  <c r="D3725" i="1"/>
  <c r="F3724" i="1"/>
  <c r="E3724" i="1"/>
  <c r="D3724" i="1"/>
  <c r="F3723" i="1"/>
  <c r="E3723" i="1"/>
  <c r="D3723" i="1"/>
  <c r="F3722" i="1"/>
  <c r="E3722" i="1"/>
  <c r="D3722" i="1"/>
  <c r="F3721" i="1"/>
  <c r="E3721" i="1"/>
  <c r="D3721" i="1"/>
  <c r="F3720" i="1"/>
  <c r="E3720" i="1"/>
  <c r="D3720" i="1"/>
  <c r="F3719" i="1"/>
  <c r="E3719" i="1"/>
  <c r="D3719" i="1"/>
  <c r="F3718" i="1"/>
  <c r="E3718" i="1"/>
  <c r="D3718" i="1"/>
  <c r="F3717" i="1"/>
  <c r="E3717" i="1"/>
  <c r="D3717" i="1"/>
  <c r="F3716" i="1"/>
  <c r="E3716" i="1"/>
  <c r="D3716" i="1"/>
  <c r="F3715" i="1"/>
  <c r="E3715" i="1"/>
  <c r="D3715" i="1"/>
  <c r="F3714" i="1"/>
  <c r="E3714" i="1"/>
  <c r="D3714" i="1"/>
  <c r="F3713" i="1"/>
  <c r="E3713" i="1"/>
  <c r="D3713" i="1"/>
  <c r="F3712" i="1"/>
  <c r="E3712" i="1"/>
  <c r="D3712" i="1"/>
  <c r="F3711" i="1"/>
  <c r="E3711" i="1"/>
  <c r="D3711" i="1"/>
  <c r="F3710" i="1"/>
  <c r="E3710" i="1"/>
  <c r="D3710" i="1"/>
  <c r="F3709" i="1"/>
  <c r="E3709" i="1"/>
  <c r="D3709" i="1"/>
  <c r="F3708" i="1"/>
  <c r="E3708" i="1"/>
  <c r="D3708" i="1"/>
  <c r="F3707" i="1"/>
  <c r="E3707" i="1"/>
  <c r="D3707" i="1"/>
  <c r="F3706" i="1"/>
  <c r="E3706" i="1"/>
  <c r="D3706" i="1"/>
  <c r="F3705" i="1"/>
  <c r="E3705" i="1"/>
  <c r="D3705" i="1"/>
  <c r="F3704" i="1"/>
  <c r="E3704" i="1"/>
  <c r="D3704" i="1"/>
  <c r="F3703" i="1"/>
  <c r="E3703" i="1"/>
  <c r="D3703" i="1"/>
  <c r="F3702" i="1"/>
  <c r="E3702" i="1"/>
  <c r="D3702" i="1"/>
  <c r="F3701" i="1"/>
  <c r="E3701" i="1"/>
  <c r="D3701" i="1"/>
  <c r="F3700" i="1"/>
  <c r="E3700" i="1"/>
  <c r="D3700" i="1"/>
  <c r="F3699" i="1"/>
  <c r="E3699" i="1"/>
  <c r="D3699" i="1"/>
  <c r="F3698" i="1"/>
  <c r="E3698" i="1"/>
  <c r="D3698" i="1"/>
  <c r="F3697" i="1"/>
  <c r="E3697" i="1"/>
  <c r="D3697" i="1"/>
  <c r="F3696" i="1"/>
  <c r="E3696" i="1"/>
  <c r="D3696" i="1"/>
  <c r="F3695" i="1"/>
  <c r="E3695" i="1"/>
  <c r="D3695" i="1"/>
  <c r="F3694" i="1"/>
  <c r="E3694" i="1"/>
  <c r="D3694" i="1"/>
  <c r="F3693" i="1"/>
  <c r="E3693" i="1"/>
  <c r="D3693" i="1"/>
  <c r="F3692" i="1"/>
  <c r="E3692" i="1"/>
  <c r="D3692" i="1"/>
  <c r="F3691" i="1"/>
  <c r="E3691" i="1"/>
  <c r="D3691" i="1"/>
  <c r="F3690" i="1"/>
  <c r="E3690" i="1"/>
  <c r="D3690" i="1"/>
  <c r="F3689" i="1"/>
  <c r="E3689" i="1"/>
  <c r="D3689" i="1"/>
  <c r="F3688" i="1"/>
  <c r="E3688" i="1"/>
  <c r="D3688" i="1"/>
  <c r="F3687" i="1"/>
  <c r="E3687" i="1"/>
  <c r="D3687" i="1"/>
  <c r="F3686" i="1"/>
  <c r="E3686" i="1"/>
  <c r="D3686" i="1"/>
  <c r="F3685" i="1"/>
  <c r="E3685" i="1"/>
  <c r="D3685" i="1"/>
  <c r="F3684" i="1"/>
  <c r="E3684" i="1"/>
  <c r="D3684" i="1"/>
  <c r="F3683" i="1"/>
  <c r="E3683" i="1"/>
  <c r="D3683" i="1"/>
  <c r="F3682" i="1"/>
  <c r="E3682" i="1"/>
  <c r="D3682" i="1"/>
  <c r="F3681" i="1"/>
  <c r="E3681" i="1"/>
  <c r="D3681" i="1"/>
  <c r="F3680" i="1"/>
  <c r="E3680" i="1"/>
  <c r="D3680" i="1"/>
  <c r="F3679" i="1"/>
  <c r="E3679" i="1"/>
  <c r="D3679" i="1"/>
  <c r="F3678" i="1"/>
  <c r="E3678" i="1"/>
  <c r="D3678" i="1"/>
  <c r="F3677" i="1"/>
  <c r="E3677" i="1"/>
  <c r="D3677" i="1"/>
  <c r="F3676" i="1"/>
  <c r="E3676" i="1"/>
  <c r="D3676" i="1"/>
  <c r="F3675" i="1"/>
  <c r="E3675" i="1"/>
  <c r="D3675" i="1"/>
  <c r="F3674" i="1"/>
  <c r="E3674" i="1"/>
  <c r="D3674" i="1"/>
  <c r="F3673" i="1"/>
  <c r="E3673" i="1"/>
  <c r="D3673" i="1"/>
  <c r="F3672" i="1"/>
  <c r="E3672" i="1"/>
  <c r="D3672" i="1"/>
  <c r="F3671" i="1"/>
  <c r="E3671" i="1"/>
  <c r="D3671" i="1"/>
  <c r="F3670" i="1"/>
  <c r="E3670" i="1"/>
  <c r="D3670" i="1"/>
  <c r="F3669" i="1"/>
  <c r="E3669" i="1"/>
  <c r="D3669" i="1"/>
  <c r="F3668" i="1"/>
  <c r="E3668" i="1"/>
  <c r="D3668" i="1"/>
  <c r="F3667" i="1"/>
  <c r="E3667" i="1"/>
  <c r="D3667" i="1"/>
  <c r="F3666" i="1"/>
  <c r="E3666" i="1"/>
  <c r="D3666" i="1"/>
  <c r="F3665" i="1"/>
  <c r="E3665" i="1"/>
  <c r="D3665" i="1"/>
  <c r="F3664" i="1"/>
  <c r="E3664" i="1"/>
  <c r="D3664" i="1"/>
  <c r="F3663" i="1"/>
  <c r="E3663" i="1"/>
  <c r="D3663" i="1"/>
  <c r="F3662" i="1"/>
  <c r="E3662" i="1"/>
  <c r="D3662" i="1"/>
  <c r="F3661" i="1"/>
  <c r="E3661" i="1"/>
  <c r="D3661" i="1"/>
  <c r="F3660" i="1"/>
  <c r="E3660" i="1"/>
  <c r="D3660" i="1"/>
  <c r="F3659" i="1"/>
  <c r="E3659" i="1"/>
  <c r="D3659" i="1"/>
  <c r="F3658" i="1"/>
  <c r="E3658" i="1"/>
  <c r="D3658" i="1"/>
  <c r="F3657" i="1"/>
  <c r="E3657" i="1"/>
  <c r="D3657" i="1"/>
  <c r="F3656" i="1"/>
  <c r="E3656" i="1"/>
  <c r="D3656" i="1"/>
  <c r="F3655" i="1"/>
  <c r="E3655" i="1"/>
  <c r="D3655" i="1"/>
  <c r="F3654" i="1"/>
  <c r="E3654" i="1"/>
  <c r="D3654" i="1"/>
  <c r="F3653" i="1"/>
  <c r="E3653" i="1"/>
  <c r="D3653" i="1"/>
  <c r="F3652" i="1"/>
  <c r="E3652" i="1"/>
  <c r="D3652" i="1"/>
  <c r="F3651" i="1"/>
  <c r="E3651" i="1"/>
  <c r="D3651" i="1"/>
  <c r="F3650" i="1"/>
  <c r="E3650" i="1"/>
  <c r="D3650" i="1"/>
  <c r="F3649" i="1"/>
  <c r="E3649" i="1"/>
  <c r="D3649" i="1"/>
  <c r="F3648" i="1"/>
  <c r="E3648" i="1"/>
  <c r="D3648" i="1"/>
  <c r="F3647" i="1"/>
  <c r="E3647" i="1"/>
  <c r="D3647" i="1"/>
  <c r="F3646" i="1"/>
  <c r="E3646" i="1"/>
  <c r="D3646" i="1"/>
  <c r="F3645" i="1"/>
  <c r="E3645" i="1"/>
  <c r="D3645" i="1"/>
  <c r="F3644" i="1"/>
  <c r="E3644" i="1"/>
  <c r="D3644" i="1"/>
  <c r="F3643" i="1"/>
  <c r="E3643" i="1"/>
  <c r="D3643" i="1"/>
  <c r="F3642" i="1"/>
  <c r="E3642" i="1"/>
  <c r="D3642" i="1"/>
  <c r="F3641" i="1"/>
  <c r="E3641" i="1"/>
  <c r="D3641" i="1"/>
  <c r="F3640" i="1"/>
  <c r="E3640" i="1"/>
  <c r="D3640" i="1"/>
  <c r="F3639" i="1"/>
  <c r="E3639" i="1"/>
  <c r="D3639" i="1"/>
  <c r="F3638" i="1"/>
  <c r="E3638" i="1"/>
  <c r="D3638" i="1"/>
  <c r="F3637" i="1"/>
  <c r="E3637" i="1"/>
  <c r="D3637" i="1"/>
  <c r="F3636" i="1"/>
  <c r="E3636" i="1"/>
  <c r="D3636" i="1"/>
  <c r="F3635" i="1"/>
  <c r="E3635" i="1"/>
  <c r="D3635" i="1"/>
  <c r="F3634" i="1"/>
  <c r="E3634" i="1"/>
  <c r="D3634" i="1"/>
  <c r="F3633" i="1"/>
  <c r="E3633" i="1"/>
  <c r="D3633" i="1"/>
  <c r="F3632" i="1"/>
  <c r="E3632" i="1"/>
  <c r="D3632" i="1"/>
  <c r="F3631" i="1"/>
  <c r="E3631" i="1"/>
  <c r="D3631" i="1"/>
  <c r="F3630" i="1"/>
  <c r="E3630" i="1"/>
  <c r="D3630" i="1"/>
  <c r="F3629" i="1"/>
  <c r="E3629" i="1"/>
  <c r="D3629" i="1"/>
  <c r="F3628" i="1"/>
  <c r="E3628" i="1"/>
  <c r="D3628" i="1"/>
  <c r="F3627" i="1"/>
  <c r="E3627" i="1"/>
  <c r="D3627" i="1"/>
  <c r="F3626" i="1"/>
  <c r="E3626" i="1"/>
  <c r="D3626" i="1"/>
  <c r="F3625" i="1"/>
  <c r="E3625" i="1"/>
  <c r="D3625" i="1"/>
  <c r="F3624" i="1"/>
  <c r="E3624" i="1"/>
  <c r="D3624" i="1"/>
  <c r="F3623" i="1"/>
  <c r="E3623" i="1"/>
  <c r="D3623" i="1"/>
  <c r="F3622" i="1"/>
  <c r="E3622" i="1"/>
  <c r="D3622" i="1"/>
  <c r="F3621" i="1"/>
  <c r="E3621" i="1"/>
  <c r="D3621" i="1"/>
  <c r="F3620" i="1"/>
  <c r="E3620" i="1"/>
  <c r="D3620" i="1"/>
  <c r="F3619" i="1"/>
  <c r="E3619" i="1"/>
  <c r="D3619" i="1"/>
  <c r="F3618" i="1"/>
  <c r="E3618" i="1"/>
  <c r="D3618" i="1"/>
  <c r="F3617" i="1"/>
  <c r="E3617" i="1"/>
  <c r="D3617" i="1"/>
  <c r="F3616" i="1"/>
  <c r="E3616" i="1"/>
  <c r="D3616" i="1"/>
  <c r="F3615" i="1"/>
  <c r="E3615" i="1"/>
  <c r="D3615" i="1"/>
  <c r="F3614" i="1"/>
  <c r="E3614" i="1"/>
  <c r="D3614" i="1"/>
  <c r="F3613" i="1"/>
  <c r="E3613" i="1"/>
  <c r="D3613" i="1"/>
  <c r="F3612" i="1"/>
  <c r="E3612" i="1"/>
  <c r="D3612" i="1"/>
  <c r="F3611" i="1"/>
  <c r="E3611" i="1"/>
  <c r="D3611" i="1"/>
  <c r="F3610" i="1"/>
  <c r="E3610" i="1"/>
  <c r="D3610" i="1"/>
  <c r="F3609" i="1"/>
  <c r="E3609" i="1"/>
  <c r="D3609" i="1"/>
  <c r="F3608" i="1"/>
  <c r="E3608" i="1"/>
  <c r="D3608" i="1"/>
  <c r="F3607" i="1"/>
  <c r="E3607" i="1"/>
  <c r="D3607" i="1"/>
  <c r="F3606" i="1"/>
  <c r="E3606" i="1"/>
  <c r="D3606" i="1"/>
  <c r="F3605" i="1"/>
  <c r="E3605" i="1"/>
  <c r="D3605" i="1"/>
  <c r="F3604" i="1"/>
  <c r="E3604" i="1"/>
  <c r="D3604" i="1"/>
  <c r="F3603" i="1"/>
  <c r="E3603" i="1"/>
  <c r="D3603" i="1"/>
  <c r="F3602" i="1"/>
  <c r="E3602" i="1"/>
  <c r="D3602" i="1"/>
  <c r="F3601" i="1"/>
  <c r="E3601" i="1"/>
  <c r="D3601" i="1"/>
  <c r="F3600" i="1"/>
  <c r="E3600" i="1"/>
  <c r="D3600" i="1"/>
  <c r="F3599" i="1"/>
  <c r="E3599" i="1"/>
  <c r="D3599" i="1"/>
  <c r="F3598" i="1"/>
  <c r="E3598" i="1"/>
  <c r="D3598" i="1"/>
  <c r="F3597" i="1"/>
  <c r="E3597" i="1"/>
  <c r="D3597" i="1"/>
  <c r="F3596" i="1"/>
  <c r="E3596" i="1"/>
  <c r="D3596" i="1"/>
  <c r="F3595" i="1"/>
  <c r="E3595" i="1"/>
  <c r="D3595" i="1"/>
  <c r="F3594" i="1"/>
  <c r="E3594" i="1"/>
  <c r="D3594" i="1"/>
  <c r="F3593" i="1"/>
  <c r="E3593" i="1"/>
  <c r="D3593" i="1"/>
  <c r="F3592" i="1"/>
  <c r="E3592" i="1"/>
  <c r="D3592" i="1"/>
  <c r="F3591" i="1"/>
  <c r="E3591" i="1"/>
  <c r="D3591" i="1"/>
  <c r="F3590" i="1"/>
  <c r="E3590" i="1"/>
  <c r="D3590" i="1"/>
  <c r="F3589" i="1"/>
  <c r="E3589" i="1"/>
  <c r="D3589" i="1"/>
  <c r="F3588" i="1"/>
  <c r="E3588" i="1"/>
  <c r="D3588" i="1"/>
  <c r="F3587" i="1"/>
  <c r="E3587" i="1"/>
  <c r="D3587" i="1"/>
  <c r="F3586" i="1"/>
  <c r="E3586" i="1"/>
  <c r="D3586" i="1"/>
  <c r="F3585" i="1"/>
  <c r="E3585" i="1"/>
  <c r="D3585" i="1"/>
  <c r="F3584" i="1"/>
  <c r="E3584" i="1"/>
  <c r="D3584" i="1"/>
  <c r="F3583" i="1"/>
  <c r="E3583" i="1"/>
  <c r="D3583" i="1"/>
  <c r="F3582" i="1"/>
  <c r="E3582" i="1"/>
  <c r="D3582" i="1"/>
  <c r="F3581" i="1"/>
  <c r="E3581" i="1"/>
  <c r="D3581" i="1"/>
  <c r="F3580" i="1"/>
  <c r="E3580" i="1"/>
  <c r="D3580" i="1"/>
  <c r="F3579" i="1"/>
  <c r="E3579" i="1"/>
  <c r="D3579" i="1"/>
  <c r="F3578" i="1"/>
  <c r="E3578" i="1"/>
  <c r="D3578" i="1"/>
  <c r="F3577" i="1"/>
  <c r="E3577" i="1"/>
  <c r="D3577" i="1"/>
  <c r="F3576" i="1"/>
  <c r="E3576" i="1"/>
  <c r="D3576" i="1"/>
  <c r="F3575" i="1"/>
  <c r="E3575" i="1"/>
  <c r="D3575" i="1"/>
  <c r="F3574" i="1"/>
  <c r="E3574" i="1"/>
  <c r="D3574" i="1"/>
  <c r="F3573" i="1"/>
  <c r="E3573" i="1"/>
  <c r="D3573" i="1"/>
  <c r="F3572" i="1"/>
  <c r="E3572" i="1"/>
  <c r="D3572" i="1"/>
  <c r="F3571" i="1"/>
  <c r="E3571" i="1"/>
  <c r="D3571" i="1"/>
  <c r="F3570" i="1"/>
  <c r="E3570" i="1"/>
  <c r="D3570" i="1"/>
  <c r="F3569" i="1"/>
  <c r="E3569" i="1"/>
  <c r="D3569" i="1"/>
  <c r="F3568" i="1"/>
  <c r="E3568" i="1"/>
  <c r="D3568" i="1"/>
  <c r="F3567" i="1"/>
  <c r="E3567" i="1"/>
  <c r="D3567" i="1"/>
  <c r="F3566" i="1"/>
  <c r="E3566" i="1"/>
  <c r="D3566" i="1"/>
  <c r="F3565" i="1"/>
  <c r="E3565" i="1"/>
  <c r="D3565" i="1"/>
  <c r="F3564" i="1"/>
  <c r="E3564" i="1"/>
  <c r="D3564" i="1"/>
  <c r="F3563" i="1"/>
  <c r="E3563" i="1"/>
  <c r="D3563" i="1"/>
  <c r="F3562" i="1"/>
  <c r="E3562" i="1"/>
  <c r="D3562" i="1"/>
  <c r="F3561" i="1"/>
  <c r="E3561" i="1"/>
  <c r="D3561" i="1"/>
  <c r="F3560" i="1"/>
  <c r="E3560" i="1"/>
  <c r="D3560" i="1"/>
  <c r="F3559" i="1"/>
  <c r="E3559" i="1"/>
  <c r="D3559" i="1"/>
  <c r="F3558" i="1"/>
  <c r="E3558" i="1"/>
  <c r="D3558" i="1"/>
  <c r="F3557" i="1"/>
  <c r="E3557" i="1"/>
  <c r="D3557" i="1"/>
  <c r="F3556" i="1"/>
  <c r="E3556" i="1"/>
  <c r="D3556" i="1"/>
  <c r="F3555" i="1"/>
  <c r="E3555" i="1"/>
  <c r="D3555" i="1"/>
  <c r="F3554" i="1"/>
  <c r="E3554" i="1"/>
  <c r="D3554" i="1"/>
  <c r="F3553" i="1"/>
  <c r="E3553" i="1"/>
  <c r="D3553" i="1"/>
  <c r="F3552" i="1"/>
  <c r="E3552" i="1"/>
  <c r="D3552" i="1"/>
  <c r="F3551" i="1"/>
  <c r="E3551" i="1"/>
  <c r="D3551" i="1"/>
  <c r="F3550" i="1"/>
  <c r="E3550" i="1"/>
  <c r="D3550" i="1"/>
  <c r="F3549" i="1"/>
  <c r="E3549" i="1"/>
  <c r="D3549" i="1"/>
  <c r="F3548" i="1"/>
  <c r="E3548" i="1"/>
  <c r="D3548" i="1"/>
  <c r="F3547" i="1"/>
  <c r="E3547" i="1"/>
  <c r="D3547" i="1"/>
  <c r="F3546" i="1"/>
  <c r="E3546" i="1"/>
  <c r="D3546" i="1"/>
  <c r="F3545" i="1"/>
  <c r="E3545" i="1"/>
  <c r="D3545" i="1"/>
  <c r="F3544" i="1"/>
  <c r="E3544" i="1"/>
  <c r="D3544" i="1"/>
  <c r="F3543" i="1"/>
  <c r="E3543" i="1"/>
  <c r="D3543" i="1"/>
  <c r="F3542" i="1"/>
  <c r="E3542" i="1"/>
  <c r="D3542" i="1"/>
  <c r="F3541" i="1"/>
  <c r="E3541" i="1"/>
  <c r="D3541" i="1"/>
  <c r="F3540" i="1"/>
  <c r="E3540" i="1"/>
  <c r="D3540" i="1"/>
  <c r="F3539" i="1"/>
  <c r="E3539" i="1"/>
  <c r="D3539" i="1"/>
  <c r="F3538" i="1"/>
  <c r="E3538" i="1"/>
  <c r="D3538" i="1"/>
  <c r="F3537" i="1"/>
  <c r="E3537" i="1"/>
  <c r="D3537" i="1"/>
  <c r="F3536" i="1"/>
  <c r="E3536" i="1"/>
  <c r="D3536" i="1"/>
  <c r="F3535" i="1"/>
  <c r="E3535" i="1"/>
  <c r="D3535" i="1"/>
  <c r="F3534" i="1"/>
  <c r="E3534" i="1"/>
  <c r="D3534" i="1"/>
  <c r="F3533" i="1"/>
  <c r="E3533" i="1"/>
  <c r="D3533" i="1"/>
  <c r="F3532" i="1"/>
  <c r="E3532" i="1"/>
  <c r="D3532" i="1"/>
  <c r="F3531" i="1"/>
  <c r="E3531" i="1"/>
  <c r="D3531" i="1"/>
  <c r="F3530" i="1"/>
  <c r="E3530" i="1"/>
  <c r="D3530" i="1"/>
  <c r="F3529" i="1"/>
  <c r="E3529" i="1"/>
  <c r="D3529" i="1"/>
  <c r="F3528" i="1"/>
  <c r="E3528" i="1"/>
  <c r="D3528" i="1"/>
  <c r="F3527" i="1"/>
  <c r="E3527" i="1"/>
  <c r="D3527" i="1"/>
  <c r="F3526" i="1"/>
  <c r="E3526" i="1"/>
  <c r="D3526" i="1"/>
  <c r="F3525" i="1"/>
  <c r="E3525" i="1"/>
  <c r="D3525" i="1"/>
  <c r="F3524" i="1"/>
  <c r="E3524" i="1"/>
  <c r="D3524" i="1"/>
  <c r="F3523" i="1"/>
  <c r="E3523" i="1"/>
  <c r="D3523" i="1"/>
  <c r="F3522" i="1"/>
  <c r="E3522" i="1"/>
  <c r="D3522" i="1"/>
  <c r="F3521" i="1"/>
  <c r="E3521" i="1"/>
  <c r="D3521" i="1"/>
  <c r="F3520" i="1"/>
  <c r="E3520" i="1"/>
  <c r="D3520" i="1"/>
  <c r="F3519" i="1"/>
  <c r="E3519" i="1"/>
  <c r="D3519" i="1"/>
  <c r="F3518" i="1"/>
  <c r="E3518" i="1"/>
  <c r="D3518" i="1"/>
  <c r="F3517" i="1"/>
  <c r="E3517" i="1"/>
  <c r="D3517" i="1"/>
  <c r="F3516" i="1"/>
  <c r="E3516" i="1"/>
  <c r="D3516" i="1"/>
  <c r="F3515" i="1"/>
  <c r="E3515" i="1"/>
  <c r="D3515" i="1"/>
  <c r="F3514" i="1"/>
  <c r="E3514" i="1"/>
  <c r="D3514" i="1"/>
  <c r="F3513" i="1"/>
  <c r="E3513" i="1"/>
  <c r="D3513" i="1"/>
  <c r="F3512" i="1"/>
  <c r="E3512" i="1"/>
  <c r="D3512" i="1"/>
  <c r="F3511" i="1"/>
  <c r="E3511" i="1"/>
  <c r="D3511" i="1"/>
  <c r="F3510" i="1"/>
  <c r="E3510" i="1"/>
  <c r="D3510" i="1"/>
  <c r="F3509" i="1"/>
  <c r="E3509" i="1"/>
  <c r="D3509" i="1"/>
  <c r="F3508" i="1"/>
  <c r="E3508" i="1"/>
  <c r="D3508" i="1"/>
  <c r="F3507" i="1"/>
  <c r="E3507" i="1"/>
  <c r="D3507" i="1"/>
  <c r="F3506" i="1"/>
  <c r="E3506" i="1"/>
  <c r="D3506" i="1"/>
  <c r="F3505" i="1"/>
  <c r="E3505" i="1"/>
  <c r="D3505" i="1"/>
  <c r="F3504" i="1"/>
  <c r="E3504" i="1"/>
  <c r="D3504" i="1"/>
  <c r="F3503" i="1"/>
  <c r="E3503" i="1"/>
  <c r="D3503" i="1"/>
  <c r="F3502" i="1"/>
  <c r="E3502" i="1"/>
  <c r="D3502" i="1"/>
  <c r="F3501" i="1"/>
  <c r="E3501" i="1"/>
  <c r="D3501" i="1"/>
  <c r="F3500" i="1"/>
  <c r="E3500" i="1"/>
  <c r="D3500" i="1"/>
  <c r="F3499" i="1"/>
  <c r="E3499" i="1"/>
  <c r="D3499" i="1"/>
  <c r="F3498" i="1"/>
  <c r="E3498" i="1"/>
  <c r="D3498" i="1"/>
  <c r="F3497" i="1"/>
  <c r="E3497" i="1"/>
  <c r="D3497" i="1"/>
  <c r="F3496" i="1"/>
  <c r="E3496" i="1"/>
  <c r="D3496" i="1"/>
  <c r="F3495" i="1"/>
  <c r="E3495" i="1"/>
  <c r="D3495" i="1"/>
  <c r="F3494" i="1"/>
  <c r="E3494" i="1"/>
  <c r="D3494" i="1"/>
  <c r="F3493" i="1"/>
  <c r="E3493" i="1"/>
  <c r="D3493" i="1"/>
  <c r="F3492" i="1"/>
  <c r="E3492" i="1"/>
  <c r="D3492" i="1"/>
  <c r="F3491" i="1"/>
  <c r="E3491" i="1"/>
  <c r="D3491" i="1"/>
  <c r="F3490" i="1"/>
  <c r="E3490" i="1"/>
  <c r="D3490" i="1"/>
  <c r="F3489" i="1"/>
  <c r="E3489" i="1"/>
  <c r="D3489" i="1"/>
  <c r="F3488" i="1"/>
  <c r="E3488" i="1"/>
  <c r="D3488" i="1"/>
  <c r="F3487" i="1"/>
  <c r="E3487" i="1"/>
  <c r="D3487" i="1"/>
  <c r="F3486" i="1"/>
  <c r="E3486" i="1"/>
  <c r="D3486" i="1"/>
  <c r="F3485" i="1"/>
  <c r="E3485" i="1"/>
  <c r="D3485" i="1"/>
  <c r="F3484" i="1"/>
  <c r="E3484" i="1"/>
  <c r="D3484" i="1"/>
  <c r="F3483" i="1"/>
  <c r="E3483" i="1"/>
  <c r="D3483" i="1"/>
  <c r="F3482" i="1"/>
  <c r="E3482" i="1"/>
  <c r="D3482" i="1"/>
  <c r="F3481" i="1"/>
  <c r="E3481" i="1"/>
  <c r="D3481" i="1"/>
  <c r="F3480" i="1"/>
  <c r="E3480" i="1"/>
  <c r="D3480" i="1"/>
  <c r="F3479" i="1"/>
  <c r="E3479" i="1"/>
  <c r="D3479" i="1"/>
  <c r="F3478" i="1"/>
  <c r="E3478" i="1"/>
  <c r="D3478" i="1"/>
  <c r="F3477" i="1"/>
  <c r="E3477" i="1"/>
  <c r="D3477" i="1"/>
  <c r="F3476" i="1"/>
  <c r="E3476" i="1"/>
  <c r="D3476" i="1"/>
  <c r="F3475" i="1"/>
  <c r="E3475" i="1"/>
  <c r="D3475" i="1"/>
  <c r="F3474" i="1"/>
  <c r="E3474" i="1"/>
  <c r="D3474" i="1"/>
  <c r="F3473" i="1"/>
  <c r="E3473" i="1"/>
  <c r="D3473" i="1"/>
  <c r="F3472" i="1"/>
  <c r="E3472" i="1"/>
  <c r="D3472" i="1"/>
  <c r="F3471" i="1"/>
  <c r="E3471" i="1"/>
  <c r="D3471" i="1"/>
  <c r="F3470" i="1"/>
  <c r="E3470" i="1"/>
  <c r="D3470" i="1"/>
  <c r="F3469" i="1"/>
  <c r="E3469" i="1"/>
  <c r="D3469" i="1"/>
  <c r="F3468" i="1"/>
  <c r="E3468" i="1"/>
  <c r="D3468" i="1"/>
  <c r="F3467" i="1"/>
  <c r="E3467" i="1"/>
  <c r="D3467" i="1"/>
  <c r="F3466" i="1"/>
  <c r="E3466" i="1"/>
  <c r="D3466" i="1"/>
  <c r="F3465" i="1"/>
  <c r="E3465" i="1"/>
  <c r="D3465" i="1"/>
  <c r="F3464" i="1"/>
  <c r="E3464" i="1"/>
  <c r="D3464" i="1"/>
  <c r="F3463" i="1"/>
  <c r="E3463" i="1"/>
  <c r="D3463" i="1"/>
  <c r="F3462" i="1"/>
  <c r="E3462" i="1"/>
  <c r="D3462" i="1"/>
  <c r="F3461" i="1"/>
  <c r="E3461" i="1"/>
  <c r="D3461" i="1"/>
  <c r="F3460" i="1"/>
  <c r="E3460" i="1"/>
  <c r="D3460" i="1"/>
  <c r="F3459" i="1"/>
  <c r="E3459" i="1"/>
  <c r="D3459" i="1"/>
  <c r="F3458" i="1"/>
  <c r="E3458" i="1"/>
  <c r="D3458" i="1"/>
  <c r="F3457" i="1"/>
  <c r="E3457" i="1"/>
  <c r="D3457" i="1"/>
  <c r="F3456" i="1"/>
  <c r="E3456" i="1"/>
  <c r="D3456" i="1"/>
  <c r="F3455" i="1"/>
  <c r="E3455" i="1"/>
  <c r="D3455" i="1"/>
  <c r="F3454" i="1"/>
  <c r="E3454" i="1"/>
  <c r="D3454" i="1"/>
  <c r="F3453" i="1"/>
  <c r="E3453" i="1"/>
  <c r="D3453" i="1"/>
  <c r="F3452" i="1"/>
  <c r="E3452" i="1"/>
  <c r="D3452" i="1"/>
  <c r="F3451" i="1"/>
  <c r="E3451" i="1"/>
  <c r="D3451" i="1"/>
  <c r="F3450" i="1"/>
  <c r="E3450" i="1"/>
  <c r="D3450" i="1"/>
  <c r="F3449" i="1"/>
  <c r="E3449" i="1"/>
  <c r="D3449" i="1"/>
  <c r="F3448" i="1"/>
  <c r="E3448" i="1"/>
  <c r="D3448" i="1"/>
  <c r="F3447" i="1"/>
  <c r="E3447" i="1"/>
  <c r="D3447" i="1"/>
  <c r="F3446" i="1"/>
  <c r="E3446" i="1"/>
  <c r="D3446" i="1"/>
  <c r="F3445" i="1"/>
  <c r="E3445" i="1"/>
  <c r="D3445" i="1"/>
  <c r="F3444" i="1"/>
  <c r="E3444" i="1"/>
  <c r="D3444" i="1"/>
  <c r="F3443" i="1"/>
  <c r="E3443" i="1"/>
  <c r="D3443" i="1"/>
  <c r="F3442" i="1"/>
  <c r="E3442" i="1"/>
  <c r="D3442" i="1"/>
  <c r="F3441" i="1"/>
  <c r="E3441" i="1"/>
  <c r="D3441" i="1"/>
  <c r="F3440" i="1"/>
  <c r="E3440" i="1"/>
  <c r="D3440" i="1"/>
  <c r="F3439" i="1"/>
  <c r="E3439" i="1"/>
  <c r="D3439" i="1"/>
  <c r="F3438" i="1"/>
  <c r="E3438" i="1"/>
  <c r="D3438" i="1"/>
  <c r="F3437" i="1"/>
  <c r="E3437" i="1"/>
  <c r="D3437" i="1"/>
  <c r="F3436" i="1"/>
  <c r="E3436" i="1"/>
  <c r="D3436" i="1"/>
  <c r="F3435" i="1"/>
  <c r="E3435" i="1"/>
  <c r="D3435" i="1"/>
  <c r="F3434" i="1"/>
  <c r="E3434" i="1"/>
  <c r="D3434" i="1"/>
  <c r="F3433" i="1"/>
  <c r="E3433" i="1"/>
  <c r="D3433" i="1"/>
  <c r="F3432" i="1"/>
  <c r="E3432" i="1"/>
  <c r="D3432" i="1"/>
  <c r="F3431" i="1"/>
  <c r="E3431" i="1"/>
  <c r="D3431" i="1"/>
  <c r="F3430" i="1"/>
  <c r="E3430" i="1"/>
  <c r="D3430" i="1"/>
  <c r="F3429" i="1"/>
  <c r="E3429" i="1"/>
  <c r="D3429" i="1"/>
  <c r="F3428" i="1"/>
  <c r="E3428" i="1"/>
  <c r="D3428" i="1"/>
  <c r="F3427" i="1"/>
  <c r="E3427" i="1"/>
  <c r="D3427" i="1"/>
  <c r="F3426" i="1"/>
  <c r="E3426" i="1"/>
  <c r="D3426" i="1"/>
  <c r="F3425" i="1"/>
  <c r="E3425" i="1"/>
  <c r="D3425" i="1"/>
  <c r="F3424" i="1"/>
  <c r="E3424" i="1"/>
  <c r="D3424" i="1"/>
  <c r="F3423" i="1"/>
  <c r="E3423" i="1"/>
  <c r="D3423" i="1"/>
  <c r="F3422" i="1"/>
  <c r="E3422" i="1"/>
  <c r="D3422" i="1"/>
  <c r="F3421" i="1"/>
  <c r="E3421" i="1"/>
  <c r="D3421" i="1"/>
  <c r="F3420" i="1"/>
  <c r="E3420" i="1"/>
  <c r="D3420" i="1"/>
  <c r="F3419" i="1"/>
  <c r="E3419" i="1"/>
  <c r="D3419" i="1"/>
  <c r="F3418" i="1"/>
  <c r="E3418" i="1"/>
  <c r="D3418" i="1"/>
  <c r="F3417" i="1"/>
  <c r="E3417" i="1"/>
  <c r="D3417" i="1"/>
  <c r="F3416" i="1"/>
  <c r="E3416" i="1"/>
  <c r="D3416" i="1"/>
  <c r="F3415" i="1"/>
  <c r="E3415" i="1"/>
  <c r="D3415" i="1"/>
  <c r="F3414" i="1"/>
  <c r="E3414" i="1"/>
  <c r="D3414" i="1"/>
  <c r="F3413" i="1"/>
  <c r="E3413" i="1"/>
  <c r="D3413" i="1"/>
  <c r="F3412" i="1"/>
  <c r="E3412" i="1"/>
  <c r="D3412" i="1"/>
  <c r="F3411" i="1"/>
  <c r="E3411" i="1"/>
  <c r="D3411" i="1"/>
  <c r="F3410" i="1"/>
  <c r="E3410" i="1"/>
  <c r="D3410" i="1"/>
  <c r="F3409" i="1"/>
  <c r="E3409" i="1"/>
  <c r="D3409" i="1"/>
  <c r="F3408" i="1"/>
  <c r="E3408" i="1"/>
  <c r="D3408" i="1"/>
  <c r="F3407" i="1"/>
  <c r="E3407" i="1"/>
  <c r="D3407" i="1"/>
  <c r="F3406" i="1"/>
  <c r="E3406" i="1"/>
  <c r="D3406" i="1"/>
  <c r="F3405" i="1"/>
  <c r="E3405" i="1"/>
  <c r="D3405" i="1"/>
  <c r="F3404" i="1"/>
  <c r="E3404" i="1"/>
  <c r="D3404" i="1"/>
  <c r="F3403" i="1"/>
  <c r="E3403" i="1"/>
  <c r="D3403" i="1"/>
  <c r="F3402" i="1"/>
  <c r="E3402" i="1"/>
  <c r="D3402" i="1"/>
  <c r="F3401" i="1"/>
  <c r="E3401" i="1"/>
  <c r="D3401" i="1"/>
  <c r="F3400" i="1"/>
  <c r="E3400" i="1"/>
  <c r="D3400" i="1"/>
  <c r="F3399" i="1"/>
  <c r="E3399" i="1"/>
  <c r="D3399" i="1"/>
  <c r="F3398" i="1"/>
  <c r="E3398" i="1"/>
  <c r="D3398" i="1"/>
  <c r="F3397" i="1"/>
  <c r="E3397" i="1"/>
  <c r="D3397" i="1"/>
  <c r="F3396" i="1"/>
  <c r="E3396" i="1"/>
  <c r="D3396" i="1"/>
  <c r="F3395" i="1"/>
  <c r="E3395" i="1"/>
  <c r="D3395" i="1"/>
  <c r="F3394" i="1"/>
  <c r="E3394" i="1"/>
  <c r="D3394" i="1"/>
  <c r="F3393" i="1"/>
  <c r="E3393" i="1"/>
  <c r="D3393" i="1"/>
  <c r="F3392" i="1"/>
  <c r="E3392" i="1"/>
  <c r="D3392" i="1"/>
  <c r="F3391" i="1"/>
  <c r="E3391" i="1"/>
  <c r="D3391" i="1"/>
  <c r="F3390" i="1"/>
  <c r="E3390" i="1"/>
  <c r="D3390" i="1"/>
  <c r="F3389" i="1"/>
  <c r="E3389" i="1"/>
  <c r="D3389" i="1"/>
  <c r="F3388" i="1"/>
  <c r="E3388" i="1"/>
  <c r="D3388" i="1"/>
  <c r="F3387" i="1"/>
  <c r="E3387" i="1"/>
  <c r="D3387" i="1"/>
  <c r="F3386" i="1"/>
  <c r="E3386" i="1"/>
  <c r="D3386" i="1"/>
  <c r="F3385" i="1"/>
  <c r="E3385" i="1"/>
  <c r="D3385" i="1"/>
  <c r="F3384" i="1"/>
  <c r="E3384" i="1"/>
  <c r="D3384" i="1"/>
  <c r="F3383" i="1"/>
  <c r="E3383" i="1"/>
  <c r="D3383" i="1"/>
  <c r="F3382" i="1"/>
  <c r="E3382" i="1"/>
  <c r="D3382" i="1"/>
  <c r="F3381" i="1"/>
  <c r="E3381" i="1"/>
  <c r="D3381" i="1"/>
  <c r="F3380" i="1"/>
  <c r="E3380" i="1"/>
  <c r="D3380" i="1"/>
  <c r="F3379" i="1"/>
  <c r="E3379" i="1"/>
  <c r="D3379" i="1"/>
  <c r="F3378" i="1"/>
  <c r="E3378" i="1"/>
  <c r="D3378" i="1"/>
  <c r="F3377" i="1"/>
  <c r="E3377" i="1"/>
  <c r="D3377" i="1"/>
  <c r="F3376" i="1"/>
  <c r="E3376" i="1"/>
  <c r="D3376" i="1"/>
  <c r="F3375" i="1"/>
  <c r="E3375" i="1"/>
  <c r="D3375" i="1"/>
  <c r="F3374" i="1"/>
  <c r="E3374" i="1"/>
  <c r="D3374" i="1"/>
  <c r="F3373" i="1"/>
  <c r="E3373" i="1"/>
  <c r="D3373" i="1"/>
  <c r="F3372" i="1"/>
  <c r="E3372" i="1"/>
  <c r="D3372" i="1"/>
  <c r="F3371" i="1"/>
  <c r="E3371" i="1"/>
  <c r="D3371" i="1"/>
  <c r="F3370" i="1"/>
  <c r="E3370" i="1"/>
  <c r="D3370" i="1"/>
  <c r="F3369" i="1"/>
  <c r="E3369" i="1"/>
  <c r="D3369" i="1"/>
  <c r="F3368" i="1"/>
  <c r="E3368" i="1"/>
  <c r="D3368" i="1"/>
  <c r="F3367" i="1"/>
  <c r="E3367" i="1"/>
  <c r="D3367" i="1"/>
  <c r="F3366" i="1"/>
  <c r="E3366" i="1"/>
  <c r="D3366" i="1"/>
  <c r="F3365" i="1"/>
  <c r="E3365" i="1"/>
  <c r="D3365" i="1"/>
  <c r="F3364" i="1"/>
  <c r="E3364" i="1"/>
  <c r="D3364" i="1"/>
  <c r="F3363" i="1"/>
  <c r="E3363" i="1"/>
  <c r="D3363" i="1"/>
  <c r="F3362" i="1"/>
  <c r="E3362" i="1"/>
  <c r="D3362" i="1"/>
  <c r="F3361" i="1"/>
  <c r="E3361" i="1"/>
  <c r="D3361" i="1"/>
  <c r="F3360" i="1"/>
  <c r="E3360" i="1"/>
  <c r="D3360" i="1"/>
  <c r="F3359" i="1"/>
  <c r="E3359" i="1"/>
  <c r="D3359" i="1"/>
  <c r="F3358" i="1"/>
  <c r="E3358" i="1"/>
  <c r="D3358" i="1"/>
  <c r="F3357" i="1"/>
  <c r="E3357" i="1"/>
  <c r="D3357" i="1"/>
  <c r="F3356" i="1"/>
  <c r="E3356" i="1"/>
  <c r="D3356" i="1"/>
  <c r="F3355" i="1"/>
  <c r="E3355" i="1"/>
  <c r="D3355" i="1"/>
  <c r="F3354" i="1"/>
  <c r="E3354" i="1"/>
  <c r="D3354" i="1"/>
  <c r="F3353" i="1"/>
  <c r="E3353" i="1"/>
  <c r="D3353" i="1"/>
  <c r="F3352" i="1"/>
  <c r="E3352" i="1"/>
  <c r="D3352" i="1"/>
  <c r="F3351" i="1"/>
  <c r="E3351" i="1"/>
  <c r="D3351" i="1"/>
  <c r="F3350" i="1"/>
  <c r="E3350" i="1"/>
  <c r="D3350" i="1"/>
  <c r="F3349" i="1"/>
  <c r="E3349" i="1"/>
  <c r="D3349" i="1"/>
  <c r="F3348" i="1"/>
  <c r="E3348" i="1"/>
  <c r="D3348" i="1"/>
  <c r="F3347" i="1"/>
  <c r="E3347" i="1"/>
  <c r="D3347" i="1"/>
  <c r="F3346" i="1"/>
  <c r="E3346" i="1"/>
  <c r="D3346" i="1"/>
  <c r="F3345" i="1"/>
  <c r="E3345" i="1"/>
  <c r="D3345" i="1"/>
  <c r="F3344" i="1"/>
  <c r="E3344" i="1"/>
  <c r="D3344" i="1"/>
  <c r="F3343" i="1"/>
  <c r="E3343" i="1"/>
  <c r="D3343" i="1"/>
  <c r="F3342" i="1"/>
  <c r="E3342" i="1"/>
  <c r="D3342" i="1"/>
  <c r="F3341" i="1"/>
  <c r="E3341" i="1"/>
  <c r="D3341" i="1"/>
  <c r="F3340" i="1"/>
  <c r="E3340" i="1"/>
  <c r="D3340" i="1"/>
  <c r="F3339" i="1"/>
  <c r="E3339" i="1"/>
  <c r="D3339" i="1"/>
  <c r="F3338" i="1"/>
  <c r="E3338" i="1"/>
  <c r="D3338" i="1"/>
  <c r="F3337" i="1"/>
  <c r="E3337" i="1"/>
  <c r="D3337" i="1"/>
  <c r="F3336" i="1"/>
  <c r="E3336" i="1"/>
  <c r="D3336" i="1"/>
  <c r="F3335" i="1"/>
  <c r="E3335" i="1"/>
  <c r="D3335" i="1"/>
  <c r="F3334" i="1"/>
  <c r="E3334" i="1"/>
  <c r="D3334" i="1"/>
  <c r="F3333" i="1"/>
  <c r="E3333" i="1"/>
  <c r="D3333" i="1"/>
  <c r="F3332" i="1"/>
  <c r="E3332" i="1"/>
  <c r="D3332" i="1"/>
  <c r="F3331" i="1"/>
  <c r="E3331" i="1"/>
  <c r="D3331" i="1"/>
  <c r="F3330" i="1"/>
  <c r="E3330" i="1"/>
  <c r="D3330" i="1"/>
  <c r="F3329" i="1"/>
  <c r="E3329" i="1"/>
  <c r="D3329" i="1"/>
  <c r="F3328" i="1"/>
  <c r="E3328" i="1"/>
  <c r="D3328" i="1"/>
  <c r="F3327" i="1"/>
  <c r="E3327" i="1"/>
  <c r="D3327" i="1"/>
  <c r="F3326" i="1"/>
  <c r="E3326" i="1"/>
  <c r="D3326" i="1"/>
  <c r="F3325" i="1"/>
  <c r="E3325" i="1"/>
  <c r="D3325" i="1"/>
  <c r="F3324" i="1"/>
  <c r="E3324" i="1"/>
  <c r="D3324" i="1"/>
  <c r="F3323" i="1"/>
  <c r="E3323" i="1"/>
  <c r="D3323" i="1"/>
  <c r="F3322" i="1"/>
  <c r="E3322" i="1"/>
  <c r="D3322" i="1"/>
  <c r="F3321" i="1"/>
  <c r="E3321" i="1"/>
  <c r="D3321" i="1"/>
  <c r="F3320" i="1"/>
  <c r="E3320" i="1"/>
  <c r="D3320" i="1"/>
  <c r="F3319" i="1"/>
  <c r="E3319" i="1"/>
  <c r="D3319" i="1"/>
  <c r="F3318" i="1"/>
  <c r="E3318" i="1"/>
  <c r="D3318" i="1"/>
  <c r="F3317" i="1"/>
  <c r="E3317" i="1"/>
  <c r="D3317" i="1"/>
  <c r="F3316" i="1"/>
  <c r="E3316" i="1"/>
  <c r="D3316" i="1"/>
  <c r="F3315" i="1"/>
  <c r="E3315" i="1"/>
  <c r="D3315" i="1"/>
  <c r="F3314" i="1"/>
  <c r="E3314" i="1"/>
  <c r="D3314" i="1"/>
  <c r="F3313" i="1"/>
  <c r="E3313" i="1"/>
  <c r="D3313" i="1"/>
  <c r="F3312" i="1"/>
  <c r="E3312" i="1"/>
  <c r="D3312" i="1"/>
  <c r="F3311" i="1"/>
  <c r="E3311" i="1"/>
  <c r="D3311" i="1"/>
  <c r="F3310" i="1"/>
  <c r="E3310" i="1"/>
  <c r="D3310" i="1"/>
  <c r="F3309" i="1"/>
  <c r="E3309" i="1"/>
  <c r="D3309" i="1"/>
  <c r="F3308" i="1"/>
  <c r="E3308" i="1"/>
  <c r="D3308" i="1"/>
  <c r="F3307" i="1"/>
  <c r="E3307" i="1"/>
  <c r="D3307" i="1"/>
  <c r="F3306" i="1"/>
  <c r="E3306" i="1"/>
  <c r="D3306" i="1"/>
  <c r="F3305" i="1"/>
  <c r="E3305" i="1"/>
  <c r="D3305" i="1"/>
  <c r="F3304" i="1"/>
  <c r="E3304" i="1"/>
  <c r="D3304" i="1"/>
  <c r="F3303" i="1"/>
  <c r="E3303" i="1"/>
  <c r="D3303" i="1"/>
  <c r="F3302" i="1"/>
  <c r="E3302" i="1"/>
  <c r="D3302" i="1"/>
  <c r="F3301" i="1"/>
  <c r="E3301" i="1"/>
  <c r="D3301" i="1"/>
  <c r="F3300" i="1"/>
  <c r="E3300" i="1"/>
  <c r="D3300" i="1"/>
  <c r="F3299" i="1"/>
  <c r="E3299" i="1"/>
  <c r="D3299" i="1"/>
  <c r="F3298" i="1"/>
  <c r="E3298" i="1"/>
  <c r="D3298" i="1"/>
  <c r="F3297" i="1"/>
  <c r="E3297" i="1"/>
  <c r="D3297" i="1"/>
  <c r="F3296" i="1"/>
  <c r="E3296" i="1"/>
  <c r="D3296" i="1"/>
  <c r="F3295" i="1"/>
  <c r="E3295" i="1"/>
  <c r="D3295" i="1"/>
  <c r="F3294" i="1"/>
  <c r="E3294" i="1"/>
  <c r="D3294" i="1"/>
  <c r="F3293" i="1"/>
  <c r="E3293" i="1"/>
  <c r="D3293" i="1"/>
  <c r="F3292" i="1"/>
  <c r="E3292" i="1"/>
  <c r="D3292" i="1"/>
  <c r="F3291" i="1"/>
  <c r="E3291" i="1"/>
  <c r="D3291" i="1"/>
  <c r="F3290" i="1"/>
  <c r="E3290" i="1"/>
  <c r="D3290" i="1"/>
  <c r="F3289" i="1"/>
  <c r="E3289" i="1"/>
  <c r="D3289" i="1"/>
  <c r="F3288" i="1"/>
  <c r="E3288" i="1"/>
  <c r="D3288" i="1"/>
  <c r="F3287" i="1"/>
  <c r="E3287" i="1"/>
  <c r="D3287" i="1"/>
  <c r="F3286" i="1"/>
  <c r="E3286" i="1"/>
  <c r="D3286" i="1"/>
  <c r="F3285" i="1"/>
  <c r="E3285" i="1"/>
  <c r="D3285" i="1"/>
  <c r="F3284" i="1"/>
  <c r="E3284" i="1"/>
  <c r="D3284" i="1"/>
  <c r="F3283" i="1"/>
  <c r="E3283" i="1"/>
  <c r="D3283" i="1"/>
  <c r="F3282" i="1"/>
  <c r="E3282" i="1"/>
  <c r="D3282" i="1"/>
  <c r="F3281" i="1"/>
  <c r="E3281" i="1"/>
  <c r="D3281" i="1"/>
  <c r="F3280" i="1"/>
  <c r="E3280" i="1"/>
  <c r="D3280" i="1"/>
  <c r="F3279" i="1"/>
  <c r="E3279" i="1"/>
  <c r="D3279" i="1"/>
  <c r="F3278" i="1"/>
  <c r="E3278" i="1"/>
  <c r="D3278" i="1"/>
  <c r="F3277" i="1"/>
  <c r="E3277" i="1"/>
  <c r="D3277" i="1"/>
  <c r="F3276" i="1"/>
  <c r="E3276" i="1"/>
  <c r="D3276" i="1"/>
  <c r="F3275" i="1"/>
  <c r="E3275" i="1"/>
  <c r="D3275" i="1"/>
  <c r="F3274" i="1"/>
  <c r="E3274" i="1"/>
  <c r="D3274" i="1"/>
  <c r="F3273" i="1"/>
  <c r="E3273" i="1"/>
  <c r="D3273" i="1"/>
  <c r="F3272" i="1"/>
  <c r="E3272" i="1"/>
  <c r="D3272" i="1"/>
  <c r="F3271" i="1"/>
  <c r="E3271" i="1"/>
  <c r="D3271" i="1"/>
  <c r="F3270" i="1"/>
  <c r="E3270" i="1"/>
  <c r="D3270" i="1"/>
  <c r="F3269" i="1"/>
  <c r="E3269" i="1"/>
  <c r="D3269" i="1"/>
  <c r="F3268" i="1"/>
  <c r="E3268" i="1"/>
  <c r="D3268" i="1"/>
  <c r="F3267" i="1"/>
  <c r="E3267" i="1"/>
  <c r="D3267" i="1"/>
  <c r="F3266" i="1"/>
  <c r="E3266" i="1"/>
  <c r="D3266" i="1"/>
  <c r="F3265" i="1"/>
  <c r="E3265" i="1"/>
  <c r="D3265" i="1"/>
  <c r="F3264" i="1"/>
  <c r="E3264" i="1"/>
  <c r="D3264" i="1"/>
  <c r="F3263" i="1"/>
  <c r="E3263" i="1"/>
  <c r="D3263" i="1"/>
  <c r="F3262" i="1"/>
  <c r="E3262" i="1"/>
  <c r="D3262" i="1"/>
  <c r="F3261" i="1"/>
  <c r="E3261" i="1"/>
  <c r="D3261" i="1"/>
  <c r="F3260" i="1"/>
  <c r="E3260" i="1"/>
  <c r="D3260" i="1"/>
  <c r="F3259" i="1"/>
  <c r="E3259" i="1"/>
  <c r="D3259" i="1"/>
  <c r="F3258" i="1"/>
  <c r="E3258" i="1"/>
  <c r="D3258" i="1"/>
  <c r="F3257" i="1"/>
  <c r="E3257" i="1"/>
  <c r="D3257" i="1"/>
  <c r="F3256" i="1"/>
  <c r="E3256" i="1"/>
  <c r="D3256" i="1"/>
  <c r="F3255" i="1"/>
  <c r="E3255" i="1"/>
  <c r="D3255" i="1"/>
  <c r="F3254" i="1"/>
  <c r="E3254" i="1"/>
  <c r="D3254" i="1"/>
  <c r="F3253" i="1"/>
  <c r="E3253" i="1"/>
  <c r="D3253" i="1"/>
  <c r="F3252" i="1"/>
  <c r="E3252" i="1"/>
  <c r="D3252" i="1"/>
  <c r="F3251" i="1"/>
  <c r="E3251" i="1"/>
  <c r="D3251" i="1"/>
  <c r="F3250" i="1"/>
  <c r="E3250" i="1"/>
  <c r="D3250" i="1"/>
  <c r="F3249" i="1"/>
  <c r="E3249" i="1"/>
  <c r="D3249" i="1"/>
  <c r="F3248" i="1"/>
  <c r="E3248" i="1"/>
  <c r="D3248" i="1"/>
  <c r="F3247" i="1"/>
  <c r="E3247" i="1"/>
  <c r="D3247" i="1"/>
  <c r="F3246" i="1"/>
  <c r="E3246" i="1"/>
  <c r="D3246" i="1"/>
  <c r="F3245" i="1"/>
  <c r="E3245" i="1"/>
  <c r="D3245" i="1"/>
  <c r="F3244" i="1"/>
  <c r="E3244" i="1"/>
  <c r="D3244" i="1"/>
  <c r="F3243" i="1"/>
  <c r="E3243" i="1"/>
  <c r="D3243" i="1"/>
  <c r="F3242" i="1"/>
  <c r="E3242" i="1"/>
  <c r="D3242" i="1"/>
  <c r="F3241" i="1"/>
  <c r="E3241" i="1"/>
  <c r="D3241" i="1"/>
  <c r="F3240" i="1"/>
  <c r="E3240" i="1"/>
  <c r="D3240" i="1"/>
  <c r="F3239" i="1"/>
  <c r="E3239" i="1"/>
  <c r="D3239" i="1"/>
  <c r="F3238" i="1"/>
  <c r="E3238" i="1"/>
  <c r="D3238" i="1"/>
  <c r="F3237" i="1"/>
  <c r="E3237" i="1"/>
  <c r="D3237" i="1"/>
  <c r="F3236" i="1"/>
  <c r="E3236" i="1"/>
  <c r="D3236" i="1"/>
  <c r="F3235" i="1"/>
  <c r="E3235" i="1"/>
  <c r="D3235" i="1"/>
  <c r="F3234" i="1"/>
  <c r="E3234" i="1"/>
  <c r="D3234" i="1"/>
  <c r="F3233" i="1"/>
  <c r="E3233" i="1"/>
  <c r="D3233" i="1"/>
  <c r="F3232" i="1"/>
  <c r="E3232" i="1"/>
  <c r="D3232" i="1"/>
  <c r="F3231" i="1"/>
  <c r="E3231" i="1"/>
  <c r="D3231" i="1"/>
  <c r="F3230" i="1"/>
  <c r="E3230" i="1"/>
  <c r="D3230" i="1"/>
  <c r="F3229" i="1"/>
  <c r="E3229" i="1"/>
  <c r="D3229" i="1"/>
  <c r="F3228" i="1"/>
  <c r="E3228" i="1"/>
  <c r="D3228" i="1"/>
  <c r="F3227" i="1"/>
  <c r="E3227" i="1"/>
  <c r="D3227" i="1"/>
  <c r="F3226" i="1"/>
  <c r="E3226" i="1"/>
  <c r="D3226" i="1"/>
  <c r="F3225" i="1"/>
  <c r="E3225" i="1"/>
  <c r="D3225" i="1"/>
  <c r="F3224" i="1"/>
  <c r="E3224" i="1"/>
  <c r="D3224" i="1"/>
  <c r="F3223" i="1"/>
  <c r="E3223" i="1"/>
  <c r="D3223" i="1"/>
  <c r="F3222" i="1"/>
  <c r="E3222" i="1"/>
  <c r="D3222" i="1"/>
  <c r="F3221" i="1"/>
  <c r="E3221" i="1"/>
  <c r="D3221" i="1"/>
  <c r="F3220" i="1"/>
  <c r="E3220" i="1"/>
  <c r="D3220" i="1"/>
  <c r="F3219" i="1"/>
  <c r="E3219" i="1"/>
  <c r="D3219" i="1"/>
  <c r="F3218" i="1"/>
  <c r="E3218" i="1"/>
  <c r="D3218" i="1"/>
  <c r="F3217" i="1"/>
  <c r="E3217" i="1"/>
  <c r="D3217" i="1"/>
  <c r="F3216" i="1"/>
  <c r="E3216" i="1"/>
  <c r="D3216" i="1"/>
  <c r="F3215" i="1"/>
  <c r="E3215" i="1"/>
  <c r="D3215" i="1"/>
  <c r="F3214" i="1"/>
  <c r="E3214" i="1"/>
  <c r="D3214" i="1"/>
  <c r="F3213" i="1"/>
  <c r="E3213" i="1"/>
  <c r="D3213" i="1"/>
  <c r="F3212" i="1"/>
  <c r="E3212" i="1"/>
  <c r="D3212" i="1"/>
  <c r="F3211" i="1"/>
  <c r="E3211" i="1"/>
  <c r="D3211" i="1"/>
  <c r="F3210" i="1"/>
  <c r="E3210" i="1"/>
  <c r="D3210" i="1"/>
  <c r="F3209" i="1"/>
  <c r="E3209" i="1"/>
  <c r="D3209" i="1"/>
  <c r="F3208" i="1"/>
  <c r="E3208" i="1"/>
  <c r="D3208" i="1"/>
  <c r="F3207" i="1"/>
  <c r="E3207" i="1"/>
  <c r="D3207" i="1"/>
  <c r="F3206" i="1"/>
  <c r="E3206" i="1"/>
  <c r="D3206" i="1"/>
  <c r="F3205" i="1"/>
  <c r="E3205" i="1"/>
  <c r="D3205" i="1"/>
  <c r="F3204" i="1"/>
  <c r="E3204" i="1"/>
  <c r="D3204" i="1"/>
  <c r="F3203" i="1"/>
  <c r="E3203" i="1"/>
  <c r="D3203" i="1"/>
  <c r="F3202" i="1"/>
  <c r="E3202" i="1"/>
  <c r="D3202" i="1"/>
  <c r="F3201" i="1"/>
  <c r="E3201" i="1"/>
  <c r="D3201" i="1"/>
  <c r="F3200" i="1"/>
  <c r="E3200" i="1"/>
  <c r="D3200" i="1"/>
  <c r="F3199" i="1"/>
  <c r="E3199" i="1"/>
  <c r="D3199" i="1"/>
  <c r="F3198" i="1"/>
  <c r="E3198" i="1"/>
  <c r="D3198" i="1"/>
  <c r="F3197" i="1"/>
  <c r="E3197" i="1"/>
  <c r="D3197" i="1"/>
  <c r="F3196" i="1"/>
  <c r="E3196" i="1"/>
  <c r="D3196" i="1"/>
  <c r="F3195" i="1"/>
  <c r="E3195" i="1"/>
  <c r="D3195" i="1"/>
  <c r="F3194" i="1"/>
  <c r="E3194" i="1"/>
  <c r="D3194" i="1"/>
  <c r="F3193" i="1"/>
  <c r="E3193" i="1"/>
  <c r="D3193" i="1"/>
  <c r="F3192" i="1"/>
  <c r="E3192" i="1"/>
  <c r="D3192" i="1"/>
  <c r="F3191" i="1"/>
  <c r="E3191" i="1"/>
  <c r="D3191" i="1"/>
  <c r="F3190" i="1"/>
  <c r="E3190" i="1"/>
  <c r="D3190" i="1"/>
  <c r="F3189" i="1"/>
  <c r="E3189" i="1"/>
  <c r="D3189" i="1"/>
  <c r="F3188" i="1"/>
  <c r="E3188" i="1"/>
  <c r="D3188" i="1"/>
  <c r="F3187" i="1"/>
  <c r="E3187" i="1"/>
  <c r="D3187" i="1"/>
  <c r="F3186" i="1"/>
  <c r="E3186" i="1"/>
  <c r="D3186" i="1"/>
  <c r="F3185" i="1"/>
  <c r="E3185" i="1"/>
  <c r="D3185" i="1"/>
  <c r="F3184" i="1"/>
  <c r="E3184" i="1"/>
  <c r="D3184" i="1"/>
  <c r="F3183" i="1"/>
  <c r="E3183" i="1"/>
  <c r="D3183" i="1"/>
  <c r="F3182" i="1"/>
  <c r="E3182" i="1"/>
  <c r="D3182" i="1"/>
  <c r="F3181" i="1"/>
  <c r="E3181" i="1"/>
  <c r="D3181" i="1"/>
  <c r="F3180" i="1"/>
  <c r="E3180" i="1"/>
  <c r="D3180" i="1"/>
  <c r="F3179" i="1"/>
  <c r="E3179" i="1"/>
  <c r="D3179" i="1"/>
  <c r="F3178" i="1"/>
  <c r="E3178" i="1"/>
  <c r="D3178" i="1"/>
  <c r="F3177" i="1"/>
  <c r="E3177" i="1"/>
  <c r="D3177" i="1"/>
  <c r="F3176" i="1"/>
  <c r="E3176" i="1"/>
  <c r="D3176" i="1"/>
  <c r="F3175" i="1"/>
  <c r="E3175" i="1"/>
  <c r="D3175" i="1"/>
  <c r="F3174" i="1"/>
  <c r="E3174" i="1"/>
  <c r="D3174" i="1"/>
  <c r="F3173" i="1"/>
  <c r="E3173" i="1"/>
  <c r="D3173" i="1"/>
  <c r="F3172" i="1"/>
  <c r="E3172" i="1"/>
  <c r="D3172" i="1"/>
  <c r="F3171" i="1"/>
  <c r="E3171" i="1"/>
  <c r="D3171" i="1"/>
  <c r="F3170" i="1"/>
  <c r="E3170" i="1"/>
  <c r="D3170" i="1"/>
  <c r="F3169" i="1"/>
  <c r="E3169" i="1"/>
  <c r="D3169" i="1"/>
  <c r="F3168" i="1"/>
  <c r="E3168" i="1"/>
  <c r="D3168" i="1"/>
  <c r="F3167" i="1"/>
  <c r="E3167" i="1"/>
  <c r="D3167" i="1"/>
  <c r="F3166" i="1"/>
  <c r="E3166" i="1"/>
  <c r="D3166" i="1"/>
  <c r="F3165" i="1"/>
  <c r="E3165" i="1"/>
  <c r="D3165" i="1"/>
  <c r="F3164" i="1"/>
  <c r="E3164" i="1"/>
  <c r="D3164" i="1"/>
  <c r="F3163" i="1"/>
  <c r="E3163" i="1"/>
  <c r="D3163" i="1"/>
  <c r="F3162" i="1"/>
  <c r="E3162" i="1"/>
  <c r="D3162" i="1"/>
  <c r="F3161" i="1"/>
  <c r="E3161" i="1"/>
  <c r="D3161" i="1"/>
  <c r="F3160" i="1"/>
  <c r="E3160" i="1"/>
  <c r="D3160" i="1"/>
  <c r="F3159" i="1"/>
  <c r="E3159" i="1"/>
  <c r="D3159" i="1"/>
  <c r="F3158" i="1"/>
  <c r="E3158" i="1"/>
  <c r="D3158" i="1"/>
  <c r="F3157" i="1"/>
  <c r="E3157" i="1"/>
  <c r="D3157" i="1"/>
  <c r="F3156" i="1"/>
  <c r="E3156" i="1"/>
  <c r="D3156" i="1"/>
  <c r="F3155" i="1"/>
  <c r="E3155" i="1"/>
  <c r="D3155" i="1"/>
  <c r="F3154" i="1"/>
  <c r="E3154" i="1"/>
  <c r="D3154" i="1"/>
  <c r="F3153" i="1"/>
  <c r="E3153" i="1"/>
  <c r="D3153" i="1"/>
  <c r="F3152" i="1"/>
  <c r="E3152" i="1"/>
  <c r="D3152" i="1"/>
  <c r="F3151" i="1"/>
  <c r="E3151" i="1"/>
  <c r="D3151" i="1"/>
  <c r="F3150" i="1"/>
  <c r="E3150" i="1"/>
  <c r="D3150" i="1"/>
  <c r="F3149" i="1"/>
  <c r="E3149" i="1"/>
  <c r="D3149" i="1"/>
  <c r="F3148" i="1"/>
  <c r="E3148" i="1"/>
  <c r="D3148" i="1"/>
  <c r="F3147" i="1"/>
  <c r="E3147" i="1"/>
  <c r="D3147" i="1"/>
  <c r="F3146" i="1"/>
  <c r="E3146" i="1"/>
  <c r="D3146" i="1"/>
  <c r="F3145" i="1"/>
  <c r="E3145" i="1"/>
  <c r="D3145" i="1"/>
  <c r="F3144" i="1"/>
  <c r="E3144" i="1"/>
  <c r="D3144" i="1"/>
  <c r="F3143" i="1"/>
  <c r="E3143" i="1"/>
  <c r="D3143" i="1"/>
  <c r="F3142" i="1"/>
  <c r="E3142" i="1"/>
  <c r="D3142" i="1"/>
  <c r="F3141" i="1"/>
  <c r="E3141" i="1"/>
  <c r="D3141" i="1"/>
  <c r="F3140" i="1"/>
  <c r="E3140" i="1"/>
  <c r="D3140" i="1"/>
  <c r="F3139" i="1"/>
  <c r="E3139" i="1"/>
  <c r="D3139" i="1"/>
  <c r="F3138" i="1"/>
  <c r="E3138" i="1"/>
  <c r="D3138" i="1"/>
  <c r="F3137" i="1"/>
  <c r="E3137" i="1"/>
  <c r="D3137" i="1"/>
  <c r="F3136" i="1"/>
  <c r="E3136" i="1"/>
  <c r="D3136" i="1"/>
  <c r="F3135" i="1"/>
  <c r="E3135" i="1"/>
  <c r="D3135" i="1"/>
  <c r="F3134" i="1"/>
  <c r="E3134" i="1"/>
  <c r="D3134" i="1"/>
  <c r="F3133" i="1"/>
  <c r="E3133" i="1"/>
  <c r="D3133" i="1"/>
  <c r="F3132" i="1"/>
  <c r="E3132" i="1"/>
  <c r="D3132" i="1"/>
  <c r="F3131" i="1"/>
  <c r="E3131" i="1"/>
  <c r="D3131" i="1"/>
  <c r="F3130" i="1"/>
  <c r="E3130" i="1"/>
  <c r="D3130" i="1"/>
  <c r="F3129" i="1"/>
  <c r="E3129" i="1"/>
  <c r="D3129" i="1"/>
  <c r="F3128" i="1"/>
  <c r="E3128" i="1"/>
  <c r="D3128" i="1"/>
  <c r="F3127" i="1"/>
  <c r="E3127" i="1"/>
  <c r="D3127" i="1"/>
  <c r="F3126" i="1"/>
  <c r="E3126" i="1"/>
  <c r="D3126" i="1"/>
  <c r="F3125" i="1"/>
  <c r="E3125" i="1"/>
  <c r="D3125" i="1"/>
  <c r="F3124" i="1"/>
  <c r="E3124" i="1"/>
  <c r="D3124" i="1"/>
  <c r="F3123" i="1"/>
  <c r="E3123" i="1"/>
  <c r="D3123" i="1"/>
  <c r="F3122" i="1"/>
  <c r="E3122" i="1"/>
  <c r="D3122" i="1"/>
  <c r="F3121" i="1"/>
  <c r="E3121" i="1"/>
  <c r="D3121" i="1"/>
  <c r="F3120" i="1"/>
  <c r="E3120" i="1"/>
  <c r="D3120" i="1"/>
  <c r="F3119" i="1"/>
  <c r="E3119" i="1"/>
  <c r="D3119" i="1"/>
  <c r="F3118" i="1"/>
  <c r="E3118" i="1"/>
  <c r="D3118" i="1"/>
  <c r="F3117" i="1"/>
  <c r="E3117" i="1"/>
  <c r="D3117" i="1"/>
  <c r="F3116" i="1"/>
  <c r="E3116" i="1"/>
  <c r="D3116" i="1"/>
  <c r="F3115" i="1"/>
  <c r="E3115" i="1"/>
  <c r="D3115" i="1"/>
  <c r="F3114" i="1"/>
  <c r="E3114" i="1"/>
  <c r="D3114" i="1"/>
  <c r="F3113" i="1"/>
  <c r="E3113" i="1"/>
  <c r="D3113" i="1"/>
  <c r="F3112" i="1"/>
  <c r="E3112" i="1"/>
  <c r="D3112" i="1"/>
  <c r="F3111" i="1"/>
  <c r="E3111" i="1"/>
  <c r="D3111" i="1"/>
  <c r="F3110" i="1"/>
  <c r="E3110" i="1"/>
  <c r="D3110" i="1"/>
  <c r="F3109" i="1"/>
  <c r="E3109" i="1"/>
  <c r="D3109" i="1"/>
  <c r="F3108" i="1"/>
  <c r="E3108" i="1"/>
  <c r="D3108" i="1"/>
  <c r="F3107" i="1"/>
  <c r="E3107" i="1"/>
  <c r="D3107" i="1"/>
  <c r="F3106" i="1"/>
  <c r="E3106" i="1"/>
  <c r="D3106" i="1"/>
  <c r="F3105" i="1"/>
  <c r="E3105" i="1"/>
  <c r="D3105" i="1"/>
  <c r="F3104" i="1"/>
  <c r="E3104" i="1"/>
  <c r="D3104" i="1"/>
  <c r="F3103" i="1"/>
  <c r="E3103" i="1"/>
  <c r="D3103" i="1"/>
  <c r="F3102" i="1"/>
  <c r="E3102" i="1"/>
  <c r="D3102" i="1"/>
  <c r="F3101" i="1"/>
  <c r="E3101" i="1"/>
  <c r="D3101" i="1"/>
  <c r="F3100" i="1"/>
  <c r="E3100" i="1"/>
  <c r="D3100" i="1"/>
  <c r="F3099" i="1"/>
  <c r="E3099" i="1"/>
  <c r="D3099" i="1"/>
  <c r="F3098" i="1"/>
  <c r="E3098" i="1"/>
  <c r="D3098" i="1"/>
  <c r="F3097" i="1"/>
  <c r="E3097" i="1"/>
  <c r="D3097" i="1"/>
  <c r="F3096" i="1"/>
  <c r="E3096" i="1"/>
  <c r="D3096" i="1"/>
  <c r="F3095" i="1"/>
  <c r="E3095" i="1"/>
  <c r="D3095" i="1"/>
  <c r="F3094" i="1"/>
  <c r="E3094" i="1"/>
  <c r="D3094" i="1"/>
  <c r="F3093" i="1"/>
  <c r="E3093" i="1"/>
  <c r="D3093" i="1"/>
  <c r="F3092" i="1"/>
  <c r="E3092" i="1"/>
  <c r="D3092" i="1"/>
  <c r="F3091" i="1"/>
  <c r="E3091" i="1"/>
  <c r="D3091" i="1"/>
  <c r="F3090" i="1"/>
  <c r="E3090" i="1"/>
  <c r="D3090" i="1"/>
  <c r="F3089" i="1"/>
  <c r="E3089" i="1"/>
  <c r="D3089" i="1"/>
  <c r="F3088" i="1"/>
  <c r="E3088" i="1"/>
  <c r="D3088" i="1"/>
  <c r="F3087" i="1"/>
  <c r="E3087" i="1"/>
  <c r="D3087" i="1"/>
  <c r="F3086" i="1"/>
  <c r="E3086" i="1"/>
  <c r="D3086" i="1"/>
  <c r="F3085" i="1"/>
  <c r="E3085" i="1"/>
  <c r="D3085" i="1"/>
  <c r="F3084" i="1"/>
  <c r="E3084" i="1"/>
  <c r="D3084" i="1"/>
  <c r="F3083" i="1"/>
  <c r="E3083" i="1"/>
  <c r="D3083" i="1"/>
  <c r="F3082" i="1"/>
  <c r="E3082" i="1"/>
  <c r="D3082" i="1"/>
  <c r="F3081" i="1"/>
  <c r="E3081" i="1"/>
  <c r="D3081" i="1"/>
  <c r="F3080" i="1"/>
  <c r="E3080" i="1"/>
  <c r="D3080" i="1"/>
  <c r="F3079" i="1"/>
  <c r="E3079" i="1"/>
  <c r="D3079" i="1"/>
  <c r="F3078" i="1"/>
  <c r="E3078" i="1"/>
  <c r="D3078" i="1"/>
  <c r="F3077" i="1"/>
  <c r="E3077" i="1"/>
  <c r="D3077" i="1"/>
  <c r="F3076" i="1"/>
  <c r="E3076" i="1"/>
  <c r="D3076" i="1"/>
  <c r="F3075" i="1"/>
  <c r="E3075" i="1"/>
  <c r="D3075" i="1"/>
  <c r="F3074" i="1"/>
  <c r="E3074" i="1"/>
  <c r="D3074" i="1"/>
  <c r="F3073" i="1"/>
  <c r="E3073" i="1"/>
  <c r="D3073" i="1"/>
  <c r="F3072" i="1"/>
  <c r="E3072" i="1"/>
  <c r="D3072" i="1"/>
  <c r="F3071" i="1"/>
  <c r="E3071" i="1"/>
  <c r="D3071" i="1"/>
  <c r="F3070" i="1"/>
  <c r="E3070" i="1"/>
  <c r="D3070" i="1"/>
  <c r="F3069" i="1"/>
  <c r="E3069" i="1"/>
  <c r="D3069" i="1"/>
  <c r="F3068" i="1"/>
  <c r="E3068" i="1"/>
  <c r="D3068" i="1"/>
  <c r="F3067" i="1"/>
  <c r="E3067" i="1"/>
  <c r="D3067" i="1"/>
  <c r="F3066" i="1"/>
  <c r="E3066" i="1"/>
  <c r="D3066" i="1"/>
  <c r="F3065" i="1"/>
  <c r="E3065" i="1"/>
  <c r="D3065" i="1"/>
  <c r="F3064" i="1"/>
  <c r="E3064" i="1"/>
  <c r="D3064" i="1"/>
  <c r="F3063" i="1"/>
  <c r="E3063" i="1"/>
  <c r="D3063" i="1"/>
  <c r="F3062" i="1"/>
  <c r="E3062" i="1"/>
  <c r="D3062" i="1"/>
  <c r="F3061" i="1"/>
  <c r="E3061" i="1"/>
  <c r="D3061" i="1"/>
  <c r="F3060" i="1"/>
  <c r="E3060" i="1"/>
  <c r="D3060" i="1"/>
  <c r="F3059" i="1"/>
  <c r="E3059" i="1"/>
  <c r="D3059" i="1"/>
  <c r="F3058" i="1"/>
  <c r="E3058" i="1"/>
  <c r="D3058" i="1"/>
  <c r="F3057" i="1"/>
  <c r="E3057" i="1"/>
  <c r="D3057" i="1"/>
  <c r="F3056" i="1"/>
  <c r="E3056" i="1"/>
  <c r="D3056" i="1"/>
  <c r="F3055" i="1"/>
  <c r="E3055" i="1"/>
  <c r="D3055" i="1"/>
  <c r="F3054" i="1"/>
  <c r="E3054" i="1"/>
  <c r="D3054" i="1"/>
  <c r="F3053" i="1"/>
  <c r="E3053" i="1"/>
  <c r="D3053" i="1"/>
  <c r="F3052" i="1"/>
  <c r="E3052" i="1"/>
  <c r="D3052" i="1"/>
  <c r="F3051" i="1"/>
  <c r="E3051" i="1"/>
  <c r="D3051" i="1"/>
  <c r="F3050" i="1"/>
  <c r="E3050" i="1"/>
  <c r="D3050" i="1"/>
  <c r="F3049" i="1"/>
  <c r="E3049" i="1"/>
  <c r="D3049" i="1"/>
  <c r="F3048" i="1"/>
  <c r="E3048" i="1"/>
  <c r="D3048" i="1"/>
  <c r="F3047" i="1"/>
  <c r="E3047" i="1"/>
  <c r="D3047" i="1"/>
  <c r="F3046" i="1"/>
  <c r="E3046" i="1"/>
  <c r="D3046" i="1"/>
  <c r="F3045" i="1"/>
  <c r="E3045" i="1"/>
  <c r="D3045" i="1"/>
  <c r="F3044" i="1"/>
  <c r="E3044" i="1"/>
  <c r="D3044" i="1"/>
  <c r="F3043" i="1"/>
  <c r="E3043" i="1"/>
  <c r="D3043" i="1"/>
  <c r="F3042" i="1"/>
  <c r="E3042" i="1"/>
  <c r="D3042" i="1"/>
  <c r="F3041" i="1"/>
  <c r="E3041" i="1"/>
  <c r="D3041" i="1"/>
  <c r="F3040" i="1"/>
  <c r="E3040" i="1"/>
  <c r="D3040" i="1"/>
  <c r="F3039" i="1"/>
  <c r="E3039" i="1"/>
  <c r="D3039" i="1"/>
  <c r="F3038" i="1"/>
  <c r="E3038" i="1"/>
  <c r="D3038" i="1"/>
  <c r="F3037" i="1"/>
  <c r="E3037" i="1"/>
  <c r="D3037" i="1"/>
  <c r="F3036" i="1"/>
  <c r="E3036" i="1"/>
  <c r="D3036" i="1"/>
  <c r="F3035" i="1"/>
  <c r="E3035" i="1"/>
  <c r="D3035" i="1"/>
  <c r="F3034" i="1"/>
  <c r="E3034" i="1"/>
  <c r="D3034" i="1"/>
  <c r="F3033" i="1"/>
  <c r="E3033" i="1"/>
  <c r="D3033" i="1"/>
  <c r="F3032" i="1"/>
  <c r="E3032" i="1"/>
  <c r="D3032" i="1"/>
  <c r="F3031" i="1"/>
  <c r="E3031" i="1"/>
  <c r="D3031" i="1"/>
  <c r="F3030" i="1"/>
  <c r="E3030" i="1"/>
  <c r="D3030" i="1"/>
  <c r="F3029" i="1"/>
  <c r="E3029" i="1"/>
  <c r="D3029" i="1"/>
  <c r="F3028" i="1"/>
  <c r="E3028" i="1"/>
  <c r="D3028" i="1"/>
  <c r="F3027" i="1"/>
  <c r="E3027" i="1"/>
  <c r="D3027" i="1"/>
  <c r="F3026" i="1"/>
  <c r="E3026" i="1"/>
  <c r="D3026" i="1"/>
  <c r="F3025" i="1"/>
  <c r="E3025" i="1"/>
  <c r="D3025" i="1"/>
  <c r="F3024" i="1"/>
  <c r="E3024" i="1"/>
  <c r="D3024" i="1"/>
  <c r="F3023" i="1"/>
  <c r="E3023" i="1"/>
  <c r="D3023" i="1"/>
  <c r="F3022" i="1"/>
  <c r="E3022" i="1"/>
  <c r="D3022" i="1"/>
  <c r="F3021" i="1"/>
  <c r="E3021" i="1"/>
  <c r="D3021" i="1"/>
  <c r="F3020" i="1"/>
  <c r="E3020" i="1"/>
  <c r="D3020" i="1"/>
  <c r="F3019" i="1"/>
  <c r="E3019" i="1"/>
  <c r="D3019" i="1"/>
  <c r="F3018" i="1"/>
  <c r="E3018" i="1"/>
  <c r="D3018" i="1"/>
  <c r="F3017" i="1"/>
  <c r="E3017" i="1"/>
  <c r="D3017" i="1"/>
  <c r="F3016" i="1"/>
  <c r="E3016" i="1"/>
  <c r="D3016" i="1"/>
  <c r="F3015" i="1"/>
  <c r="E3015" i="1"/>
  <c r="D3015" i="1"/>
  <c r="F3014" i="1"/>
  <c r="E3014" i="1"/>
  <c r="D3014" i="1"/>
  <c r="F3013" i="1"/>
  <c r="E3013" i="1"/>
  <c r="D3013" i="1"/>
  <c r="F3012" i="1"/>
  <c r="E3012" i="1"/>
  <c r="D3012" i="1"/>
  <c r="F3011" i="1"/>
  <c r="E3011" i="1"/>
  <c r="D3011" i="1"/>
  <c r="F3010" i="1"/>
  <c r="E3010" i="1"/>
  <c r="D3010" i="1"/>
  <c r="F3009" i="1"/>
  <c r="E3009" i="1"/>
  <c r="D3009" i="1"/>
  <c r="F3008" i="1"/>
  <c r="E3008" i="1"/>
  <c r="D3008" i="1"/>
  <c r="F3007" i="1"/>
  <c r="E3007" i="1"/>
  <c r="D3007" i="1"/>
  <c r="F3006" i="1"/>
  <c r="E3006" i="1"/>
  <c r="D3006" i="1"/>
  <c r="F3005" i="1"/>
  <c r="E3005" i="1"/>
  <c r="D3005" i="1"/>
  <c r="F3004" i="1"/>
  <c r="E3004" i="1"/>
  <c r="D3004" i="1"/>
  <c r="F3003" i="1"/>
  <c r="E3003" i="1"/>
  <c r="D3003" i="1"/>
  <c r="F3002" i="1"/>
  <c r="E3002" i="1"/>
  <c r="D3002" i="1"/>
  <c r="F3001" i="1"/>
  <c r="E3001" i="1"/>
  <c r="D3001" i="1"/>
  <c r="F3000" i="1"/>
  <c r="E3000" i="1"/>
  <c r="D3000" i="1"/>
  <c r="F2999" i="1"/>
  <c r="E2999" i="1"/>
  <c r="D2999" i="1"/>
  <c r="F2998" i="1"/>
  <c r="E2998" i="1"/>
  <c r="D2998" i="1"/>
  <c r="F2997" i="1"/>
  <c r="E2997" i="1"/>
  <c r="D2997" i="1"/>
  <c r="F2996" i="1"/>
  <c r="E2996" i="1"/>
  <c r="D2996" i="1"/>
  <c r="F2995" i="1"/>
  <c r="E2995" i="1"/>
  <c r="D2995" i="1"/>
  <c r="F2994" i="1"/>
  <c r="E2994" i="1"/>
  <c r="D2994" i="1"/>
  <c r="F2993" i="1"/>
  <c r="E2993" i="1"/>
  <c r="D2993" i="1"/>
  <c r="F2992" i="1"/>
  <c r="E2992" i="1"/>
  <c r="D2992" i="1"/>
  <c r="F2991" i="1"/>
  <c r="E2991" i="1"/>
  <c r="D2991" i="1"/>
  <c r="F2990" i="1"/>
  <c r="E2990" i="1"/>
  <c r="D2990" i="1"/>
  <c r="F2989" i="1"/>
  <c r="E2989" i="1"/>
  <c r="D2989" i="1"/>
  <c r="F2988" i="1"/>
  <c r="E2988" i="1"/>
  <c r="D2988" i="1"/>
  <c r="F2987" i="1"/>
  <c r="E2987" i="1"/>
  <c r="D2987" i="1"/>
  <c r="F2986" i="1"/>
  <c r="E2986" i="1"/>
  <c r="D2986" i="1"/>
  <c r="F2985" i="1"/>
  <c r="E2985" i="1"/>
  <c r="D2985" i="1"/>
  <c r="F2984" i="1"/>
  <c r="E2984" i="1"/>
  <c r="D2984" i="1"/>
  <c r="F2983" i="1"/>
  <c r="E2983" i="1"/>
  <c r="D2983" i="1"/>
  <c r="F2982" i="1"/>
  <c r="E2982" i="1"/>
  <c r="D2982" i="1"/>
  <c r="F2981" i="1"/>
  <c r="E2981" i="1"/>
  <c r="D2981" i="1"/>
  <c r="F2980" i="1"/>
  <c r="E2980" i="1"/>
  <c r="D2980" i="1"/>
  <c r="F2979" i="1"/>
  <c r="E2979" i="1"/>
  <c r="D2979" i="1"/>
  <c r="F2978" i="1"/>
  <c r="E2978" i="1"/>
  <c r="D2978" i="1"/>
  <c r="F2977" i="1"/>
  <c r="E2977" i="1"/>
  <c r="D2977" i="1"/>
  <c r="F2976" i="1"/>
  <c r="E2976" i="1"/>
  <c r="D2976" i="1"/>
  <c r="F2975" i="1"/>
  <c r="E2975" i="1"/>
  <c r="D2975" i="1"/>
  <c r="F2974" i="1"/>
  <c r="E2974" i="1"/>
  <c r="D2974" i="1"/>
  <c r="F2973" i="1"/>
  <c r="E2973" i="1"/>
  <c r="D2973" i="1"/>
  <c r="F2972" i="1"/>
  <c r="E2972" i="1"/>
  <c r="D2972" i="1"/>
  <c r="F2971" i="1"/>
  <c r="E2971" i="1"/>
  <c r="D2971" i="1"/>
  <c r="F2970" i="1"/>
  <c r="E2970" i="1"/>
  <c r="D2970" i="1"/>
  <c r="F2969" i="1"/>
  <c r="E2969" i="1"/>
  <c r="D2969" i="1"/>
  <c r="F2968" i="1"/>
  <c r="E2968" i="1"/>
  <c r="D2968" i="1"/>
  <c r="F2967" i="1"/>
  <c r="E2967" i="1"/>
  <c r="D2967" i="1"/>
  <c r="F2966" i="1"/>
  <c r="E2966" i="1"/>
  <c r="D2966" i="1"/>
  <c r="F2965" i="1"/>
  <c r="E2965" i="1"/>
  <c r="D2965" i="1"/>
  <c r="F2964" i="1"/>
  <c r="E2964" i="1"/>
  <c r="D2964" i="1"/>
  <c r="F2963" i="1"/>
  <c r="E2963" i="1"/>
  <c r="D2963" i="1"/>
  <c r="F2962" i="1"/>
  <c r="E2962" i="1"/>
  <c r="D2962" i="1"/>
  <c r="F2961" i="1"/>
  <c r="E2961" i="1"/>
  <c r="D2961" i="1"/>
  <c r="F2960" i="1"/>
  <c r="E2960" i="1"/>
  <c r="D2960" i="1"/>
  <c r="F2959" i="1"/>
  <c r="E2959" i="1"/>
  <c r="D2959" i="1"/>
  <c r="F2958" i="1"/>
  <c r="E2958" i="1"/>
  <c r="D2958" i="1"/>
  <c r="F2957" i="1"/>
  <c r="E2957" i="1"/>
  <c r="D2957" i="1"/>
  <c r="F2956" i="1"/>
  <c r="E2956" i="1"/>
  <c r="D2956" i="1"/>
  <c r="F2955" i="1"/>
  <c r="E2955" i="1"/>
  <c r="D2955" i="1"/>
  <c r="F2954" i="1"/>
  <c r="E2954" i="1"/>
  <c r="D2954" i="1"/>
  <c r="F2953" i="1"/>
  <c r="E2953" i="1"/>
  <c r="D2953" i="1"/>
  <c r="F2952" i="1"/>
  <c r="E2952" i="1"/>
  <c r="D2952" i="1"/>
  <c r="F2951" i="1"/>
  <c r="E2951" i="1"/>
  <c r="D2951" i="1"/>
  <c r="F2950" i="1"/>
  <c r="E2950" i="1"/>
  <c r="D2950" i="1"/>
  <c r="F2949" i="1"/>
  <c r="E2949" i="1"/>
  <c r="D2949" i="1"/>
  <c r="F2948" i="1"/>
  <c r="E2948" i="1"/>
  <c r="D2948" i="1"/>
  <c r="F2947" i="1"/>
  <c r="E2947" i="1"/>
  <c r="D2947" i="1"/>
  <c r="F2946" i="1"/>
  <c r="E2946" i="1"/>
  <c r="D2946" i="1"/>
  <c r="F2945" i="1"/>
  <c r="E2945" i="1"/>
  <c r="D2945" i="1"/>
  <c r="F2944" i="1"/>
  <c r="E2944" i="1"/>
  <c r="D2944" i="1"/>
  <c r="F2943" i="1"/>
  <c r="E2943" i="1"/>
  <c r="D2943" i="1"/>
  <c r="F2942" i="1"/>
  <c r="E2942" i="1"/>
  <c r="D2942" i="1"/>
  <c r="F2941" i="1"/>
  <c r="E2941" i="1"/>
  <c r="D2941" i="1"/>
  <c r="F2940" i="1"/>
  <c r="E2940" i="1"/>
  <c r="D2940" i="1"/>
  <c r="F2939" i="1"/>
  <c r="E2939" i="1"/>
  <c r="D2939" i="1"/>
  <c r="F2938" i="1"/>
  <c r="E2938" i="1"/>
  <c r="D2938" i="1"/>
  <c r="F2937" i="1"/>
  <c r="E2937" i="1"/>
  <c r="D2937" i="1"/>
  <c r="F2936" i="1"/>
  <c r="E2936" i="1"/>
  <c r="D2936" i="1"/>
  <c r="F2935" i="1"/>
  <c r="E2935" i="1"/>
  <c r="D2935" i="1"/>
  <c r="F2934" i="1"/>
  <c r="E2934" i="1"/>
  <c r="D2934" i="1"/>
  <c r="F2933" i="1"/>
  <c r="E2933" i="1"/>
  <c r="D2933" i="1"/>
  <c r="F2932" i="1"/>
  <c r="E2932" i="1"/>
  <c r="D2932" i="1"/>
  <c r="F2931" i="1"/>
  <c r="E2931" i="1"/>
  <c r="D2931" i="1"/>
  <c r="F2930" i="1"/>
  <c r="E2930" i="1"/>
  <c r="D2930" i="1"/>
  <c r="F2929" i="1"/>
  <c r="E2929" i="1"/>
  <c r="D2929" i="1"/>
  <c r="F2928" i="1"/>
  <c r="E2928" i="1"/>
  <c r="D2928" i="1"/>
  <c r="F2927" i="1"/>
  <c r="E2927" i="1"/>
  <c r="D2927" i="1"/>
  <c r="F2926" i="1"/>
  <c r="E2926" i="1"/>
  <c r="D2926" i="1"/>
  <c r="F2925" i="1"/>
  <c r="E2925" i="1"/>
  <c r="D2925" i="1"/>
  <c r="F2924" i="1"/>
  <c r="E2924" i="1"/>
  <c r="D2924" i="1"/>
  <c r="F2923" i="1"/>
  <c r="E2923" i="1"/>
  <c r="D2923" i="1"/>
  <c r="F2922" i="1"/>
  <c r="E2922" i="1"/>
  <c r="D2922" i="1"/>
  <c r="F2921" i="1"/>
  <c r="E2921" i="1"/>
  <c r="D2921" i="1"/>
  <c r="F2920" i="1"/>
  <c r="E2920" i="1"/>
  <c r="D2920" i="1"/>
  <c r="F2919" i="1"/>
  <c r="E2919" i="1"/>
  <c r="D2919" i="1"/>
  <c r="F2918" i="1"/>
  <c r="E2918" i="1"/>
  <c r="D2918" i="1"/>
  <c r="F2917" i="1"/>
  <c r="E2917" i="1"/>
  <c r="D2917" i="1"/>
  <c r="F2916" i="1"/>
  <c r="E2916" i="1"/>
  <c r="D2916" i="1"/>
  <c r="F2915" i="1"/>
  <c r="E2915" i="1"/>
  <c r="D2915" i="1"/>
  <c r="F2914" i="1"/>
  <c r="E2914" i="1"/>
  <c r="D2914" i="1"/>
  <c r="F2913" i="1"/>
  <c r="E2913" i="1"/>
  <c r="D2913" i="1"/>
  <c r="F2912" i="1"/>
  <c r="E2912" i="1"/>
  <c r="D2912" i="1"/>
  <c r="F2911" i="1"/>
  <c r="E2911" i="1"/>
  <c r="D2911" i="1"/>
  <c r="F2910" i="1"/>
  <c r="E2910" i="1"/>
  <c r="D2910" i="1"/>
  <c r="F2909" i="1"/>
  <c r="E2909" i="1"/>
  <c r="D2909" i="1"/>
  <c r="F2908" i="1"/>
  <c r="E2908" i="1"/>
  <c r="D2908" i="1"/>
  <c r="F2907" i="1"/>
  <c r="E2907" i="1"/>
  <c r="D2907" i="1"/>
  <c r="F2906" i="1"/>
  <c r="E2906" i="1"/>
  <c r="D2906" i="1"/>
  <c r="F2905" i="1"/>
  <c r="E2905" i="1"/>
  <c r="D2905" i="1"/>
  <c r="F2904" i="1"/>
  <c r="E2904" i="1"/>
  <c r="D2904" i="1"/>
  <c r="F2903" i="1"/>
  <c r="E2903" i="1"/>
  <c r="D2903" i="1"/>
  <c r="F2902" i="1"/>
  <c r="E2902" i="1"/>
  <c r="D2902" i="1"/>
  <c r="F2901" i="1"/>
  <c r="E2901" i="1"/>
  <c r="D2901" i="1"/>
  <c r="F2900" i="1"/>
  <c r="E2900" i="1"/>
  <c r="D2900" i="1"/>
  <c r="F2899" i="1"/>
  <c r="E2899" i="1"/>
  <c r="D2899" i="1"/>
  <c r="F2898" i="1"/>
  <c r="E2898" i="1"/>
  <c r="D2898" i="1"/>
  <c r="F2897" i="1"/>
  <c r="E2897" i="1"/>
  <c r="D2897" i="1"/>
  <c r="F2896" i="1"/>
  <c r="E2896" i="1"/>
  <c r="D2896" i="1"/>
  <c r="F2895" i="1"/>
  <c r="E2895" i="1"/>
  <c r="D2895" i="1"/>
  <c r="F2894" i="1"/>
  <c r="E2894" i="1"/>
  <c r="D2894" i="1"/>
  <c r="F2893" i="1"/>
  <c r="E2893" i="1"/>
  <c r="D2893" i="1"/>
  <c r="F2892" i="1"/>
  <c r="E2892" i="1"/>
  <c r="D2892" i="1"/>
  <c r="F2891" i="1"/>
  <c r="E2891" i="1"/>
  <c r="D2891" i="1"/>
  <c r="F2890" i="1"/>
  <c r="E2890" i="1"/>
  <c r="D2890" i="1"/>
  <c r="F2889" i="1"/>
  <c r="E2889" i="1"/>
  <c r="D2889" i="1"/>
  <c r="F2888" i="1"/>
  <c r="E2888" i="1"/>
  <c r="D2888" i="1"/>
  <c r="F2887" i="1"/>
  <c r="E2887" i="1"/>
  <c r="D2887" i="1"/>
  <c r="F2886" i="1"/>
  <c r="E2886" i="1"/>
  <c r="D2886" i="1"/>
  <c r="F2885" i="1"/>
  <c r="E2885" i="1"/>
  <c r="D2885" i="1"/>
  <c r="F2884" i="1"/>
  <c r="E2884" i="1"/>
  <c r="D2884" i="1"/>
  <c r="F2883" i="1"/>
  <c r="E2883" i="1"/>
  <c r="D2883" i="1"/>
  <c r="F2882" i="1"/>
  <c r="E2882" i="1"/>
  <c r="D2882" i="1"/>
  <c r="F2881" i="1"/>
  <c r="E2881" i="1"/>
  <c r="D2881" i="1"/>
  <c r="F2880" i="1"/>
  <c r="E2880" i="1"/>
  <c r="D2880" i="1"/>
  <c r="F2879" i="1"/>
  <c r="E2879" i="1"/>
  <c r="D2879" i="1"/>
  <c r="F2878" i="1"/>
  <c r="E2878" i="1"/>
  <c r="D2878" i="1"/>
  <c r="F2877" i="1"/>
  <c r="E2877" i="1"/>
  <c r="D2877" i="1"/>
  <c r="F2876" i="1"/>
  <c r="E2876" i="1"/>
  <c r="D2876" i="1"/>
  <c r="F2875" i="1"/>
  <c r="E2875" i="1"/>
  <c r="D2875" i="1"/>
  <c r="F2874" i="1"/>
  <c r="E2874" i="1"/>
  <c r="D2874" i="1"/>
  <c r="F2873" i="1"/>
  <c r="E2873" i="1"/>
  <c r="D2873" i="1"/>
  <c r="F2872" i="1"/>
  <c r="E2872" i="1"/>
  <c r="D2872" i="1"/>
  <c r="F2871" i="1"/>
  <c r="E2871" i="1"/>
  <c r="D2871" i="1"/>
  <c r="F2870" i="1"/>
  <c r="E2870" i="1"/>
  <c r="D2870" i="1"/>
  <c r="F2869" i="1"/>
  <c r="E2869" i="1"/>
  <c r="D2869" i="1"/>
  <c r="F2868" i="1"/>
  <c r="E2868" i="1"/>
  <c r="D2868" i="1"/>
  <c r="F2867" i="1"/>
  <c r="E2867" i="1"/>
  <c r="D2867" i="1"/>
  <c r="F2866" i="1"/>
  <c r="E2866" i="1"/>
  <c r="D2866" i="1"/>
  <c r="F2865" i="1"/>
  <c r="E2865" i="1"/>
  <c r="D2865" i="1"/>
  <c r="F2864" i="1"/>
  <c r="E2864" i="1"/>
  <c r="D2864" i="1"/>
  <c r="F2863" i="1"/>
  <c r="E2863" i="1"/>
  <c r="D2863" i="1"/>
  <c r="F2862" i="1"/>
  <c r="E2862" i="1"/>
  <c r="D2862" i="1"/>
  <c r="F2861" i="1"/>
  <c r="E2861" i="1"/>
  <c r="D2861" i="1"/>
  <c r="F2860" i="1"/>
  <c r="E2860" i="1"/>
  <c r="D2860" i="1"/>
  <c r="F2859" i="1"/>
  <c r="E2859" i="1"/>
  <c r="D2859" i="1"/>
  <c r="F2858" i="1"/>
  <c r="E2858" i="1"/>
  <c r="D2858" i="1"/>
  <c r="F2857" i="1"/>
  <c r="E2857" i="1"/>
  <c r="D2857" i="1"/>
  <c r="F2856" i="1"/>
  <c r="E2856" i="1"/>
  <c r="D2856" i="1"/>
  <c r="F2855" i="1"/>
  <c r="E2855" i="1"/>
  <c r="D2855" i="1"/>
  <c r="F2854" i="1"/>
  <c r="E2854" i="1"/>
  <c r="D2854" i="1"/>
  <c r="F2853" i="1"/>
  <c r="E2853" i="1"/>
  <c r="D2853" i="1"/>
  <c r="F2852" i="1"/>
  <c r="E2852" i="1"/>
  <c r="D2852" i="1"/>
  <c r="F2851" i="1"/>
  <c r="E2851" i="1"/>
  <c r="D2851" i="1"/>
  <c r="F2850" i="1"/>
  <c r="E2850" i="1"/>
  <c r="D2850" i="1"/>
  <c r="F2849" i="1"/>
  <c r="E2849" i="1"/>
  <c r="D2849" i="1"/>
  <c r="F2848" i="1"/>
  <c r="E2848" i="1"/>
  <c r="D2848" i="1"/>
  <c r="F2847" i="1"/>
  <c r="E2847" i="1"/>
  <c r="D2847" i="1"/>
  <c r="F2846" i="1"/>
  <c r="E2846" i="1"/>
  <c r="D2846" i="1"/>
  <c r="F2845" i="1"/>
  <c r="E2845" i="1"/>
  <c r="D2845" i="1"/>
  <c r="F2844" i="1"/>
  <c r="E2844" i="1"/>
  <c r="D2844" i="1"/>
  <c r="F2843" i="1"/>
  <c r="E2843" i="1"/>
  <c r="D2843" i="1"/>
  <c r="F2842" i="1"/>
  <c r="E2842" i="1"/>
  <c r="D2842" i="1"/>
  <c r="F2841" i="1"/>
  <c r="E2841" i="1"/>
  <c r="D2841" i="1"/>
  <c r="F2840" i="1"/>
  <c r="E2840" i="1"/>
  <c r="D2840" i="1"/>
  <c r="F2839" i="1"/>
  <c r="E2839" i="1"/>
  <c r="D2839" i="1"/>
  <c r="F2838" i="1"/>
  <c r="E2838" i="1"/>
  <c r="D2838" i="1"/>
  <c r="F2837" i="1"/>
  <c r="E2837" i="1"/>
  <c r="D2837" i="1"/>
  <c r="F2836" i="1"/>
  <c r="E2836" i="1"/>
  <c r="D2836" i="1"/>
  <c r="F2835" i="1"/>
  <c r="E2835" i="1"/>
  <c r="D2835" i="1"/>
  <c r="F2834" i="1"/>
  <c r="E2834" i="1"/>
  <c r="D2834" i="1"/>
  <c r="F2833" i="1"/>
  <c r="E2833" i="1"/>
  <c r="D2833" i="1"/>
  <c r="F2832" i="1"/>
  <c r="E2832" i="1"/>
  <c r="D2832" i="1"/>
  <c r="F2831" i="1"/>
  <c r="E2831" i="1"/>
  <c r="D2831" i="1"/>
  <c r="F2830" i="1"/>
  <c r="E2830" i="1"/>
  <c r="D2830" i="1"/>
  <c r="F2829" i="1"/>
  <c r="E2829" i="1"/>
  <c r="D2829" i="1"/>
  <c r="F2828" i="1"/>
  <c r="E2828" i="1"/>
  <c r="D2828" i="1"/>
  <c r="F2827" i="1"/>
  <c r="E2827" i="1"/>
  <c r="D2827" i="1"/>
  <c r="F2826" i="1"/>
  <c r="E2826" i="1"/>
  <c r="D2826" i="1"/>
  <c r="F2825" i="1"/>
  <c r="E2825" i="1"/>
  <c r="D2825" i="1"/>
  <c r="F2824" i="1"/>
  <c r="E2824" i="1"/>
  <c r="D2824" i="1"/>
  <c r="F2823" i="1"/>
  <c r="E2823" i="1"/>
  <c r="D2823" i="1"/>
  <c r="F2822" i="1"/>
  <c r="E2822" i="1"/>
  <c r="D2822" i="1"/>
  <c r="F2821" i="1"/>
  <c r="E2821" i="1"/>
  <c r="D2821" i="1"/>
  <c r="F2820" i="1"/>
  <c r="E2820" i="1"/>
  <c r="D2820" i="1"/>
  <c r="F2819" i="1"/>
  <c r="E2819" i="1"/>
  <c r="D2819" i="1"/>
  <c r="F2818" i="1"/>
  <c r="E2818" i="1"/>
  <c r="D2818" i="1"/>
  <c r="F2817" i="1"/>
  <c r="E2817" i="1"/>
  <c r="D2817" i="1"/>
  <c r="F2816" i="1"/>
  <c r="E2816" i="1"/>
  <c r="D2816" i="1"/>
  <c r="F2815" i="1"/>
  <c r="E2815" i="1"/>
  <c r="D2815" i="1"/>
  <c r="F2814" i="1"/>
  <c r="E2814" i="1"/>
  <c r="D2814" i="1"/>
  <c r="F2813" i="1"/>
  <c r="E2813" i="1"/>
  <c r="D2813" i="1"/>
  <c r="F2812" i="1"/>
  <c r="E2812" i="1"/>
  <c r="D2812" i="1"/>
  <c r="F2811" i="1"/>
  <c r="E2811" i="1"/>
  <c r="D2811" i="1"/>
  <c r="F2810" i="1"/>
  <c r="E2810" i="1"/>
  <c r="D2810" i="1"/>
  <c r="F2809" i="1"/>
  <c r="E2809" i="1"/>
  <c r="D2809" i="1"/>
  <c r="F2808" i="1"/>
  <c r="E2808" i="1"/>
  <c r="D2808" i="1"/>
  <c r="F2807" i="1"/>
  <c r="E2807" i="1"/>
  <c r="D2807" i="1"/>
  <c r="F2806" i="1"/>
  <c r="E2806" i="1"/>
  <c r="D2806" i="1"/>
  <c r="F2805" i="1"/>
  <c r="E2805" i="1"/>
  <c r="D2805" i="1"/>
  <c r="F2804" i="1"/>
  <c r="E2804" i="1"/>
  <c r="D2804" i="1"/>
  <c r="F2803" i="1"/>
  <c r="E2803" i="1"/>
  <c r="D2803" i="1"/>
  <c r="F2802" i="1"/>
  <c r="E2802" i="1"/>
  <c r="D2802" i="1"/>
  <c r="F2801" i="1"/>
  <c r="E2801" i="1"/>
  <c r="D2801" i="1"/>
  <c r="F2800" i="1"/>
  <c r="E2800" i="1"/>
  <c r="D2800" i="1"/>
  <c r="F2799" i="1"/>
  <c r="E2799" i="1"/>
  <c r="D2799" i="1"/>
  <c r="F2798" i="1"/>
  <c r="E2798" i="1"/>
  <c r="D2798" i="1"/>
  <c r="F2797" i="1"/>
  <c r="E2797" i="1"/>
  <c r="D2797" i="1"/>
  <c r="F2796" i="1"/>
  <c r="E2796" i="1"/>
  <c r="D2796" i="1"/>
  <c r="F2795" i="1"/>
  <c r="E2795" i="1"/>
  <c r="D2795" i="1"/>
  <c r="F2794" i="1"/>
  <c r="E2794" i="1"/>
  <c r="D2794" i="1"/>
  <c r="F2793" i="1"/>
  <c r="E2793" i="1"/>
  <c r="D2793" i="1"/>
  <c r="F2792" i="1"/>
  <c r="E2792" i="1"/>
  <c r="D2792" i="1"/>
  <c r="F2791" i="1"/>
  <c r="E2791" i="1"/>
  <c r="D2791" i="1"/>
  <c r="F2790" i="1"/>
  <c r="E2790" i="1"/>
  <c r="D2790" i="1"/>
  <c r="F2789" i="1"/>
  <c r="E2789" i="1"/>
  <c r="D2789" i="1"/>
  <c r="F2788" i="1"/>
  <c r="E2788" i="1"/>
  <c r="D2788" i="1"/>
  <c r="F2787" i="1"/>
  <c r="E2787" i="1"/>
  <c r="D2787" i="1"/>
  <c r="F2786" i="1"/>
  <c r="E2786" i="1"/>
  <c r="D2786" i="1"/>
  <c r="F2785" i="1"/>
  <c r="E2785" i="1"/>
  <c r="D2785" i="1"/>
  <c r="F2784" i="1"/>
  <c r="E2784" i="1"/>
  <c r="D2784" i="1"/>
  <c r="F2783" i="1"/>
  <c r="E2783" i="1"/>
  <c r="D2783" i="1"/>
  <c r="F2782" i="1"/>
  <c r="E2782" i="1"/>
  <c r="D2782" i="1"/>
  <c r="F2781" i="1"/>
  <c r="E2781" i="1"/>
  <c r="D2781" i="1"/>
  <c r="F2780" i="1"/>
  <c r="E2780" i="1"/>
  <c r="D2780" i="1"/>
  <c r="F2779" i="1"/>
  <c r="E2779" i="1"/>
  <c r="D2779" i="1"/>
  <c r="F2778" i="1"/>
  <c r="E2778" i="1"/>
  <c r="D2778" i="1"/>
  <c r="F2777" i="1"/>
  <c r="E2777" i="1"/>
  <c r="D2777" i="1"/>
  <c r="F2776" i="1"/>
  <c r="E2776" i="1"/>
  <c r="D2776" i="1"/>
  <c r="F2775" i="1"/>
  <c r="E2775" i="1"/>
  <c r="D2775" i="1"/>
  <c r="F2774" i="1"/>
  <c r="E2774" i="1"/>
  <c r="D2774" i="1"/>
  <c r="F2773" i="1"/>
  <c r="E2773" i="1"/>
  <c r="D2773" i="1"/>
  <c r="F2772" i="1"/>
  <c r="E2772" i="1"/>
  <c r="D2772" i="1"/>
  <c r="F2771" i="1"/>
  <c r="E2771" i="1"/>
  <c r="D2771" i="1"/>
  <c r="F2770" i="1"/>
  <c r="E2770" i="1"/>
  <c r="D2770" i="1"/>
  <c r="F2769" i="1"/>
  <c r="E2769" i="1"/>
  <c r="D2769" i="1"/>
  <c r="F2768" i="1"/>
  <c r="E2768" i="1"/>
  <c r="D2768" i="1"/>
  <c r="F2767" i="1"/>
  <c r="E2767" i="1"/>
  <c r="D2767" i="1"/>
  <c r="F2766" i="1"/>
  <c r="E2766" i="1"/>
  <c r="D2766" i="1"/>
  <c r="F2765" i="1"/>
  <c r="E2765" i="1"/>
  <c r="D2765" i="1"/>
  <c r="F2764" i="1"/>
  <c r="E2764" i="1"/>
  <c r="D2764" i="1"/>
  <c r="F2763" i="1"/>
  <c r="E2763" i="1"/>
  <c r="D2763" i="1"/>
  <c r="F2762" i="1"/>
  <c r="E2762" i="1"/>
  <c r="D2762" i="1"/>
  <c r="F2761" i="1"/>
  <c r="E2761" i="1"/>
  <c r="D2761" i="1"/>
  <c r="F2760" i="1"/>
  <c r="E2760" i="1"/>
  <c r="D2760" i="1"/>
  <c r="F2759" i="1"/>
  <c r="E2759" i="1"/>
  <c r="D2759" i="1"/>
  <c r="F2758" i="1"/>
  <c r="E2758" i="1"/>
  <c r="D2758" i="1"/>
  <c r="F2757" i="1"/>
  <c r="E2757" i="1"/>
  <c r="D2757" i="1"/>
  <c r="F2756" i="1"/>
  <c r="E2756" i="1"/>
  <c r="D2756" i="1"/>
  <c r="F2755" i="1"/>
  <c r="E2755" i="1"/>
  <c r="D2755" i="1"/>
  <c r="F2754" i="1"/>
  <c r="E2754" i="1"/>
  <c r="D2754" i="1"/>
  <c r="F2753" i="1"/>
  <c r="E2753" i="1"/>
  <c r="D2753" i="1"/>
  <c r="F2752" i="1"/>
  <c r="E2752" i="1"/>
  <c r="D2752" i="1"/>
  <c r="F2751" i="1"/>
  <c r="E2751" i="1"/>
  <c r="D2751" i="1"/>
  <c r="F2750" i="1"/>
  <c r="E2750" i="1"/>
  <c r="D2750" i="1"/>
  <c r="F2749" i="1"/>
  <c r="E2749" i="1"/>
  <c r="D2749" i="1"/>
  <c r="F2748" i="1"/>
  <c r="E2748" i="1"/>
  <c r="D2748" i="1"/>
  <c r="F2747" i="1"/>
  <c r="E2747" i="1"/>
  <c r="D2747" i="1"/>
  <c r="F2746" i="1"/>
  <c r="E2746" i="1"/>
  <c r="D2746" i="1"/>
  <c r="F2745" i="1"/>
  <c r="E2745" i="1"/>
  <c r="D2745" i="1"/>
  <c r="F2744" i="1"/>
  <c r="E2744" i="1"/>
  <c r="D2744" i="1"/>
  <c r="F2743" i="1"/>
  <c r="E2743" i="1"/>
  <c r="D2743" i="1"/>
  <c r="F2742" i="1"/>
  <c r="E2742" i="1"/>
  <c r="D2742" i="1"/>
  <c r="F2741" i="1"/>
  <c r="E2741" i="1"/>
  <c r="D2741" i="1"/>
  <c r="F2740" i="1"/>
  <c r="E2740" i="1"/>
  <c r="D2740" i="1"/>
  <c r="F2739" i="1"/>
  <c r="E2739" i="1"/>
  <c r="D2739" i="1"/>
  <c r="F2738" i="1"/>
  <c r="E2738" i="1"/>
  <c r="D2738" i="1"/>
  <c r="F2737" i="1"/>
  <c r="E2737" i="1"/>
  <c r="D2737" i="1"/>
  <c r="F2736" i="1"/>
  <c r="E2736" i="1"/>
  <c r="D2736" i="1"/>
  <c r="F2735" i="1"/>
  <c r="E2735" i="1"/>
  <c r="D2735" i="1"/>
  <c r="F2734" i="1"/>
  <c r="E2734" i="1"/>
  <c r="D2734" i="1"/>
  <c r="F2733" i="1"/>
  <c r="E2733" i="1"/>
  <c r="D2733" i="1"/>
  <c r="F2732" i="1"/>
  <c r="E2732" i="1"/>
  <c r="D2732" i="1"/>
  <c r="F2731" i="1"/>
  <c r="E2731" i="1"/>
  <c r="D2731" i="1"/>
  <c r="F2730" i="1"/>
  <c r="E2730" i="1"/>
  <c r="D2730" i="1"/>
  <c r="F2729" i="1"/>
  <c r="E2729" i="1"/>
  <c r="D2729" i="1"/>
  <c r="F2728" i="1"/>
  <c r="E2728" i="1"/>
  <c r="D2728" i="1"/>
  <c r="F2727" i="1"/>
  <c r="E2727" i="1"/>
  <c r="D2727" i="1"/>
  <c r="F2726" i="1"/>
  <c r="E2726" i="1"/>
  <c r="D2726" i="1"/>
  <c r="F2725" i="1"/>
  <c r="E2725" i="1"/>
  <c r="D2725" i="1"/>
  <c r="F2724" i="1"/>
  <c r="E2724" i="1"/>
  <c r="D2724" i="1"/>
  <c r="F2723" i="1"/>
  <c r="E2723" i="1"/>
  <c r="D2723" i="1"/>
  <c r="F2722" i="1"/>
  <c r="E2722" i="1"/>
  <c r="D2722" i="1"/>
  <c r="F2721" i="1"/>
  <c r="E2721" i="1"/>
  <c r="D2721" i="1"/>
  <c r="F2720" i="1"/>
  <c r="E2720" i="1"/>
  <c r="D2720" i="1"/>
  <c r="F2719" i="1"/>
  <c r="E2719" i="1"/>
  <c r="D2719" i="1"/>
  <c r="F2718" i="1"/>
  <c r="E2718" i="1"/>
  <c r="D2718" i="1"/>
  <c r="F2717" i="1"/>
  <c r="E2717" i="1"/>
  <c r="D2717" i="1"/>
  <c r="F2716" i="1"/>
  <c r="E2716" i="1"/>
  <c r="D2716" i="1"/>
  <c r="F2715" i="1"/>
  <c r="E2715" i="1"/>
  <c r="D2715" i="1"/>
  <c r="F2714" i="1"/>
  <c r="E2714" i="1"/>
  <c r="D2714" i="1"/>
  <c r="F2713" i="1"/>
  <c r="E2713" i="1"/>
  <c r="D2713" i="1"/>
  <c r="F2712" i="1"/>
  <c r="E2712" i="1"/>
  <c r="D2712" i="1"/>
  <c r="F2711" i="1"/>
  <c r="E2711" i="1"/>
  <c r="D2711" i="1"/>
  <c r="F2710" i="1"/>
  <c r="E2710" i="1"/>
  <c r="D2710" i="1"/>
  <c r="F2709" i="1"/>
  <c r="E2709" i="1"/>
  <c r="D2709" i="1"/>
  <c r="F2708" i="1"/>
  <c r="E2708" i="1"/>
  <c r="D2708" i="1"/>
  <c r="F2707" i="1"/>
  <c r="E2707" i="1"/>
  <c r="D2707" i="1"/>
  <c r="F2706" i="1"/>
  <c r="E2706" i="1"/>
  <c r="D2706" i="1"/>
  <c r="F2705" i="1"/>
  <c r="E2705" i="1"/>
  <c r="D2705" i="1"/>
  <c r="F2704" i="1"/>
  <c r="E2704" i="1"/>
  <c r="D2704" i="1"/>
  <c r="F2703" i="1"/>
  <c r="E2703" i="1"/>
  <c r="D2703" i="1"/>
  <c r="F2702" i="1"/>
  <c r="E2702" i="1"/>
  <c r="D2702" i="1"/>
  <c r="F2701" i="1"/>
  <c r="E2701" i="1"/>
  <c r="D2701" i="1"/>
  <c r="F2700" i="1"/>
  <c r="E2700" i="1"/>
  <c r="D2700" i="1"/>
  <c r="F2699" i="1"/>
  <c r="E2699" i="1"/>
  <c r="D2699" i="1"/>
  <c r="F2698" i="1"/>
  <c r="E2698" i="1"/>
  <c r="D2698" i="1"/>
  <c r="F2697" i="1"/>
  <c r="E2697" i="1"/>
  <c r="D2697" i="1"/>
  <c r="F2696" i="1"/>
  <c r="E2696" i="1"/>
  <c r="D2696" i="1"/>
  <c r="F2695" i="1"/>
  <c r="E2695" i="1"/>
  <c r="D2695" i="1"/>
  <c r="F2694" i="1"/>
  <c r="E2694" i="1"/>
  <c r="D2694" i="1"/>
  <c r="F2693" i="1"/>
  <c r="E2693" i="1"/>
  <c r="D2693" i="1"/>
  <c r="F2692" i="1"/>
  <c r="E2692" i="1"/>
  <c r="D2692" i="1"/>
  <c r="F2691" i="1"/>
  <c r="E2691" i="1"/>
  <c r="D2691" i="1"/>
  <c r="F2690" i="1"/>
  <c r="E2690" i="1"/>
  <c r="D2690" i="1"/>
  <c r="F2689" i="1"/>
  <c r="E2689" i="1"/>
  <c r="D2689" i="1"/>
  <c r="F2688" i="1"/>
  <c r="E2688" i="1"/>
  <c r="D2688" i="1"/>
  <c r="F2687" i="1"/>
  <c r="E2687" i="1"/>
  <c r="D2687" i="1"/>
  <c r="F2686" i="1"/>
  <c r="E2686" i="1"/>
  <c r="D2686" i="1"/>
  <c r="F2685" i="1"/>
  <c r="E2685" i="1"/>
  <c r="D2685" i="1"/>
  <c r="F2684" i="1"/>
  <c r="E2684" i="1"/>
  <c r="D2684" i="1"/>
  <c r="F2683" i="1"/>
  <c r="E2683" i="1"/>
  <c r="D2683" i="1"/>
  <c r="F2682" i="1"/>
  <c r="E2682" i="1"/>
  <c r="D2682" i="1"/>
  <c r="F2681" i="1"/>
  <c r="E2681" i="1"/>
  <c r="D2681" i="1"/>
  <c r="F2680" i="1"/>
  <c r="E2680" i="1"/>
  <c r="D2680" i="1"/>
  <c r="F2679" i="1"/>
  <c r="E2679" i="1"/>
  <c r="D2679" i="1"/>
  <c r="F2678" i="1"/>
  <c r="E2678" i="1"/>
  <c r="D2678" i="1"/>
  <c r="F2677" i="1"/>
  <c r="E2677" i="1"/>
  <c r="D2677" i="1"/>
  <c r="F2676" i="1"/>
  <c r="E2676" i="1"/>
  <c r="D2676" i="1"/>
  <c r="F2675" i="1"/>
  <c r="E2675" i="1"/>
  <c r="D2675" i="1"/>
  <c r="F2674" i="1"/>
  <c r="E2674" i="1"/>
  <c r="D2674" i="1"/>
  <c r="F2673" i="1"/>
  <c r="E2673" i="1"/>
  <c r="D2673" i="1"/>
  <c r="F2672" i="1"/>
  <c r="E2672" i="1"/>
  <c r="D2672" i="1"/>
  <c r="F2671" i="1"/>
  <c r="E2671" i="1"/>
  <c r="D2671" i="1"/>
  <c r="F2670" i="1"/>
  <c r="E2670" i="1"/>
  <c r="D2670" i="1"/>
  <c r="F2669" i="1"/>
  <c r="E2669" i="1"/>
  <c r="D2669" i="1"/>
  <c r="F2668" i="1"/>
  <c r="E2668" i="1"/>
  <c r="D2668" i="1"/>
  <c r="F2667" i="1"/>
  <c r="E2667" i="1"/>
  <c r="D2667" i="1"/>
  <c r="F2666" i="1"/>
  <c r="E2666" i="1"/>
  <c r="D2666" i="1"/>
  <c r="F2665" i="1"/>
  <c r="E2665" i="1"/>
  <c r="D2665" i="1"/>
  <c r="F2664" i="1"/>
  <c r="E2664" i="1"/>
  <c r="D2664" i="1"/>
  <c r="F2663" i="1"/>
  <c r="E2663" i="1"/>
  <c r="D2663" i="1"/>
  <c r="F2662" i="1"/>
  <c r="E2662" i="1"/>
  <c r="D2662" i="1"/>
  <c r="F2661" i="1"/>
  <c r="E2661" i="1"/>
  <c r="D2661" i="1"/>
  <c r="F2660" i="1"/>
  <c r="E2660" i="1"/>
  <c r="D2660" i="1"/>
  <c r="F2659" i="1"/>
  <c r="E2659" i="1"/>
  <c r="D2659" i="1"/>
  <c r="F2658" i="1"/>
  <c r="E2658" i="1"/>
  <c r="D2658" i="1"/>
  <c r="F2657" i="1"/>
  <c r="E2657" i="1"/>
  <c r="D2657" i="1"/>
  <c r="F2656" i="1"/>
  <c r="E2656" i="1"/>
  <c r="D2656" i="1"/>
  <c r="F2655" i="1"/>
  <c r="E2655" i="1"/>
  <c r="D2655" i="1"/>
  <c r="F2654" i="1"/>
  <c r="E2654" i="1"/>
  <c r="D2654" i="1"/>
  <c r="F2653" i="1"/>
  <c r="E2653" i="1"/>
  <c r="D2653" i="1"/>
  <c r="F2652" i="1"/>
  <c r="E2652" i="1"/>
  <c r="D2652" i="1"/>
  <c r="F2651" i="1"/>
  <c r="E2651" i="1"/>
  <c r="D2651" i="1"/>
  <c r="F2650" i="1"/>
  <c r="E2650" i="1"/>
  <c r="D2650" i="1"/>
  <c r="F2649" i="1"/>
  <c r="E2649" i="1"/>
  <c r="D2649" i="1"/>
  <c r="F2648" i="1"/>
  <c r="E2648" i="1"/>
  <c r="D2648" i="1"/>
  <c r="F2647" i="1"/>
  <c r="E2647" i="1"/>
  <c r="D2647" i="1"/>
  <c r="F2646" i="1"/>
  <c r="E2646" i="1"/>
  <c r="D2646" i="1"/>
  <c r="F2645" i="1"/>
  <c r="E2645" i="1"/>
  <c r="D2645" i="1"/>
  <c r="F2644" i="1"/>
  <c r="E2644" i="1"/>
  <c r="D2644" i="1"/>
  <c r="F2643" i="1"/>
  <c r="E2643" i="1"/>
  <c r="D2643" i="1"/>
  <c r="F2642" i="1"/>
  <c r="E2642" i="1"/>
  <c r="D2642" i="1"/>
  <c r="F2641" i="1"/>
  <c r="E2641" i="1"/>
  <c r="D2641" i="1"/>
  <c r="F2640" i="1"/>
  <c r="E2640" i="1"/>
  <c r="D2640" i="1"/>
  <c r="F2639" i="1"/>
  <c r="E2639" i="1"/>
  <c r="D2639" i="1"/>
  <c r="F2638" i="1"/>
  <c r="E2638" i="1"/>
  <c r="D2638" i="1"/>
  <c r="F2637" i="1"/>
  <c r="E2637" i="1"/>
  <c r="D2637" i="1"/>
  <c r="F2636" i="1"/>
  <c r="E2636" i="1"/>
  <c r="D2636" i="1"/>
  <c r="F2635" i="1"/>
  <c r="E2635" i="1"/>
  <c r="D2635" i="1"/>
  <c r="F2634" i="1"/>
  <c r="E2634" i="1"/>
  <c r="D2634" i="1"/>
  <c r="F2633" i="1"/>
  <c r="E2633" i="1"/>
  <c r="D2633" i="1"/>
  <c r="F2632" i="1"/>
  <c r="E2632" i="1"/>
  <c r="D2632" i="1"/>
  <c r="F2631" i="1"/>
  <c r="E2631" i="1"/>
  <c r="D2631" i="1"/>
  <c r="F2630" i="1"/>
  <c r="E2630" i="1"/>
  <c r="D2630" i="1"/>
  <c r="F2629" i="1"/>
  <c r="E2629" i="1"/>
  <c r="D2629" i="1"/>
  <c r="F2628" i="1"/>
  <c r="E2628" i="1"/>
  <c r="D2628" i="1"/>
  <c r="F2627" i="1"/>
  <c r="E2627" i="1"/>
  <c r="D2627" i="1"/>
  <c r="F2626" i="1"/>
  <c r="E2626" i="1"/>
  <c r="D2626" i="1"/>
  <c r="F2625" i="1"/>
  <c r="E2625" i="1"/>
  <c r="D2625" i="1"/>
  <c r="F2624" i="1"/>
  <c r="E2624" i="1"/>
  <c r="D2624" i="1"/>
  <c r="F2623" i="1"/>
  <c r="E2623" i="1"/>
  <c r="D2623" i="1"/>
  <c r="F2622" i="1"/>
  <c r="E2622" i="1"/>
  <c r="D2622" i="1"/>
  <c r="F2621" i="1"/>
  <c r="E2621" i="1"/>
  <c r="D2621" i="1"/>
  <c r="F2620" i="1"/>
  <c r="E2620" i="1"/>
  <c r="D2620" i="1"/>
  <c r="F2619" i="1"/>
  <c r="E2619" i="1"/>
  <c r="D2619" i="1"/>
  <c r="F2618" i="1"/>
  <c r="E2618" i="1"/>
  <c r="D2618" i="1"/>
  <c r="F2617" i="1"/>
  <c r="E2617" i="1"/>
  <c r="D2617" i="1"/>
  <c r="F2616" i="1"/>
  <c r="E2616" i="1"/>
  <c r="D2616" i="1"/>
  <c r="F2615" i="1"/>
  <c r="E2615" i="1"/>
  <c r="D2615" i="1"/>
  <c r="F2614" i="1"/>
  <c r="E2614" i="1"/>
  <c r="D2614" i="1"/>
  <c r="F2613" i="1"/>
  <c r="E2613" i="1"/>
  <c r="D2613" i="1"/>
  <c r="F2612" i="1"/>
  <c r="E2612" i="1"/>
  <c r="D2612" i="1"/>
  <c r="F2611" i="1"/>
  <c r="E2611" i="1"/>
  <c r="D2611" i="1"/>
  <c r="F2610" i="1"/>
  <c r="E2610" i="1"/>
  <c r="D2610" i="1"/>
  <c r="F2609" i="1"/>
  <c r="E2609" i="1"/>
  <c r="D2609" i="1"/>
  <c r="F2608" i="1"/>
  <c r="E2608" i="1"/>
  <c r="D2608" i="1"/>
  <c r="F2607" i="1"/>
  <c r="E2607" i="1"/>
  <c r="D2607" i="1"/>
  <c r="F2606" i="1"/>
  <c r="E2606" i="1"/>
  <c r="D2606" i="1"/>
  <c r="F2605" i="1"/>
  <c r="E2605" i="1"/>
  <c r="D2605" i="1"/>
  <c r="F2604" i="1"/>
  <c r="E2604" i="1"/>
  <c r="D2604" i="1"/>
  <c r="F2603" i="1"/>
  <c r="E2603" i="1"/>
  <c r="D2603" i="1"/>
  <c r="F2602" i="1"/>
  <c r="E2602" i="1"/>
  <c r="D2602" i="1"/>
  <c r="F2601" i="1"/>
  <c r="E2601" i="1"/>
  <c r="D2601" i="1"/>
  <c r="F2600" i="1"/>
  <c r="E2600" i="1"/>
  <c r="D2600" i="1"/>
  <c r="F2599" i="1"/>
  <c r="E2599" i="1"/>
  <c r="D2599" i="1"/>
  <c r="F2598" i="1"/>
  <c r="E2598" i="1"/>
  <c r="D2598" i="1"/>
  <c r="F2597" i="1"/>
  <c r="E2597" i="1"/>
  <c r="D2597" i="1"/>
  <c r="F2596" i="1"/>
  <c r="E2596" i="1"/>
  <c r="D2596" i="1"/>
  <c r="F2595" i="1"/>
  <c r="E2595" i="1"/>
  <c r="D2595" i="1"/>
  <c r="F2594" i="1"/>
  <c r="E2594" i="1"/>
  <c r="D2594" i="1"/>
  <c r="F2593" i="1"/>
  <c r="E2593" i="1"/>
  <c r="D2593" i="1"/>
  <c r="F2592" i="1"/>
  <c r="E2592" i="1"/>
  <c r="D2592" i="1"/>
  <c r="F2591" i="1"/>
  <c r="E2591" i="1"/>
  <c r="D2591" i="1"/>
  <c r="F2590" i="1"/>
  <c r="E2590" i="1"/>
  <c r="D2590" i="1"/>
  <c r="F2589" i="1"/>
  <c r="E2589" i="1"/>
  <c r="D2589" i="1"/>
  <c r="F2588" i="1"/>
  <c r="E2588" i="1"/>
  <c r="D2588" i="1"/>
  <c r="F2587" i="1"/>
  <c r="E2587" i="1"/>
  <c r="D2587" i="1"/>
  <c r="F2586" i="1"/>
  <c r="E2586" i="1"/>
  <c r="D2586" i="1"/>
  <c r="F2585" i="1"/>
  <c r="E2585" i="1"/>
  <c r="D2585" i="1"/>
  <c r="F2584" i="1"/>
  <c r="E2584" i="1"/>
  <c r="D2584" i="1"/>
  <c r="F2583" i="1"/>
  <c r="E2583" i="1"/>
  <c r="D2583" i="1"/>
  <c r="F2582" i="1"/>
  <c r="E2582" i="1"/>
  <c r="D2582" i="1"/>
  <c r="F2581" i="1"/>
  <c r="E2581" i="1"/>
  <c r="D2581" i="1"/>
  <c r="F2580" i="1"/>
  <c r="E2580" i="1"/>
  <c r="D2580" i="1"/>
  <c r="F2579" i="1"/>
  <c r="E2579" i="1"/>
  <c r="D2579" i="1"/>
  <c r="F2578" i="1"/>
  <c r="E2578" i="1"/>
  <c r="D2578" i="1"/>
  <c r="F2577" i="1"/>
  <c r="E2577" i="1"/>
  <c r="D2577" i="1"/>
  <c r="F2576" i="1"/>
  <c r="E2576" i="1"/>
  <c r="D2576" i="1"/>
  <c r="F2575" i="1"/>
  <c r="E2575" i="1"/>
  <c r="D2575" i="1"/>
  <c r="F2574" i="1"/>
  <c r="E2574" i="1"/>
  <c r="D2574" i="1"/>
  <c r="F2573" i="1"/>
  <c r="E2573" i="1"/>
  <c r="D2573" i="1"/>
  <c r="F2572" i="1"/>
  <c r="E2572" i="1"/>
  <c r="D2572" i="1"/>
  <c r="F2571" i="1"/>
  <c r="E2571" i="1"/>
  <c r="D2571" i="1"/>
  <c r="F2570" i="1"/>
  <c r="E2570" i="1"/>
  <c r="D2570" i="1"/>
  <c r="F2569" i="1"/>
  <c r="E2569" i="1"/>
  <c r="D2569" i="1"/>
  <c r="F2568" i="1"/>
  <c r="E2568" i="1"/>
  <c r="D2568" i="1"/>
  <c r="F2567" i="1"/>
  <c r="E2567" i="1"/>
  <c r="D2567" i="1"/>
  <c r="F2566" i="1"/>
  <c r="E2566" i="1"/>
  <c r="D2566" i="1"/>
  <c r="F2565" i="1"/>
  <c r="E2565" i="1"/>
  <c r="D2565" i="1"/>
  <c r="F2564" i="1"/>
  <c r="E2564" i="1"/>
  <c r="D2564" i="1"/>
  <c r="F2563" i="1"/>
  <c r="E2563" i="1"/>
  <c r="D2563" i="1"/>
  <c r="F2562" i="1"/>
  <c r="E2562" i="1"/>
  <c r="D2562" i="1"/>
  <c r="F2561" i="1"/>
  <c r="E2561" i="1"/>
  <c r="D2561" i="1"/>
  <c r="F2560" i="1"/>
  <c r="E2560" i="1"/>
  <c r="D2560" i="1"/>
  <c r="F2559" i="1"/>
  <c r="E2559" i="1"/>
  <c r="D2559" i="1"/>
  <c r="F2558" i="1"/>
  <c r="E2558" i="1"/>
  <c r="D2558" i="1"/>
  <c r="F2557" i="1"/>
  <c r="E2557" i="1"/>
  <c r="D2557" i="1"/>
  <c r="F2556" i="1"/>
  <c r="E2556" i="1"/>
  <c r="D2556" i="1"/>
  <c r="F2555" i="1"/>
  <c r="E2555" i="1"/>
  <c r="D2555" i="1"/>
  <c r="F2554" i="1"/>
  <c r="E2554" i="1"/>
  <c r="D2554" i="1"/>
  <c r="F2553" i="1"/>
  <c r="E2553" i="1"/>
  <c r="D2553" i="1"/>
  <c r="F2552" i="1"/>
  <c r="E2552" i="1"/>
  <c r="D2552" i="1"/>
  <c r="F2551" i="1"/>
  <c r="E2551" i="1"/>
  <c r="D2551" i="1"/>
  <c r="F2550" i="1"/>
  <c r="E2550" i="1"/>
  <c r="D2550" i="1"/>
  <c r="F2549" i="1"/>
  <c r="E2549" i="1"/>
  <c r="D2549" i="1"/>
  <c r="F2548" i="1"/>
  <c r="E2548" i="1"/>
  <c r="D2548" i="1"/>
  <c r="F2547" i="1"/>
  <c r="E2547" i="1"/>
  <c r="D2547" i="1"/>
  <c r="F2546" i="1"/>
  <c r="E2546" i="1"/>
  <c r="D2546" i="1"/>
  <c r="F2545" i="1"/>
  <c r="E2545" i="1"/>
  <c r="D2545" i="1"/>
  <c r="F2544" i="1"/>
  <c r="E2544" i="1"/>
  <c r="D2544" i="1"/>
  <c r="F2543" i="1"/>
  <c r="E2543" i="1"/>
  <c r="D2543" i="1"/>
  <c r="F2542" i="1"/>
  <c r="E2542" i="1"/>
  <c r="D2542" i="1"/>
  <c r="F2541" i="1"/>
  <c r="E2541" i="1"/>
  <c r="D2541" i="1"/>
  <c r="F2540" i="1"/>
  <c r="E2540" i="1"/>
  <c r="D2540" i="1"/>
  <c r="F2539" i="1"/>
  <c r="E2539" i="1"/>
  <c r="D2539" i="1"/>
  <c r="F2538" i="1"/>
  <c r="E2538" i="1"/>
  <c r="D2538" i="1"/>
  <c r="F2537" i="1"/>
  <c r="E2537" i="1"/>
  <c r="D2537" i="1"/>
  <c r="F2536" i="1"/>
  <c r="E2536" i="1"/>
  <c r="D2536" i="1"/>
  <c r="F2535" i="1"/>
  <c r="E2535" i="1"/>
  <c r="D2535" i="1"/>
  <c r="F2534" i="1"/>
  <c r="E2534" i="1"/>
  <c r="D2534" i="1"/>
  <c r="F2533" i="1"/>
  <c r="E2533" i="1"/>
  <c r="D2533" i="1"/>
  <c r="F2532" i="1"/>
  <c r="E2532" i="1"/>
  <c r="D2532" i="1"/>
  <c r="F2531" i="1"/>
  <c r="E2531" i="1"/>
  <c r="D2531" i="1"/>
  <c r="F2530" i="1"/>
  <c r="E2530" i="1"/>
  <c r="D2530" i="1"/>
  <c r="F2529" i="1"/>
  <c r="E2529" i="1"/>
  <c r="D2529" i="1"/>
  <c r="F2528" i="1"/>
  <c r="E2528" i="1"/>
  <c r="D2528" i="1"/>
  <c r="F2527" i="1"/>
  <c r="E2527" i="1"/>
  <c r="D2527" i="1"/>
  <c r="F2526" i="1"/>
  <c r="E2526" i="1"/>
  <c r="D2526" i="1"/>
  <c r="F2525" i="1"/>
  <c r="E2525" i="1"/>
  <c r="D2525" i="1"/>
  <c r="F2524" i="1"/>
  <c r="E2524" i="1"/>
  <c r="D2524" i="1"/>
  <c r="F2523" i="1"/>
  <c r="E2523" i="1"/>
  <c r="D2523" i="1"/>
  <c r="F2522" i="1"/>
  <c r="E2522" i="1"/>
  <c r="D2522" i="1"/>
  <c r="F2521" i="1"/>
  <c r="E2521" i="1"/>
  <c r="D2521" i="1"/>
  <c r="F2520" i="1"/>
  <c r="E2520" i="1"/>
  <c r="D2520" i="1"/>
  <c r="F2519" i="1"/>
  <c r="E2519" i="1"/>
  <c r="D2519" i="1"/>
  <c r="F2518" i="1"/>
  <c r="E2518" i="1"/>
  <c r="D2518" i="1"/>
  <c r="F2517" i="1"/>
  <c r="E2517" i="1"/>
  <c r="D2517" i="1"/>
  <c r="F2516" i="1"/>
  <c r="E2516" i="1"/>
  <c r="D2516" i="1"/>
  <c r="F2515" i="1"/>
  <c r="E2515" i="1"/>
  <c r="D2515" i="1"/>
  <c r="F2514" i="1"/>
  <c r="E2514" i="1"/>
  <c r="D2514" i="1"/>
  <c r="F2513" i="1"/>
  <c r="E2513" i="1"/>
  <c r="D2513" i="1"/>
  <c r="F2512" i="1"/>
  <c r="E2512" i="1"/>
  <c r="D2512" i="1"/>
  <c r="F2511" i="1"/>
  <c r="E2511" i="1"/>
  <c r="D2511" i="1"/>
  <c r="F2510" i="1"/>
  <c r="E2510" i="1"/>
  <c r="D2510" i="1"/>
  <c r="F2509" i="1"/>
  <c r="E2509" i="1"/>
  <c r="D2509" i="1"/>
  <c r="F2508" i="1"/>
  <c r="E2508" i="1"/>
  <c r="D2508" i="1"/>
  <c r="F2507" i="1"/>
  <c r="E2507" i="1"/>
  <c r="D2507" i="1"/>
  <c r="F2506" i="1"/>
  <c r="E2506" i="1"/>
  <c r="D2506" i="1"/>
  <c r="F2505" i="1"/>
  <c r="E2505" i="1"/>
  <c r="D2505" i="1"/>
  <c r="F2504" i="1"/>
  <c r="E2504" i="1"/>
  <c r="D2504" i="1"/>
  <c r="F2503" i="1"/>
  <c r="E2503" i="1"/>
  <c r="D2503" i="1"/>
  <c r="F2502" i="1"/>
  <c r="E2502" i="1"/>
  <c r="D2502" i="1"/>
  <c r="F2501" i="1"/>
  <c r="E2501" i="1"/>
  <c r="D2501" i="1"/>
  <c r="F2500" i="1"/>
  <c r="E2500" i="1"/>
  <c r="D2500" i="1"/>
  <c r="F2499" i="1"/>
  <c r="E2499" i="1"/>
  <c r="D2499" i="1"/>
  <c r="F2498" i="1"/>
  <c r="E2498" i="1"/>
  <c r="D2498" i="1"/>
  <c r="F2497" i="1"/>
  <c r="E2497" i="1"/>
  <c r="D2497" i="1"/>
  <c r="F2496" i="1"/>
  <c r="E2496" i="1"/>
  <c r="D2496" i="1"/>
  <c r="F2495" i="1"/>
  <c r="E2495" i="1"/>
  <c r="D2495" i="1"/>
  <c r="F2494" i="1"/>
  <c r="E2494" i="1"/>
  <c r="D2494" i="1"/>
  <c r="F2493" i="1"/>
  <c r="E2493" i="1"/>
  <c r="D2493" i="1"/>
  <c r="F2492" i="1"/>
  <c r="E2492" i="1"/>
  <c r="D2492" i="1"/>
  <c r="F2491" i="1"/>
  <c r="E2491" i="1"/>
  <c r="D2491" i="1"/>
  <c r="F2490" i="1"/>
  <c r="E2490" i="1"/>
  <c r="D2490" i="1"/>
  <c r="F2489" i="1"/>
  <c r="E2489" i="1"/>
  <c r="D2489" i="1"/>
  <c r="F2488" i="1"/>
  <c r="E2488" i="1"/>
  <c r="D2488" i="1"/>
  <c r="F2487" i="1"/>
  <c r="E2487" i="1"/>
  <c r="D2487" i="1"/>
  <c r="F2486" i="1"/>
  <c r="E2486" i="1"/>
  <c r="D2486" i="1"/>
  <c r="F2485" i="1"/>
  <c r="E2485" i="1"/>
  <c r="D2485" i="1"/>
  <c r="F2484" i="1"/>
  <c r="E2484" i="1"/>
  <c r="D2484" i="1"/>
  <c r="F2483" i="1"/>
  <c r="E2483" i="1"/>
  <c r="D2483" i="1"/>
  <c r="F2482" i="1"/>
  <c r="E2482" i="1"/>
  <c r="D2482" i="1"/>
  <c r="F2481" i="1"/>
  <c r="E2481" i="1"/>
  <c r="D2481" i="1"/>
  <c r="F2480" i="1"/>
  <c r="E2480" i="1"/>
  <c r="D2480" i="1"/>
  <c r="F2479" i="1"/>
  <c r="E2479" i="1"/>
  <c r="D2479" i="1"/>
  <c r="F2478" i="1"/>
  <c r="E2478" i="1"/>
  <c r="D2478" i="1"/>
  <c r="F2477" i="1"/>
  <c r="E2477" i="1"/>
  <c r="D2477" i="1"/>
  <c r="F2476" i="1"/>
  <c r="E2476" i="1"/>
  <c r="D2476" i="1"/>
  <c r="F2475" i="1"/>
  <c r="E2475" i="1"/>
  <c r="D2475" i="1"/>
  <c r="F2474" i="1"/>
  <c r="E2474" i="1"/>
  <c r="D2474" i="1"/>
  <c r="F2473" i="1"/>
  <c r="E2473" i="1"/>
  <c r="D2473" i="1"/>
  <c r="F2472" i="1"/>
  <c r="E2472" i="1"/>
  <c r="D2472" i="1"/>
  <c r="F2471" i="1"/>
  <c r="E2471" i="1"/>
  <c r="D2471" i="1"/>
  <c r="F2470" i="1"/>
  <c r="E2470" i="1"/>
  <c r="D2470" i="1"/>
  <c r="F2469" i="1"/>
  <c r="E2469" i="1"/>
  <c r="D2469" i="1"/>
  <c r="F2468" i="1"/>
  <c r="E2468" i="1"/>
  <c r="D2468" i="1"/>
  <c r="F2467" i="1"/>
  <c r="E2467" i="1"/>
  <c r="D2467" i="1"/>
  <c r="F2466" i="1"/>
  <c r="E2466" i="1"/>
  <c r="D2466" i="1"/>
  <c r="F2465" i="1"/>
  <c r="E2465" i="1"/>
  <c r="D2465" i="1"/>
  <c r="F2464" i="1"/>
  <c r="E2464" i="1"/>
  <c r="D2464" i="1"/>
  <c r="F2463" i="1"/>
  <c r="E2463" i="1"/>
  <c r="D2463" i="1"/>
  <c r="F2462" i="1"/>
  <c r="E2462" i="1"/>
  <c r="D2462" i="1"/>
  <c r="F2461" i="1"/>
  <c r="E2461" i="1"/>
  <c r="D2461" i="1"/>
  <c r="F2460" i="1"/>
  <c r="E2460" i="1"/>
  <c r="D2460" i="1"/>
  <c r="F2459" i="1"/>
  <c r="E2459" i="1"/>
  <c r="D2459" i="1"/>
  <c r="F2458" i="1"/>
  <c r="E2458" i="1"/>
  <c r="D2458" i="1"/>
  <c r="F2457" i="1"/>
  <c r="E2457" i="1"/>
  <c r="D2457" i="1"/>
  <c r="F2456" i="1"/>
  <c r="E2456" i="1"/>
  <c r="D2456" i="1"/>
  <c r="F2455" i="1"/>
  <c r="E2455" i="1"/>
  <c r="D2455" i="1"/>
  <c r="F2454" i="1"/>
  <c r="E2454" i="1"/>
  <c r="D2454" i="1"/>
  <c r="F2453" i="1"/>
  <c r="E2453" i="1"/>
  <c r="D2453" i="1"/>
  <c r="F2452" i="1"/>
  <c r="E2452" i="1"/>
  <c r="D2452" i="1"/>
  <c r="F2451" i="1"/>
  <c r="E2451" i="1"/>
  <c r="D2451" i="1"/>
  <c r="F2450" i="1"/>
  <c r="E2450" i="1"/>
  <c r="D2450" i="1"/>
  <c r="F2449" i="1"/>
  <c r="E2449" i="1"/>
  <c r="D2449" i="1"/>
  <c r="F2448" i="1"/>
  <c r="E2448" i="1"/>
  <c r="D2448" i="1"/>
  <c r="F2447" i="1"/>
  <c r="E2447" i="1"/>
  <c r="D2447" i="1"/>
  <c r="F2446" i="1"/>
  <c r="E2446" i="1"/>
  <c r="D2446" i="1"/>
  <c r="F2445" i="1"/>
  <c r="E2445" i="1"/>
  <c r="D2445" i="1"/>
  <c r="F2444" i="1"/>
  <c r="E2444" i="1"/>
  <c r="D2444" i="1"/>
  <c r="F2443" i="1"/>
  <c r="E2443" i="1"/>
  <c r="D2443" i="1"/>
  <c r="F2442" i="1"/>
  <c r="E2442" i="1"/>
  <c r="D2442" i="1"/>
  <c r="F2441" i="1"/>
  <c r="E2441" i="1"/>
  <c r="D2441" i="1"/>
  <c r="F2440" i="1"/>
  <c r="E2440" i="1"/>
  <c r="D2440" i="1"/>
  <c r="F2439" i="1"/>
  <c r="E2439" i="1"/>
  <c r="D2439" i="1"/>
  <c r="F2438" i="1"/>
  <c r="E2438" i="1"/>
  <c r="D2438" i="1"/>
  <c r="F2437" i="1"/>
  <c r="E2437" i="1"/>
  <c r="D2437" i="1"/>
  <c r="F2436" i="1"/>
  <c r="E2436" i="1"/>
  <c r="D2436" i="1"/>
  <c r="F2435" i="1"/>
  <c r="E2435" i="1"/>
  <c r="D2435" i="1"/>
  <c r="F2434" i="1"/>
  <c r="E2434" i="1"/>
  <c r="D2434" i="1"/>
  <c r="F2433" i="1"/>
  <c r="E2433" i="1"/>
  <c r="D2433" i="1"/>
  <c r="F2432" i="1"/>
  <c r="E2432" i="1"/>
  <c r="D2432" i="1"/>
  <c r="F2431" i="1"/>
  <c r="E2431" i="1"/>
  <c r="D2431" i="1"/>
  <c r="F2430" i="1"/>
  <c r="E2430" i="1"/>
  <c r="D2430" i="1"/>
  <c r="F2429" i="1"/>
  <c r="E2429" i="1"/>
  <c r="D2429" i="1"/>
  <c r="F2428" i="1"/>
  <c r="E2428" i="1"/>
  <c r="D2428" i="1"/>
  <c r="F2427" i="1"/>
  <c r="E2427" i="1"/>
  <c r="D2427" i="1"/>
  <c r="F2426" i="1"/>
  <c r="E2426" i="1"/>
  <c r="D2426" i="1"/>
  <c r="F2425" i="1"/>
  <c r="E2425" i="1"/>
  <c r="D2425" i="1"/>
  <c r="F2424" i="1"/>
  <c r="E2424" i="1"/>
  <c r="D2424" i="1"/>
  <c r="F2423" i="1"/>
  <c r="E2423" i="1"/>
  <c r="D2423" i="1"/>
  <c r="F2422" i="1"/>
  <c r="E2422" i="1"/>
  <c r="D2422" i="1"/>
  <c r="F2421" i="1"/>
  <c r="E2421" i="1"/>
  <c r="D2421" i="1"/>
  <c r="F2420" i="1"/>
  <c r="E2420" i="1"/>
  <c r="D2420" i="1"/>
  <c r="F2419" i="1"/>
  <c r="E2419" i="1"/>
  <c r="D2419" i="1"/>
  <c r="F2418" i="1"/>
  <c r="E2418" i="1"/>
  <c r="D2418" i="1"/>
  <c r="F2417" i="1"/>
  <c r="E2417" i="1"/>
  <c r="D2417" i="1"/>
  <c r="F2416" i="1"/>
  <c r="E2416" i="1"/>
  <c r="D2416" i="1"/>
  <c r="F2415" i="1"/>
  <c r="E2415" i="1"/>
  <c r="D2415" i="1"/>
  <c r="F2414" i="1"/>
  <c r="E2414" i="1"/>
  <c r="D2414" i="1"/>
  <c r="F2413" i="1"/>
  <c r="E2413" i="1"/>
  <c r="D2413" i="1"/>
  <c r="F2412" i="1"/>
  <c r="E2412" i="1"/>
  <c r="D2412" i="1"/>
  <c r="F2411" i="1"/>
  <c r="E2411" i="1"/>
  <c r="D2411" i="1"/>
  <c r="F2410" i="1"/>
  <c r="E2410" i="1"/>
  <c r="D2410" i="1"/>
  <c r="F2409" i="1"/>
  <c r="E2409" i="1"/>
  <c r="D2409" i="1"/>
  <c r="F2408" i="1"/>
  <c r="E2408" i="1"/>
  <c r="D2408" i="1"/>
  <c r="F2407" i="1"/>
  <c r="E2407" i="1"/>
  <c r="D2407" i="1"/>
  <c r="F2406" i="1"/>
  <c r="E2406" i="1"/>
  <c r="D2406" i="1"/>
  <c r="F2405" i="1"/>
  <c r="E2405" i="1"/>
  <c r="D2405" i="1"/>
  <c r="F2404" i="1"/>
  <c r="E2404" i="1"/>
  <c r="D2404" i="1"/>
  <c r="F2403" i="1"/>
  <c r="E2403" i="1"/>
  <c r="D2403" i="1"/>
  <c r="F2402" i="1"/>
  <c r="E2402" i="1"/>
  <c r="D2402" i="1"/>
  <c r="F2401" i="1"/>
  <c r="E2401" i="1"/>
  <c r="D2401" i="1"/>
  <c r="F2400" i="1"/>
  <c r="E2400" i="1"/>
  <c r="D2400" i="1"/>
  <c r="F2399" i="1"/>
  <c r="E2399" i="1"/>
  <c r="D2399" i="1"/>
  <c r="F2398" i="1"/>
  <c r="E2398" i="1"/>
  <c r="D2398" i="1"/>
  <c r="F2397" i="1"/>
  <c r="E2397" i="1"/>
  <c r="D2397" i="1"/>
  <c r="F2396" i="1"/>
  <c r="E2396" i="1"/>
  <c r="D2396" i="1"/>
  <c r="F2395" i="1"/>
  <c r="E2395" i="1"/>
  <c r="D2395" i="1"/>
  <c r="F2394" i="1"/>
  <c r="E2394" i="1"/>
  <c r="D2394" i="1"/>
  <c r="F2393" i="1"/>
  <c r="E2393" i="1"/>
  <c r="D2393" i="1"/>
  <c r="F2392" i="1"/>
  <c r="E2392" i="1"/>
  <c r="D2392" i="1"/>
  <c r="F2391" i="1"/>
  <c r="E2391" i="1"/>
  <c r="D2391" i="1"/>
  <c r="F2390" i="1"/>
  <c r="E2390" i="1"/>
  <c r="D2390" i="1"/>
  <c r="F2389" i="1"/>
  <c r="E2389" i="1"/>
  <c r="D2389" i="1"/>
  <c r="F2388" i="1"/>
  <c r="E2388" i="1"/>
  <c r="D2388" i="1"/>
  <c r="F2387" i="1"/>
  <c r="E2387" i="1"/>
  <c r="D2387" i="1"/>
  <c r="F2386" i="1"/>
  <c r="E2386" i="1"/>
  <c r="D2386" i="1"/>
  <c r="F2385" i="1"/>
  <c r="E2385" i="1"/>
  <c r="D2385" i="1"/>
  <c r="F2384" i="1"/>
  <c r="E2384" i="1"/>
  <c r="D2384" i="1"/>
  <c r="F2383" i="1"/>
  <c r="E2383" i="1"/>
  <c r="D2383" i="1"/>
  <c r="F2382" i="1"/>
  <c r="E2382" i="1"/>
  <c r="D2382" i="1"/>
  <c r="F2381" i="1"/>
  <c r="E2381" i="1"/>
  <c r="D2381" i="1"/>
  <c r="F2380" i="1"/>
  <c r="E2380" i="1"/>
  <c r="D2380" i="1"/>
  <c r="F2379" i="1"/>
  <c r="E2379" i="1"/>
  <c r="D2379" i="1"/>
  <c r="F2378" i="1"/>
  <c r="E2378" i="1"/>
  <c r="D2378" i="1"/>
  <c r="F2377" i="1"/>
  <c r="E2377" i="1"/>
  <c r="D2377" i="1"/>
  <c r="F2376" i="1"/>
  <c r="E2376" i="1"/>
  <c r="D2376" i="1"/>
  <c r="F2375" i="1"/>
  <c r="E2375" i="1"/>
  <c r="D2375" i="1"/>
  <c r="F2374" i="1"/>
  <c r="E2374" i="1"/>
  <c r="D2374" i="1"/>
  <c r="F2373" i="1"/>
  <c r="E2373" i="1"/>
  <c r="D2373" i="1"/>
  <c r="F2372" i="1"/>
  <c r="E2372" i="1"/>
  <c r="D2372" i="1"/>
  <c r="F2371" i="1"/>
  <c r="E2371" i="1"/>
  <c r="D2371" i="1"/>
  <c r="F2370" i="1"/>
  <c r="E2370" i="1"/>
  <c r="D2370" i="1"/>
  <c r="F2369" i="1"/>
  <c r="E2369" i="1"/>
  <c r="D2369" i="1"/>
  <c r="F2368" i="1"/>
  <c r="E2368" i="1"/>
  <c r="D2368" i="1"/>
  <c r="F2367" i="1"/>
  <c r="E2367" i="1"/>
  <c r="D2367" i="1"/>
  <c r="F2366" i="1"/>
  <c r="E2366" i="1"/>
  <c r="D2366" i="1"/>
  <c r="F2365" i="1"/>
  <c r="E2365" i="1"/>
  <c r="D2365" i="1"/>
  <c r="F2364" i="1"/>
  <c r="E2364" i="1"/>
  <c r="D2364" i="1"/>
  <c r="F2363" i="1"/>
  <c r="E2363" i="1"/>
  <c r="D2363" i="1"/>
  <c r="F2362" i="1"/>
  <c r="E2362" i="1"/>
  <c r="D2362" i="1"/>
  <c r="F2361" i="1"/>
  <c r="E2361" i="1"/>
  <c r="D2361" i="1"/>
  <c r="F2360" i="1"/>
  <c r="E2360" i="1"/>
  <c r="D2360" i="1"/>
  <c r="F2359" i="1"/>
  <c r="E2359" i="1"/>
  <c r="D2359" i="1"/>
  <c r="F2358" i="1"/>
  <c r="E2358" i="1"/>
  <c r="D2358" i="1"/>
  <c r="F2357" i="1"/>
  <c r="E2357" i="1"/>
  <c r="D2357" i="1"/>
  <c r="F2356" i="1"/>
  <c r="E2356" i="1"/>
  <c r="D2356" i="1"/>
  <c r="F2355" i="1"/>
  <c r="E2355" i="1"/>
  <c r="D2355" i="1"/>
  <c r="F2354" i="1"/>
  <c r="E2354" i="1"/>
  <c r="D2354" i="1"/>
  <c r="F2353" i="1"/>
  <c r="E2353" i="1"/>
  <c r="D2353" i="1"/>
  <c r="F2352" i="1"/>
  <c r="E2352" i="1"/>
  <c r="D2352" i="1"/>
  <c r="F2351" i="1"/>
  <c r="E2351" i="1"/>
  <c r="D2351" i="1"/>
  <c r="F2350" i="1"/>
  <c r="E2350" i="1"/>
  <c r="D2350" i="1"/>
  <c r="F2349" i="1"/>
  <c r="E2349" i="1"/>
  <c r="D2349" i="1"/>
  <c r="F2348" i="1"/>
  <c r="E2348" i="1"/>
  <c r="D2348" i="1"/>
  <c r="F2347" i="1"/>
  <c r="E2347" i="1"/>
  <c r="D2347" i="1"/>
  <c r="F2346" i="1"/>
  <c r="E2346" i="1"/>
  <c r="D2346" i="1"/>
  <c r="F2345" i="1"/>
  <c r="E2345" i="1"/>
  <c r="D2345" i="1"/>
  <c r="F2344" i="1"/>
  <c r="E2344" i="1"/>
  <c r="D2344" i="1"/>
  <c r="F2343" i="1"/>
  <c r="E2343" i="1"/>
  <c r="D2343" i="1"/>
  <c r="F2342" i="1"/>
  <c r="E2342" i="1"/>
  <c r="D2342" i="1"/>
  <c r="F2341" i="1"/>
  <c r="E2341" i="1"/>
  <c r="D2341" i="1"/>
  <c r="F2340" i="1"/>
  <c r="E2340" i="1"/>
  <c r="D2340" i="1"/>
  <c r="F2339" i="1"/>
  <c r="E2339" i="1"/>
  <c r="D2339" i="1"/>
  <c r="F2338" i="1"/>
  <c r="E2338" i="1"/>
  <c r="D2338" i="1"/>
  <c r="F2337" i="1"/>
  <c r="E2337" i="1"/>
  <c r="D2337" i="1"/>
  <c r="F2336" i="1"/>
  <c r="E2336" i="1"/>
  <c r="D2336" i="1"/>
  <c r="F2335" i="1"/>
  <c r="E2335" i="1"/>
  <c r="D2335" i="1"/>
  <c r="F2334" i="1"/>
  <c r="E2334" i="1"/>
  <c r="D2334" i="1"/>
  <c r="F2333" i="1"/>
  <c r="E2333" i="1"/>
  <c r="D2333" i="1"/>
  <c r="F2332" i="1"/>
  <c r="E2332" i="1"/>
  <c r="D2332" i="1"/>
  <c r="F2331" i="1"/>
  <c r="E2331" i="1"/>
  <c r="D2331" i="1"/>
  <c r="F2330" i="1"/>
  <c r="E2330" i="1"/>
  <c r="D2330" i="1"/>
  <c r="F2329" i="1"/>
  <c r="E2329" i="1"/>
  <c r="D2329" i="1"/>
  <c r="F2328" i="1"/>
  <c r="E2328" i="1"/>
  <c r="D2328" i="1"/>
  <c r="F2327" i="1"/>
  <c r="E2327" i="1"/>
  <c r="D2327" i="1"/>
  <c r="F2326" i="1"/>
  <c r="E2326" i="1"/>
  <c r="D2326" i="1"/>
  <c r="F2325" i="1"/>
  <c r="E2325" i="1"/>
  <c r="D2325" i="1"/>
  <c r="F2324" i="1"/>
  <c r="E2324" i="1"/>
  <c r="D2324" i="1"/>
  <c r="F2323" i="1"/>
  <c r="E2323" i="1"/>
  <c r="D2323" i="1"/>
  <c r="F2322" i="1"/>
  <c r="E2322" i="1"/>
  <c r="D2322" i="1"/>
  <c r="F2321" i="1"/>
  <c r="E2321" i="1"/>
  <c r="D2321" i="1"/>
  <c r="F2320" i="1"/>
  <c r="E2320" i="1"/>
  <c r="D2320" i="1"/>
  <c r="F2319" i="1"/>
  <c r="E2319" i="1"/>
  <c r="D2319" i="1"/>
  <c r="F2318" i="1"/>
  <c r="E2318" i="1"/>
  <c r="D2318" i="1"/>
  <c r="F2317" i="1"/>
  <c r="E2317" i="1"/>
  <c r="D2317" i="1"/>
  <c r="F2316" i="1"/>
  <c r="E2316" i="1"/>
  <c r="D2316" i="1"/>
  <c r="F2315" i="1"/>
  <c r="E2315" i="1"/>
  <c r="D2315" i="1"/>
  <c r="F2314" i="1"/>
  <c r="E2314" i="1"/>
  <c r="D2314" i="1"/>
  <c r="F2313" i="1"/>
  <c r="E2313" i="1"/>
  <c r="D2313" i="1"/>
  <c r="F2312" i="1"/>
  <c r="E2312" i="1"/>
  <c r="D2312" i="1"/>
  <c r="F2311" i="1"/>
  <c r="E2311" i="1"/>
  <c r="D2311" i="1"/>
  <c r="F2310" i="1"/>
  <c r="E2310" i="1"/>
  <c r="D2310" i="1"/>
  <c r="F2309" i="1"/>
  <c r="E2309" i="1"/>
  <c r="D2309" i="1"/>
  <c r="F2308" i="1"/>
  <c r="E2308" i="1"/>
  <c r="D2308" i="1"/>
  <c r="F2307" i="1"/>
  <c r="E2307" i="1"/>
  <c r="D2307" i="1"/>
  <c r="F2306" i="1"/>
  <c r="E2306" i="1"/>
  <c r="D2306" i="1"/>
  <c r="F2305" i="1"/>
  <c r="E2305" i="1"/>
  <c r="D2305" i="1"/>
  <c r="F2304" i="1"/>
  <c r="E2304" i="1"/>
  <c r="D2304" i="1"/>
  <c r="F2303" i="1"/>
  <c r="E2303" i="1"/>
  <c r="D2303" i="1"/>
  <c r="F2302" i="1"/>
  <c r="E2302" i="1"/>
  <c r="D2302" i="1"/>
  <c r="F2301" i="1"/>
  <c r="E2301" i="1"/>
  <c r="D2301" i="1"/>
  <c r="F2300" i="1"/>
  <c r="E2300" i="1"/>
  <c r="D2300" i="1"/>
  <c r="F2299" i="1"/>
  <c r="E2299" i="1"/>
  <c r="D2299" i="1"/>
  <c r="F2298" i="1"/>
  <c r="E2298" i="1"/>
  <c r="D2298" i="1"/>
  <c r="F2297" i="1"/>
  <c r="E2297" i="1"/>
  <c r="D2297" i="1"/>
  <c r="F2296" i="1"/>
  <c r="E2296" i="1"/>
  <c r="D2296" i="1"/>
  <c r="F2295" i="1"/>
  <c r="E2295" i="1"/>
  <c r="D2295" i="1"/>
  <c r="F2294" i="1"/>
  <c r="E2294" i="1"/>
  <c r="D2294" i="1"/>
  <c r="F2293" i="1"/>
  <c r="E2293" i="1"/>
  <c r="D2293" i="1"/>
  <c r="F2292" i="1"/>
  <c r="E2292" i="1"/>
  <c r="D2292" i="1"/>
  <c r="F2291" i="1"/>
  <c r="E2291" i="1"/>
  <c r="D2291" i="1"/>
  <c r="F2290" i="1"/>
  <c r="E2290" i="1"/>
  <c r="D2290" i="1"/>
  <c r="F2289" i="1"/>
  <c r="E2289" i="1"/>
  <c r="D2289" i="1"/>
  <c r="F2288" i="1"/>
  <c r="E2288" i="1"/>
  <c r="D2288" i="1"/>
  <c r="F2287" i="1"/>
  <c r="E2287" i="1"/>
  <c r="D2287" i="1"/>
  <c r="F2286" i="1"/>
  <c r="E2286" i="1"/>
  <c r="D2286" i="1"/>
  <c r="F2285" i="1"/>
  <c r="E2285" i="1"/>
  <c r="D2285" i="1"/>
  <c r="F2284" i="1"/>
  <c r="E2284" i="1"/>
  <c r="D2284" i="1"/>
  <c r="F2283" i="1"/>
  <c r="E2283" i="1"/>
  <c r="D2283" i="1"/>
  <c r="F2282" i="1"/>
  <c r="E2282" i="1"/>
  <c r="D2282" i="1"/>
  <c r="F2281" i="1"/>
  <c r="E2281" i="1"/>
  <c r="D2281" i="1"/>
  <c r="F2280" i="1"/>
  <c r="E2280" i="1"/>
  <c r="D2280" i="1"/>
  <c r="F2279" i="1"/>
  <c r="E2279" i="1"/>
  <c r="D2279" i="1"/>
  <c r="F2278" i="1"/>
  <c r="E2278" i="1"/>
  <c r="D2278" i="1"/>
  <c r="F2277" i="1"/>
  <c r="E2277" i="1"/>
  <c r="D2277" i="1"/>
  <c r="F2276" i="1"/>
  <c r="E2276" i="1"/>
  <c r="D2276" i="1"/>
  <c r="F2275" i="1"/>
  <c r="E2275" i="1"/>
  <c r="D2275" i="1"/>
  <c r="F2274" i="1"/>
  <c r="E2274" i="1"/>
  <c r="D2274" i="1"/>
  <c r="F2273" i="1"/>
  <c r="E2273" i="1"/>
  <c r="D2273" i="1"/>
  <c r="F2272" i="1"/>
  <c r="E2272" i="1"/>
  <c r="D2272" i="1"/>
  <c r="F2271" i="1"/>
  <c r="E2271" i="1"/>
  <c r="D2271" i="1"/>
  <c r="F2270" i="1"/>
  <c r="E2270" i="1"/>
  <c r="D2270" i="1"/>
  <c r="F2269" i="1"/>
  <c r="E2269" i="1"/>
  <c r="D2269" i="1"/>
  <c r="F2268" i="1"/>
  <c r="E2268" i="1"/>
  <c r="D2268" i="1"/>
  <c r="F2267" i="1"/>
  <c r="E2267" i="1"/>
  <c r="D2267" i="1"/>
  <c r="F2266" i="1"/>
  <c r="E2266" i="1"/>
  <c r="D2266" i="1"/>
  <c r="F2265" i="1"/>
  <c r="E2265" i="1"/>
  <c r="D2265" i="1"/>
  <c r="F2264" i="1"/>
  <c r="E2264" i="1"/>
  <c r="D2264" i="1"/>
  <c r="F2263" i="1"/>
  <c r="E2263" i="1"/>
  <c r="D2263" i="1"/>
  <c r="F2262" i="1"/>
  <c r="E2262" i="1"/>
  <c r="D2262" i="1"/>
  <c r="F2261" i="1"/>
  <c r="E2261" i="1"/>
  <c r="D2261" i="1"/>
  <c r="F2260" i="1"/>
  <c r="E2260" i="1"/>
  <c r="D2260" i="1"/>
  <c r="F2259" i="1"/>
  <c r="E2259" i="1"/>
  <c r="D2259" i="1"/>
  <c r="F2258" i="1"/>
  <c r="E2258" i="1"/>
  <c r="D2258" i="1"/>
  <c r="F2257" i="1"/>
  <c r="E2257" i="1"/>
  <c r="D2257" i="1"/>
  <c r="F2256" i="1"/>
  <c r="E2256" i="1"/>
  <c r="D2256" i="1"/>
  <c r="F2255" i="1"/>
  <c r="E2255" i="1"/>
  <c r="D2255" i="1"/>
  <c r="F2254" i="1"/>
  <c r="E2254" i="1"/>
  <c r="D2254" i="1"/>
  <c r="F2253" i="1"/>
  <c r="E2253" i="1"/>
  <c r="D2253" i="1"/>
  <c r="F2252" i="1"/>
  <c r="E2252" i="1"/>
  <c r="D2252" i="1"/>
  <c r="F2251" i="1"/>
  <c r="E2251" i="1"/>
  <c r="D2251" i="1"/>
  <c r="F2250" i="1"/>
  <c r="E2250" i="1"/>
  <c r="D2250" i="1"/>
  <c r="F2249" i="1"/>
  <c r="E2249" i="1"/>
  <c r="D2249" i="1"/>
  <c r="F2248" i="1"/>
  <c r="E2248" i="1"/>
  <c r="D2248" i="1"/>
  <c r="F2247" i="1"/>
  <c r="E2247" i="1"/>
  <c r="D2247" i="1"/>
  <c r="F2246" i="1"/>
  <c r="E2246" i="1"/>
  <c r="D2246" i="1"/>
  <c r="F2245" i="1"/>
  <c r="E2245" i="1"/>
  <c r="D2245" i="1"/>
  <c r="F2244" i="1"/>
  <c r="E2244" i="1"/>
  <c r="D2244" i="1"/>
  <c r="F2243" i="1"/>
  <c r="E2243" i="1"/>
  <c r="D2243" i="1"/>
  <c r="F2242" i="1"/>
  <c r="E2242" i="1"/>
  <c r="D2242" i="1"/>
  <c r="F2241" i="1"/>
  <c r="E2241" i="1"/>
  <c r="D2241" i="1"/>
  <c r="F2240" i="1"/>
  <c r="E2240" i="1"/>
  <c r="D2240" i="1"/>
  <c r="F2239" i="1"/>
  <c r="E2239" i="1"/>
  <c r="D2239" i="1"/>
  <c r="F2238" i="1"/>
  <c r="E2238" i="1"/>
  <c r="D2238" i="1"/>
  <c r="F2237" i="1"/>
  <c r="E2237" i="1"/>
  <c r="D2237" i="1"/>
  <c r="F2236" i="1"/>
  <c r="E2236" i="1"/>
  <c r="D2236" i="1"/>
  <c r="F2235" i="1"/>
  <c r="E2235" i="1"/>
  <c r="D2235" i="1"/>
  <c r="F2234" i="1"/>
  <c r="E2234" i="1"/>
  <c r="D2234" i="1"/>
  <c r="F2233" i="1"/>
  <c r="E2233" i="1"/>
  <c r="D2233" i="1"/>
  <c r="F2232" i="1"/>
  <c r="E2232" i="1"/>
  <c r="D2232" i="1"/>
  <c r="F2231" i="1"/>
  <c r="E2231" i="1"/>
  <c r="D2231" i="1"/>
  <c r="F2230" i="1"/>
  <c r="E2230" i="1"/>
  <c r="D2230" i="1"/>
  <c r="F2229" i="1"/>
  <c r="E2229" i="1"/>
  <c r="D2229" i="1"/>
  <c r="F2228" i="1"/>
  <c r="E2228" i="1"/>
  <c r="D2228" i="1"/>
  <c r="F2227" i="1"/>
  <c r="E2227" i="1"/>
  <c r="D2227" i="1"/>
  <c r="F2226" i="1"/>
  <c r="E2226" i="1"/>
  <c r="D2226" i="1"/>
  <c r="F2225" i="1"/>
  <c r="E2225" i="1"/>
  <c r="D2225" i="1"/>
  <c r="F2224" i="1"/>
  <c r="E2224" i="1"/>
  <c r="D2224" i="1"/>
  <c r="F2223" i="1"/>
  <c r="E2223" i="1"/>
  <c r="D2223" i="1"/>
  <c r="F2222" i="1"/>
  <c r="E2222" i="1"/>
  <c r="D2222" i="1"/>
  <c r="F2221" i="1"/>
  <c r="E2221" i="1"/>
  <c r="D2221" i="1"/>
  <c r="F2220" i="1"/>
  <c r="E2220" i="1"/>
  <c r="D2220" i="1"/>
  <c r="F2219" i="1"/>
  <c r="E2219" i="1"/>
  <c r="D2219" i="1"/>
  <c r="F2218" i="1"/>
  <c r="E2218" i="1"/>
  <c r="D2218" i="1"/>
  <c r="F2217" i="1"/>
  <c r="E2217" i="1"/>
  <c r="D2217" i="1"/>
  <c r="F2216" i="1"/>
  <c r="E2216" i="1"/>
  <c r="D2216" i="1"/>
  <c r="F2215" i="1"/>
  <c r="E2215" i="1"/>
  <c r="D2215" i="1"/>
  <c r="F2214" i="1"/>
  <c r="E2214" i="1"/>
  <c r="D2214" i="1"/>
  <c r="F2213" i="1"/>
  <c r="E2213" i="1"/>
  <c r="D2213" i="1"/>
  <c r="F2212" i="1"/>
  <c r="E2212" i="1"/>
  <c r="D2212" i="1"/>
  <c r="F2211" i="1"/>
  <c r="E2211" i="1"/>
  <c r="D2211" i="1"/>
  <c r="F2210" i="1"/>
  <c r="E2210" i="1"/>
  <c r="D2210" i="1"/>
  <c r="F2209" i="1"/>
  <c r="E2209" i="1"/>
  <c r="D2209" i="1"/>
  <c r="F2208" i="1"/>
  <c r="E2208" i="1"/>
  <c r="D2208" i="1"/>
  <c r="F2207" i="1"/>
  <c r="E2207" i="1"/>
  <c r="D2207" i="1"/>
  <c r="F2206" i="1"/>
  <c r="E2206" i="1"/>
  <c r="D2206" i="1"/>
  <c r="F2205" i="1"/>
  <c r="E2205" i="1"/>
  <c r="D2205" i="1"/>
  <c r="F2204" i="1"/>
  <c r="E2204" i="1"/>
  <c r="D2204" i="1"/>
  <c r="F2203" i="1"/>
  <c r="E2203" i="1"/>
  <c r="D2203" i="1"/>
  <c r="F2202" i="1"/>
  <c r="E2202" i="1"/>
  <c r="D2202" i="1"/>
  <c r="F2201" i="1"/>
  <c r="E2201" i="1"/>
  <c r="D2201" i="1"/>
  <c r="F2200" i="1"/>
  <c r="E2200" i="1"/>
  <c r="D2200" i="1"/>
  <c r="F2199" i="1"/>
  <c r="E2199" i="1"/>
  <c r="D2199" i="1"/>
  <c r="F2198" i="1"/>
  <c r="E2198" i="1"/>
  <c r="D2198" i="1"/>
  <c r="F2197" i="1"/>
  <c r="E2197" i="1"/>
  <c r="D2197" i="1"/>
  <c r="F2196" i="1"/>
  <c r="E2196" i="1"/>
  <c r="D2196" i="1"/>
  <c r="F2195" i="1"/>
  <c r="E2195" i="1"/>
  <c r="D2195" i="1"/>
  <c r="F2194" i="1"/>
  <c r="E2194" i="1"/>
  <c r="D2194" i="1"/>
  <c r="F2193" i="1"/>
  <c r="E2193" i="1"/>
  <c r="D2193" i="1"/>
  <c r="F2192" i="1"/>
  <c r="E2192" i="1"/>
  <c r="D2192" i="1"/>
  <c r="F2191" i="1"/>
  <c r="E2191" i="1"/>
  <c r="D2191" i="1"/>
  <c r="F2190" i="1"/>
  <c r="E2190" i="1"/>
  <c r="D2190" i="1"/>
  <c r="F2189" i="1"/>
  <c r="E2189" i="1"/>
  <c r="D2189" i="1"/>
  <c r="F2188" i="1"/>
  <c r="E2188" i="1"/>
  <c r="D2188" i="1"/>
  <c r="F2187" i="1"/>
  <c r="E2187" i="1"/>
  <c r="D2187" i="1"/>
  <c r="F2186" i="1"/>
  <c r="E2186" i="1"/>
  <c r="D2186" i="1"/>
  <c r="F2185" i="1"/>
  <c r="E2185" i="1"/>
  <c r="D2185" i="1"/>
  <c r="F2184" i="1"/>
  <c r="E2184" i="1"/>
  <c r="D2184" i="1"/>
  <c r="F2183" i="1"/>
  <c r="E2183" i="1"/>
  <c r="D2183" i="1"/>
  <c r="F2182" i="1"/>
  <c r="E2182" i="1"/>
  <c r="D2182" i="1"/>
  <c r="F2181" i="1"/>
  <c r="E2181" i="1"/>
  <c r="D2181" i="1"/>
  <c r="F2180" i="1"/>
  <c r="E2180" i="1"/>
  <c r="D2180" i="1"/>
  <c r="F2179" i="1"/>
  <c r="E2179" i="1"/>
  <c r="D2179" i="1"/>
  <c r="F2178" i="1"/>
  <c r="E2178" i="1"/>
  <c r="D2178" i="1"/>
  <c r="F2177" i="1"/>
  <c r="E2177" i="1"/>
  <c r="D2177" i="1"/>
  <c r="F2176" i="1"/>
  <c r="E2176" i="1"/>
  <c r="D2176" i="1"/>
  <c r="F2175" i="1"/>
  <c r="E2175" i="1"/>
  <c r="D2175" i="1"/>
  <c r="F2174" i="1"/>
  <c r="E2174" i="1"/>
  <c r="D2174" i="1"/>
  <c r="F2173" i="1"/>
  <c r="E2173" i="1"/>
  <c r="D2173" i="1"/>
  <c r="F2172" i="1"/>
  <c r="E2172" i="1"/>
  <c r="D2172" i="1"/>
  <c r="F2171" i="1"/>
  <c r="E2171" i="1"/>
  <c r="D2171" i="1"/>
  <c r="F2170" i="1"/>
  <c r="E2170" i="1"/>
  <c r="D2170" i="1"/>
  <c r="F2169" i="1"/>
  <c r="E2169" i="1"/>
  <c r="D2169" i="1"/>
  <c r="F2168" i="1"/>
  <c r="E2168" i="1"/>
  <c r="D2168" i="1"/>
  <c r="F2167" i="1"/>
  <c r="E2167" i="1"/>
  <c r="D2167" i="1"/>
  <c r="F2166" i="1"/>
  <c r="E2166" i="1"/>
  <c r="D2166" i="1"/>
  <c r="F2165" i="1"/>
  <c r="E2165" i="1"/>
  <c r="D2165" i="1"/>
  <c r="F2164" i="1"/>
  <c r="E2164" i="1"/>
  <c r="D2164" i="1"/>
  <c r="F2163" i="1"/>
  <c r="E2163" i="1"/>
  <c r="D2163" i="1"/>
  <c r="F2162" i="1"/>
  <c r="E2162" i="1"/>
  <c r="D2162" i="1"/>
  <c r="F2161" i="1"/>
  <c r="E2161" i="1"/>
  <c r="D2161" i="1"/>
  <c r="F2160" i="1"/>
  <c r="E2160" i="1"/>
  <c r="D2160" i="1"/>
  <c r="F2159" i="1"/>
  <c r="E2159" i="1"/>
  <c r="D2159" i="1"/>
  <c r="F2158" i="1"/>
  <c r="E2158" i="1"/>
  <c r="D2158" i="1"/>
  <c r="F2157" i="1"/>
  <c r="E2157" i="1"/>
  <c r="D2157" i="1"/>
  <c r="F2156" i="1"/>
  <c r="E2156" i="1"/>
  <c r="D2156" i="1"/>
  <c r="F2155" i="1"/>
  <c r="E2155" i="1"/>
  <c r="D2155" i="1"/>
  <c r="F2154" i="1"/>
  <c r="E2154" i="1"/>
  <c r="D2154" i="1"/>
  <c r="F2153" i="1"/>
  <c r="E2153" i="1"/>
  <c r="D2153" i="1"/>
  <c r="F2152" i="1"/>
  <c r="E2152" i="1"/>
  <c r="D2152" i="1"/>
  <c r="F2151" i="1"/>
  <c r="E2151" i="1"/>
  <c r="D2151" i="1"/>
  <c r="F2150" i="1"/>
  <c r="E2150" i="1"/>
  <c r="D2150" i="1"/>
  <c r="F2149" i="1"/>
  <c r="E2149" i="1"/>
  <c r="D2149" i="1"/>
  <c r="F2148" i="1"/>
  <c r="E2148" i="1"/>
  <c r="D2148" i="1"/>
  <c r="F2147" i="1"/>
  <c r="E2147" i="1"/>
  <c r="D2147" i="1"/>
  <c r="F2146" i="1"/>
  <c r="E2146" i="1"/>
  <c r="D2146" i="1"/>
  <c r="F2145" i="1"/>
  <c r="E2145" i="1"/>
  <c r="D2145" i="1"/>
  <c r="F2144" i="1"/>
  <c r="E2144" i="1"/>
  <c r="D2144" i="1"/>
  <c r="F2143" i="1"/>
  <c r="E2143" i="1"/>
  <c r="D2143" i="1"/>
  <c r="F2142" i="1"/>
  <c r="E2142" i="1"/>
  <c r="D2142" i="1"/>
  <c r="F2141" i="1"/>
  <c r="E2141" i="1"/>
  <c r="D2141" i="1"/>
  <c r="F2140" i="1"/>
  <c r="E2140" i="1"/>
  <c r="D2140" i="1"/>
  <c r="F2139" i="1"/>
  <c r="E2139" i="1"/>
  <c r="D2139" i="1"/>
  <c r="F2138" i="1"/>
  <c r="E2138" i="1"/>
  <c r="D2138" i="1"/>
  <c r="F2137" i="1"/>
  <c r="E2137" i="1"/>
  <c r="D2137" i="1"/>
  <c r="F2136" i="1"/>
  <c r="E2136" i="1"/>
  <c r="D2136" i="1"/>
  <c r="F2135" i="1"/>
  <c r="E2135" i="1"/>
  <c r="D2135" i="1"/>
  <c r="F2134" i="1"/>
  <c r="E2134" i="1"/>
  <c r="D2134" i="1"/>
  <c r="F2133" i="1"/>
  <c r="E2133" i="1"/>
  <c r="D2133" i="1"/>
  <c r="F2132" i="1"/>
  <c r="E2132" i="1"/>
  <c r="D2132" i="1"/>
  <c r="F2131" i="1"/>
  <c r="E2131" i="1"/>
  <c r="D2131" i="1"/>
  <c r="F2130" i="1"/>
  <c r="E2130" i="1"/>
  <c r="D2130" i="1"/>
  <c r="F2129" i="1"/>
  <c r="E2129" i="1"/>
  <c r="D2129" i="1"/>
  <c r="F2128" i="1"/>
  <c r="E2128" i="1"/>
  <c r="D2128" i="1"/>
  <c r="F2127" i="1"/>
  <c r="E2127" i="1"/>
  <c r="D2127" i="1"/>
  <c r="F2126" i="1"/>
  <c r="E2126" i="1"/>
  <c r="D2126" i="1"/>
  <c r="F2125" i="1"/>
  <c r="E2125" i="1"/>
  <c r="D2125" i="1"/>
  <c r="F2124" i="1"/>
  <c r="E2124" i="1"/>
  <c r="D2124" i="1"/>
  <c r="F2123" i="1"/>
  <c r="E2123" i="1"/>
  <c r="D2123" i="1"/>
  <c r="F2122" i="1"/>
  <c r="E2122" i="1"/>
  <c r="D2122" i="1"/>
  <c r="F2121" i="1"/>
  <c r="E2121" i="1"/>
  <c r="D2121" i="1"/>
  <c r="F2120" i="1"/>
  <c r="E2120" i="1"/>
  <c r="D2120" i="1"/>
  <c r="F2119" i="1"/>
  <c r="E2119" i="1"/>
  <c r="D2119" i="1"/>
  <c r="F2118" i="1"/>
  <c r="E2118" i="1"/>
  <c r="D2118" i="1"/>
  <c r="F2117" i="1"/>
  <c r="E2117" i="1"/>
  <c r="D2117" i="1"/>
  <c r="F2116" i="1"/>
  <c r="E2116" i="1"/>
  <c r="D2116" i="1"/>
  <c r="F2115" i="1"/>
  <c r="E2115" i="1"/>
  <c r="D2115" i="1"/>
  <c r="F2114" i="1"/>
  <c r="E2114" i="1"/>
  <c r="D2114" i="1"/>
  <c r="F2113" i="1"/>
  <c r="E2113" i="1"/>
  <c r="D2113" i="1"/>
  <c r="F2112" i="1"/>
  <c r="E2112" i="1"/>
  <c r="D2112" i="1"/>
  <c r="F2111" i="1"/>
  <c r="E2111" i="1"/>
  <c r="D2111" i="1"/>
  <c r="F2110" i="1"/>
  <c r="E2110" i="1"/>
  <c r="D2110" i="1"/>
  <c r="F2109" i="1"/>
  <c r="E2109" i="1"/>
  <c r="D2109" i="1"/>
  <c r="F2108" i="1"/>
  <c r="E2108" i="1"/>
  <c r="D2108" i="1"/>
  <c r="F2107" i="1"/>
  <c r="E2107" i="1"/>
  <c r="D2107" i="1"/>
  <c r="F2106" i="1"/>
  <c r="E2106" i="1"/>
  <c r="D2106" i="1"/>
  <c r="F2105" i="1"/>
  <c r="E2105" i="1"/>
  <c r="D2105" i="1"/>
  <c r="F2104" i="1"/>
  <c r="E2104" i="1"/>
  <c r="D2104" i="1"/>
  <c r="F2103" i="1"/>
  <c r="E2103" i="1"/>
  <c r="D2103" i="1"/>
  <c r="F2102" i="1"/>
  <c r="E2102" i="1"/>
  <c r="D2102" i="1"/>
  <c r="F2101" i="1"/>
  <c r="E2101" i="1"/>
  <c r="D2101" i="1"/>
  <c r="F2100" i="1"/>
  <c r="E2100" i="1"/>
  <c r="D2100" i="1"/>
  <c r="F2099" i="1"/>
  <c r="E2099" i="1"/>
  <c r="D2099" i="1"/>
  <c r="F2098" i="1"/>
  <c r="E2098" i="1"/>
  <c r="D2098" i="1"/>
  <c r="F2097" i="1"/>
  <c r="E2097" i="1"/>
  <c r="D2097" i="1"/>
  <c r="F2096" i="1"/>
  <c r="E2096" i="1"/>
  <c r="D2096" i="1"/>
  <c r="F2095" i="1"/>
  <c r="E2095" i="1"/>
  <c r="D2095" i="1"/>
  <c r="F2094" i="1"/>
  <c r="E2094" i="1"/>
  <c r="D2094" i="1"/>
  <c r="F2093" i="1"/>
  <c r="E2093" i="1"/>
  <c r="D2093" i="1"/>
  <c r="F2092" i="1"/>
  <c r="E2092" i="1"/>
  <c r="D2092" i="1"/>
  <c r="F2091" i="1"/>
  <c r="E2091" i="1"/>
  <c r="D2091" i="1"/>
  <c r="F2090" i="1"/>
  <c r="E2090" i="1"/>
  <c r="D2090" i="1"/>
  <c r="F2089" i="1"/>
  <c r="E2089" i="1"/>
  <c r="D2089" i="1"/>
  <c r="F2088" i="1"/>
  <c r="E2088" i="1"/>
  <c r="D2088" i="1"/>
  <c r="F2087" i="1"/>
  <c r="E2087" i="1"/>
  <c r="D2087" i="1"/>
  <c r="F2086" i="1"/>
  <c r="E2086" i="1"/>
  <c r="D2086" i="1"/>
  <c r="F2085" i="1"/>
  <c r="E2085" i="1"/>
  <c r="D2085" i="1"/>
  <c r="F2084" i="1"/>
  <c r="E2084" i="1"/>
  <c r="D2084" i="1"/>
  <c r="F2083" i="1"/>
  <c r="E2083" i="1"/>
  <c r="D2083" i="1"/>
  <c r="F2082" i="1"/>
  <c r="E2082" i="1"/>
  <c r="D2082" i="1"/>
  <c r="F2081" i="1"/>
  <c r="E2081" i="1"/>
  <c r="D2081" i="1"/>
  <c r="F2080" i="1"/>
  <c r="E2080" i="1"/>
  <c r="D2080" i="1"/>
  <c r="F2079" i="1"/>
  <c r="E2079" i="1"/>
  <c r="D2079" i="1"/>
  <c r="F2078" i="1"/>
  <c r="E2078" i="1"/>
  <c r="D2078" i="1"/>
  <c r="F2077" i="1"/>
  <c r="E2077" i="1"/>
  <c r="D2077" i="1"/>
  <c r="F2076" i="1"/>
  <c r="E2076" i="1"/>
  <c r="D2076" i="1"/>
  <c r="F2075" i="1"/>
  <c r="E2075" i="1"/>
  <c r="D2075" i="1"/>
  <c r="F2074" i="1"/>
  <c r="E2074" i="1"/>
  <c r="D2074" i="1"/>
  <c r="F2073" i="1"/>
  <c r="E2073" i="1"/>
  <c r="D2073" i="1"/>
  <c r="F2072" i="1"/>
  <c r="E2072" i="1"/>
  <c r="D2072" i="1"/>
  <c r="F2071" i="1"/>
  <c r="E2071" i="1"/>
  <c r="D2071" i="1"/>
  <c r="F2070" i="1"/>
  <c r="E2070" i="1"/>
  <c r="D2070" i="1"/>
  <c r="F2069" i="1"/>
  <c r="E2069" i="1"/>
  <c r="D2069" i="1"/>
  <c r="F2068" i="1"/>
  <c r="E2068" i="1"/>
  <c r="D2068" i="1"/>
  <c r="F2067" i="1"/>
  <c r="E2067" i="1"/>
  <c r="D2067" i="1"/>
  <c r="F2066" i="1"/>
  <c r="E2066" i="1"/>
  <c r="D2066" i="1"/>
  <c r="F2065" i="1"/>
  <c r="E2065" i="1"/>
  <c r="D2065" i="1"/>
  <c r="F2064" i="1"/>
  <c r="E2064" i="1"/>
  <c r="D2064" i="1"/>
  <c r="F2063" i="1"/>
  <c r="E2063" i="1"/>
  <c r="D2063" i="1"/>
  <c r="F2062" i="1"/>
  <c r="E2062" i="1"/>
  <c r="D2062" i="1"/>
  <c r="F2061" i="1"/>
  <c r="E2061" i="1"/>
  <c r="D2061" i="1"/>
  <c r="F2060" i="1"/>
  <c r="E2060" i="1"/>
  <c r="D2060" i="1"/>
  <c r="F2059" i="1"/>
  <c r="E2059" i="1"/>
  <c r="D2059" i="1"/>
  <c r="F2058" i="1"/>
  <c r="E2058" i="1"/>
  <c r="D2058" i="1"/>
  <c r="F2057" i="1"/>
  <c r="E2057" i="1"/>
  <c r="D2057" i="1"/>
  <c r="F2056" i="1"/>
  <c r="E2056" i="1"/>
  <c r="D2056" i="1"/>
  <c r="F2055" i="1"/>
  <c r="E2055" i="1"/>
  <c r="D2055" i="1"/>
  <c r="F2054" i="1"/>
  <c r="E2054" i="1"/>
  <c r="D2054" i="1"/>
  <c r="F2053" i="1"/>
  <c r="E2053" i="1"/>
  <c r="D2053" i="1"/>
  <c r="F2052" i="1"/>
  <c r="E2052" i="1"/>
  <c r="D2052" i="1"/>
  <c r="F2051" i="1"/>
  <c r="E2051" i="1"/>
  <c r="D2051" i="1"/>
  <c r="F2050" i="1"/>
  <c r="E2050" i="1"/>
  <c r="D2050" i="1"/>
  <c r="F2049" i="1"/>
  <c r="E2049" i="1"/>
  <c r="D2049" i="1"/>
  <c r="F2048" i="1"/>
  <c r="E2048" i="1"/>
  <c r="D2048" i="1"/>
  <c r="F2047" i="1"/>
  <c r="E2047" i="1"/>
  <c r="D2047" i="1"/>
  <c r="F2046" i="1"/>
  <c r="E2046" i="1"/>
  <c r="D2046" i="1"/>
  <c r="F2045" i="1"/>
  <c r="E2045" i="1"/>
  <c r="D2045" i="1"/>
  <c r="F2044" i="1"/>
  <c r="E2044" i="1"/>
  <c r="D2044" i="1"/>
  <c r="F2043" i="1"/>
  <c r="E2043" i="1"/>
  <c r="D2043" i="1"/>
  <c r="F2042" i="1"/>
  <c r="E2042" i="1"/>
  <c r="D2042" i="1"/>
  <c r="F2041" i="1"/>
  <c r="E2041" i="1"/>
  <c r="D2041" i="1"/>
  <c r="F2040" i="1"/>
  <c r="E2040" i="1"/>
  <c r="D2040" i="1"/>
  <c r="F2039" i="1"/>
  <c r="E2039" i="1"/>
  <c r="D2039" i="1"/>
  <c r="F2038" i="1"/>
  <c r="E2038" i="1"/>
  <c r="D2038" i="1"/>
  <c r="F2037" i="1"/>
  <c r="E2037" i="1"/>
  <c r="D2037" i="1"/>
  <c r="F2036" i="1"/>
  <c r="E2036" i="1"/>
  <c r="D2036" i="1"/>
  <c r="F2035" i="1"/>
  <c r="E2035" i="1"/>
  <c r="D2035" i="1"/>
  <c r="F2034" i="1"/>
  <c r="E2034" i="1"/>
  <c r="D2034" i="1"/>
  <c r="F2033" i="1"/>
  <c r="E2033" i="1"/>
  <c r="D2033" i="1"/>
  <c r="F2032" i="1"/>
  <c r="E2032" i="1"/>
  <c r="D2032" i="1"/>
  <c r="F2031" i="1"/>
  <c r="E2031" i="1"/>
  <c r="D2031" i="1"/>
  <c r="F2030" i="1"/>
  <c r="E2030" i="1"/>
  <c r="D2030" i="1"/>
  <c r="F2029" i="1"/>
  <c r="E2029" i="1"/>
  <c r="D2029" i="1"/>
  <c r="F2028" i="1"/>
  <c r="E2028" i="1"/>
  <c r="D2028" i="1"/>
  <c r="F2027" i="1"/>
  <c r="E2027" i="1"/>
  <c r="D2027" i="1"/>
  <c r="F2026" i="1"/>
  <c r="E2026" i="1"/>
  <c r="D2026" i="1"/>
  <c r="F2025" i="1"/>
  <c r="E2025" i="1"/>
  <c r="D2025" i="1"/>
  <c r="F2024" i="1"/>
  <c r="E2024" i="1"/>
  <c r="D2024" i="1"/>
  <c r="F2023" i="1"/>
  <c r="E2023" i="1"/>
  <c r="D2023" i="1"/>
  <c r="F2022" i="1"/>
  <c r="E2022" i="1"/>
  <c r="D2022" i="1"/>
  <c r="F2021" i="1"/>
  <c r="E2021" i="1"/>
  <c r="D2021" i="1"/>
  <c r="F2020" i="1"/>
  <c r="E2020" i="1"/>
  <c r="D2020" i="1"/>
  <c r="F2019" i="1"/>
  <c r="E2019" i="1"/>
  <c r="D2019" i="1"/>
  <c r="F2018" i="1"/>
  <c r="E2018" i="1"/>
  <c r="D2018" i="1"/>
  <c r="F2017" i="1"/>
  <c r="E2017" i="1"/>
  <c r="D2017" i="1"/>
  <c r="F2016" i="1"/>
  <c r="E2016" i="1"/>
  <c r="D2016" i="1"/>
  <c r="F2015" i="1"/>
  <c r="E2015" i="1"/>
  <c r="D2015" i="1"/>
  <c r="F2014" i="1"/>
  <c r="E2014" i="1"/>
  <c r="D2014" i="1"/>
  <c r="F2013" i="1"/>
  <c r="E2013" i="1"/>
  <c r="D2013" i="1"/>
  <c r="F2012" i="1"/>
  <c r="E2012" i="1"/>
  <c r="D2012" i="1"/>
  <c r="F2011" i="1"/>
  <c r="E2011" i="1"/>
  <c r="D2011" i="1"/>
  <c r="F2010" i="1"/>
  <c r="E2010" i="1"/>
  <c r="D2010" i="1"/>
  <c r="F2009" i="1"/>
  <c r="E2009" i="1"/>
  <c r="D2009" i="1"/>
  <c r="F2008" i="1"/>
  <c r="E2008" i="1"/>
  <c r="D2008" i="1"/>
  <c r="F2007" i="1"/>
  <c r="E2007" i="1"/>
  <c r="D2007" i="1"/>
  <c r="F2006" i="1"/>
  <c r="E2006" i="1"/>
  <c r="D2006" i="1"/>
  <c r="F2005" i="1"/>
  <c r="E2005" i="1"/>
  <c r="D2005" i="1"/>
  <c r="F2004" i="1"/>
  <c r="E2004" i="1"/>
  <c r="D2004" i="1"/>
  <c r="F2003" i="1"/>
  <c r="E2003" i="1"/>
  <c r="D2003" i="1"/>
  <c r="F2002" i="1"/>
  <c r="E2002" i="1"/>
  <c r="D2002" i="1"/>
  <c r="F2001" i="1"/>
  <c r="E2001" i="1"/>
  <c r="D2001" i="1"/>
  <c r="F2000" i="1"/>
  <c r="E2000" i="1"/>
  <c r="D2000" i="1"/>
  <c r="F1999" i="1"/>
  <c r="E1999" i="1"/>
  <c r="D1999" i="1"/>
  <c r="F1998" i="1"/>
  <c r="E1998" i="1"/>
  <c r="D1998" i="1"/>
  <c r="F1997" i="1"/>
  <c r="E1997" i="1"/>
  <c r="D1997" i="1"/>
  <c r="F1996" i="1"/>
  <c r="E1996" i="1"/>
  <c r="D1996" i="1"/>
  <c r="F1995" i="1"/>
  <c r="E1995" i="1"/>
  <c r="D1995" i="1"/>
  <c r="F1994" i="1"/>
  <c r="E1994" i="1"/>
  <c r="D1994" i="1"/>
  <c r="F1993" i="1"/>
  <c r="E1993" i="1"/>
  <c r="D1993" i="1"/>
  <c r="F1992" i="1"/>
  <c r="E1992" i="1"/>
  <c r="D1992" i="1"/>
  <c r="F1991" i="1"/>
  <c r="E1991" i="1"/>
  <c r="D1991" i="1"/>
  <c r="F1990" i="1"/>
  <c r="E1990" i="1"/>
  <c r="D1990" i="1"/>
  <c r="F1989" i="1"/>
  <c r="E1989" i="1"/>
  <c r="D1989" i="1"/>
  <c r="F1988" i="1"/>
  <c r="E1988" i="1"/>
  <c r="D1988" i="1"/>
  <c r="F1987" i="1"/>
  <c r="E1987" i="1"/>
  <c r="D1987" i="1"/>
  <c r="F1986" i="1"/>
  <c r="E1986" i="1"/>
  <c r="D1986" i="1"/>
  <c r="F1985" i="1"/>
  <c r="E1985" i="1"/>
  <c r="D1985" i="1"/>
  <c r="F1984" i="1"/>
  <c r="E1984" i="1"/>
  <c r="D1984" i="1"/>
  <c r="F1983" i="1"/>
  <c r="E1983" i="1"/>
  <c r="D1983" i="1"/>
  <c r="F1982" i="1"/>
  <c r="E1982" i="1"/>
  <c r="D1982" i="1"/>
  <c r="F1981" i="1"/>
  <c r="E1981" i="1"/>
  <c r="D1981" i="1"/>
  <c r="F1980" i="1"/>
  <c r="E1980" i="1"/>
  <c r="D1980" i="1"/>
  <c r="F1979" i="1"/>
  <c r="E1979" i="1"/>
  <c r="D1979" i="1"/>
  <c r="F1978" i="1"/>
  <c r="E1978" i="1"/>
  <c r="D1978" i="1"/>
  <c r="F1977" i="1"/>
  <c r="E1977" i="1"/>
  <c r="D1977" i="1"/>
  <c r="F1976" i="1"/>
  <c r="E1976" i="1"/>
  <c r="D1976" i="1"/>
  <c r="F1975" i="1"/>
  <c r="E1975" i="1"/>
  <c r="D1975" i="1"/>
  <c r="F1974" i="1"/>
  <c r="E1974" i="1"/>
  <c r="D1974" i="1"/>
  <c r="F1973" i="1"/>
  <c r="E1973" i="1"/>
  <c r="D1973" i="1"/>
  <c r="F1972" i="1"/>
  <c r="E1972" i="1"/>
  <c r="D1972" i="1"/>
  <c r="F1971" i="1"/>
  <c r="E1971" i="1"/>
  <c r="D1971" i="1"/>
  <c r="F1970" i="1"/>
  <c r="E1970" i="1"/>
  <c r="D1970" i="1"/>
  <c r="F1969" i="1"/>
  <c r="E1969" i="1"/>
  <c r="D1969" i="1"/>
  <c r="F1968" i="1"/>
  <c r="E1968" i="1"/>
  <c r="D1968" i="1"/>
  <c r="F1967" i="1"/>
  <c r="E1967" i="1"/>
  <c r="D1967" i="1"/>
  <c r="F1966" i="1"/>
  <c r="E1966" i="1"/>
  <c r="D1966" i="1"/>
  <c r="F1965" i="1"/>
  <c r="E1965" i="1"/>
  <c r="D1965" i="1"/>
  <c r="F1964" i="1"/>
  <c r="E1964" i="1"/>
  <c r="D1964" i="1"/>
  <c r="F1963" i="1"/>
  <c r="E1963" i="1"/>
  <c r="D1963" i="1"/>
  <c r="F1962" i="1"/>
  <c r="E1962" i="1"/>
  <c r="D1962" i="1"/>
  <c r="F1961" i="1"/>
  <c r="E1961" i="1"/>
  <c r="D1961" i="1"/>
  <c r="F1960" i="1"/>
  <c r="E1960" i="1"/>
  <c r="D1960" i="1"/>
  <c r="F1959" i="1"/>
  <c r="E1959" i="1"/>
  <c r="D1959" i="1"/>
  <c r="F1958" i="1"/>
  <c r="E1958" i="1"/>
  <c r="D1958" i="1"/>
  <c r="F1957" i="1"/>
  <c r="E1957" i="1"/>
  <c r="D1957" i="1"/>
  <c r="F1956" i="1"/>
  <c r="E1956" i="1"/>
  <c r="D1956" i="1"/>
  <c r="F1955" i="1"/>
  <c r="E1955" i="1"/>
  <c r="D1955" i="1"/>
  <c r="F1954" i="1"/>
  <c r="E1954" i="1"/>
  <c r="D1954" i="1"/>
  <c r="F1953" i="1"/>
  <c r="E1953" i="1"/>
  <c r="D1953" i="1"/>
  <c r="F1952" i="1"/>
  <c r="E1952" i="1"/>
  <c r="D1952" i="1"/>
  <c r="F1951" i="1"/>
  <c r="E1951" i="1"/>
  <c r="D1951" i="1"/>
  <c r="F1950" i="1"/>
  <c r="E1950" i="1"/>
  <c r="D1950" i="1"/>
  <c r="F1949" i="1"/>
  <c r="E1949" i="1"/>
  <c r="D1949" i="1"/>
  <c r="F1948" i="1"/>
  <c r="E1948" i="1"/>
  <c r="D1948" i="1"/>
  <c r="F1947" i="1"/>
  <c r="E1947" i="1"/>
  <c r="D1947" i="1"/>
  <c r="F1946" i="1"/>
  <c r="E1946" i="1"/>
  <c r="D1946" i="1"/>
  <c r="F1945" i="1"/>
  <c r="E1945" i="1"/>
  <c r="D1945" i="1"/>
  <c r="F1944" i="1"/>
  <c r="E1944" i="1"/>
  <c r="D1944" i="1"/>
  <c r="F1943" i="1"/>
  <c r="E1943" i="1"/>
  <c r="D1943" i="1"/>
  <c r="F1942" i="1"/>
  <c r="E1942" i="1"/>
  <c r="D1942" i="1"/>
  <c r="F1941" i="1"/>
  <c r="E1941" i="1"/>
  <c r="D1941" i="1"/>
  <c r="F1940" i="1"/>
  <c r="E1940" i="1"/>
  <c r="D1940" i="1"/>
  <c r="F1939" i="1"/>
  <c r="E1939" i="1"/>
  <c r="D1939" i="1"/>
  <c r="F1938" i="1"/>
  <c r="E1938" i="1"/>
  <c r="D1938" i="1"/>
  <c r="F1937" i="1"/>
  <c r="E1937" i="1"/>
  <c r="D1937" i="1"/>
  <c r="F1936" i="1"/>
  <c r="E1936" i="1"/>
  <c r="D1936" i="1"/>
  <c r="F1935" i="1"/>
  <c r="E1935" i="1"/>
  <c r="D1935" i="1"/>
  <c r="F1934" i="1"/>
  <c r="E1934" i="1"/>
  <c r="D1934" i="1"/>
  <c r="F1933" i="1"/>
  <c r="E1933" i="1"/>
  <c r="D1933" i="1"/>
  <c r="F1932" i="1"/>
  <c r="E1932" i="1"/>
  <c r="D1932" i="1"/>
  <c r="F1931" i="1"/>
  <c r="E1931" i="1"/>
  <c r="D1931" i="1"/>
  <c r="F1930" i="1"/>
  <c r="E1930" i="1"/>
  <c r="D1930" i="1"/>
  <c r="F1929" i="1"/>
  <c r="E1929" i="1"/>
  <c r="D1929" i="1"/>
  <c r="F1928" i="1"/>
  <c r="E1928" i="1"/>
  <c r="D1928" i="1"/>
  <c r="F1927" i="1"/>
  <c r="E1927" i="1"/>
  <c r="D1927" i="1"/>
  <c r="F1926" i="1"/>
  <c r="E1926" i="1"/>
  <c r="D1926" i="1"/>
  <c r="F1925" i="1"/>
  <c r="E1925" i="1"/>
  <c r="D1925" i="1"/>
  <c r="F1924" i="1"/>
  <c r="E1924" i="1"/>
  <c r="D1924" i="1"/>
  <c r="F1923" i="1"/>
  <c r="E1923" i="1"/>
  <c r="D1923" i="1"/>
  <c r="F1922" i="1"/>
  <c r="E1922" i="1"/>
  <c r="D1922" i="1"/>
  <c r="F1921" i="1"/>
  <c r="E1921" i="1"/>
  <c r="D1921" i="1"/>
  <c r="F1920" i="1"/>
  <c r="E1920" i="1"/>
  <c r="D1920" i="1"/>
  <c r="F1919" i="1"/>
  <c r="E1919" i="1"/>
  <c r="D1919" i="1"/>
  <c r="F1918" i="1"/>
  <c r="E1918" i="1"/>
  <c r="D1918" i="1"/>
  <c r="F1917" i="1"/>
  <c r="E1917" i="1"/>
  <c r="D1917" i="1"/>
  <c r="F1916" i="1"/>
  <c r="E1916" i="1"/>
  <c r="D1916" i="1"/>
  <c r="F1915" i="1"/>
  <c r="E1915" i="1"/>
  <c r="D1915" i="1"/>
  <c r="F1914" i="1"/>
  <c r="E1914" i="1"/>
  <c r="D1914" i="1"/>
  <c r="F1913" i="1"/>
  <c r="E1913" i="1"/>
  <c r="D1913" i="1"/>
  <c r="F1912" i="1"/>
  <c r="E1912" i="1"/>
  <c r="D1912" i="1"/>
  <c r="F1911" i="1"/>
  <c r="E1911" i="1"/>
  <c r="D1911" i="1"/>
  <c r="F1910" i="1"/>
  <c r="E1910" i="1"/>
  <c r="D1910" i="1"/>
  <c r="F1909" i="1"/>
  <c r="E1909" i="1"/>
  <c r="D1909" i="1"/>
  <c r="F1908" i="1"/>
  <c r="E1908" i="1"/>
  <c r="D1908" i="1"/>
  <c r="F1907" i="1"/>
  <c r="E1907" i="1"/>
  <c r="D1907" i="1"/>
  <c r="F1906" i="1"/>
  <c r="E1906" i="1"/>
  <c r="D1906" i="1"/>
  <c r="F1905" i="1"/>
  <c r="E1905" i="1"/>
  <c r="D1905" i="1"/>
  <c r="F1904" i="1"/>
  <c r="E1904" i="1"/>
  <c r="D1904" i="1"/>
  <c r="F1903" i="1"/>
  <c r="E1903" i="1"/>
  <c r="D1903" i="1"/>
  <c r="F1902" i="1"/>
  <c r="E1902" i="1"/>
  <c r="D1902" i="1"/>
  <c r="F1901" i="1"/>
  <c r="E1901" i="1"/>
  <c r="D1901" i="1"/>
  <c r="F1900" i="1"/>
  <c r="E1900" i="1"/>
  <c r="D1900" i="1"/>
  <c r="F1899" i="1"/>
  <c r="E1899" i="1"/>
  <c r="D1899" i="1"/>
  <c r="F1898" i="1"/>
  <c r="E1898" i="1"/>
  <c r="D1898" i="1"/>
  <c r="F1897" i="1"/>
  <c r="E1897" i="1"/>
  <c r="D1897" i="1"/>
  <c r="F1896" i="1"/>
  <c r="E1896" i="1"/>
  <c r="D1896" i="1"/>
  <c r="F1895" i="1"/>
  <c r="E1895" i="1"/>
  <c r="D1895" i="1"/>
  <c r="F1894" i="1"/>
  <c r="E1894" i="1"/>
  <c r="D1894" i="1"/>
  <c r="F1893" i="1"/>
  <c r="E1893" i="1"/>
  <c r="D1893" i="1"/>
  <c r="F1892" i="1"/>
  <c r="E1892" i="1"/>
  <c r="D1892" i="1"/>
  <c r="F1891" i="1"/>
  <c r="E1891" i="1"/>
  <c r="D1891" i="1"/>
  <c r="F1890" i="1"/>
  <c r="E1890" i="1"/>
  <c r="D1890" i="1"/>
  <c r="F1889" i="1"/>
  <c r="E1889" i="1"/>
  <c r="D1889" i="1"/>
  <c r="F1888" i="1"/>
  <c r="E1888" i="1"/>
  <c r="D1888" i="1"/>
  <c r="F1887" i="1"/>
  <c r="E1887" i="1"/>
  <c r="D1887" i="1"/>
  <c r="F1886" i="1"/>
  <c r="E1886" i="1"/>
  <c r="D1886" i="1"/>
  <c r="F1885" i="1"/>
  <c r="E1885" i="1"/>
  <c r="D1885" i="1"/>
  <c r="F1884" i="1"/>
  <c r="E1884" i="1"/>
  <c r="D1884" i="1"/>
  <c r="F1883" i="1"/>
  <c r="E1883" i="1"/>
  <c r="D1883" i="1"/>
  <c r="F1882" i="1"/>
  <c r="E1882" i="1"/>
  <c r="D1882" i="1"/>
  <c r="F1881" i="1"/>
  <c r="E1881" i="1"/>
  <c r="D1881" i="1"/>
  <c r="F1880" i="1"/>
  <c r="E1880" i="1"/>
  <c r="D1880" i="1"/>
  <c r="F1879" i="1"/>
  <c r="E1879" i="1"/>
  <c r="D1879" i="1"/>
  <c r="F1878" i="1"/>
  <c r="E1878" i="1"/>
  <c r="D1878" i="1"/>
  <c r="F1877" i="1"/>
  <c r="E1877" i="1"/>
  <c r="D1877" i="1"/>
  <c r="F1876" i="1"/>
  <c r="E1876" i="1"/>
  <c r="D1876" i="1"/>
  <c r="F1875" i="1"/>
  <c r="E1875" i="1"/>
  <c r="D1875" i="1"/>
  <c r="F1874" i="1"/>
  <c r="E1874" i="1"/>
  <c r="D1874" i="1"/>
  <c r="F1873" i="1"/>
  <c r="E1873" i="1"/>
  <c r="D1873" i="1"/>
  <c r="F1872" i="1"/>
  <c r="E1872" i="1"/>
  <c r="D1872" i="1"/>
  <c r="F1871" i="1"/>
  <c r="E1871" i="1"/>
  <c r="D1871" i="1"/>
  <c r="F1870" i="1"/>
  <c r="E1870" i="1"/>
  <c r="D1870" i="1"/>
  <c r="F1869" i="1"/>
  <c r="E1869" i="1"/>
  <c r="D1869" i="1"/>
  <c r="F1868" i="1"/>
  <c r="E1868" i="1"/>
  <c r="D1868" i="1"/>
  <c r="F1867" i="1"/>
  <c r="E1867" i="1"/>
  <c r="D1867" i="1"/>
  <c r="F1866" i="1"/>
  <c r="E1866" i="1"/>
  <c r="D1866" i="1"/>
  <c r="F1865" i="1"/>
  <c r="E1865" i="1"/>
  <c r="D1865" i="1"/>
  <c r="F1864" i="1"/>
  <c r="E1864" i="1"/>
  <c r="D1864" i="1"/>
  <c r="F1863" i="1"/>
  <c r="E1863" i="1"/>
  <c r="D1863" i="1"/>
  <c r="F1862" i="1"/>
  <c r="E1862" i="1"/>
  <c r="D1862" i="1"/>
  <c r="F1861" i="1"/>
  <c r="E1861" i="1"/>
  <c r="D1861" i="1"/>
  <c r="F1860" i="1"/>
  <c r="E1860" i="1"/>
  <c r="D1860" i="1"/>
  <c r="F1859" i="1"/>
  <c r="E1859" i="1"/>
  <c r="D1859" i="1"/>
  <c r="F1858" i="1"/>
  <c r="E1858" i="1"/>
  <c r="D1858" i="1"/>
  <c r="F1857" i="1"/>
  <c r="E1857" i="1"/>
  <c r="D1857" i="1"/>
  <c r="F1856" i="1"/>
  <c r="E1856" i="1"/>
  <c r="D1856" i="1"/>
  <c r="F1855" i="1"/>
  <c r="E1855" i="1"/>
  <c r="D1855" i="1"/>
  <c r="F1854" i="1"/>
  <c r="E1854" i="1"/>
  <c r="D1854" i="1"/>
  <c r="F1853" i="1"/>
  <c r="E1853" i="1"/>
  <c r="D1853" i="1"/>
  <c r="F1852" i="1"/>
  <c r="E1852" i="1"/>
  <c r="D1852" i="1"/>
  <c r="F1851" i="1"/>
  <c r="E1851" i="1"/>
  <c r="D1851" i="1"/>
  <c r="F1850" i="1"/>
  <c r="E1850" i="1"/>
  <c r="D1850" i="1"/>
  <c r="F1849" i="1"/>
  <c r="E1849" i="1"/>
  <c r="D1849" i="1"/>
  <c r="F1848" i="1"/>
  <c r="E1848" i="1"/>
  <c r="D1848" i="1"/>
  <c r="F1847" i="1"/>
  <c r="E1847" i="1"/>
  <c r="D1847" i="1"/>
  <c r="F1846" i="1"/>
  <c r="E1846" i="1"/>
  <c r="D1846" i="1"/>
  <c r="F1845" i="1"/>
  <c r="E1845" i="1"/>
  <c r="D1845" i="1"/>
  <c r="F1844" i="1"/>
  <c r="E1844" i="1"/>
  <c r="D1844" i="1"/>
  <c r="F1843" i="1"/>
  <c r="E1843" i="1"/>
  <c r="D1843" i="1"/>
  <c r="F1842" i="1"/>
  <c r="E1842" i="1"/>
  <c r="D1842" i="1"/>
  <c r="F1841" i="1"/>
  <c r="E1841" i="1"/>
  <c r="D1841" i="1"/>
  <c r="F1840" i="1"/>
  <c r="E1840" i="1"/>
  <c r="D1840" i="1"/>
  <c r="F1839" i="1"/>
  <c r="E1839" i="1"/>
  <c r="D1839" i="1"/>
  <c r="F1838" i="1"/>
  <c r="E1838" i="1"/>
  <c r="D1838" i="1"/>
  <c r="F1837" i="1"/>
  <c r="E1837" i="1"/>
  <c r="D1837" i="1"/>
  <c r="F1836" i="1"/>
  <c r="E1836" i="1"/>
  <c r="D1836" i="1"/>
  <c r="F1835" i="1"/>
  <c r="E1835" i="1"/>
  <c r="D1835" i="1"/>
  <c r="F1834" i="1"/>
  <c r="E1834" i="1"/>
  <c r="D1834" i="1"/>
  <c r="F1833" i="1"/>
  <c r="E1833" i="1"/>
  <c r="D1833" i="1"/>
  <c r="F1832" i="1"/>
  <c r="E1832" i="1"/>
  <c r="D1832" i="1"/>
  <c r="F1831" i="1"/>
  <c r="E1831" i="1"/>
  <c r="D1831" i="1"/>
  <c r="F1830" i="1"/>
  <c r="E1830" i="1"/>
  <c r="D1830" i="1"/>
  <c r="F1829" i="1"/>
  <c r="E1829" i="1"/>
  <c r="D1829" i="1"/>
  <c r="F1828" i="1"/>
  <c r="E1828" i="1"/>
  <c r="D1828" i="1"/>
  <c r="F1827" i="1"/>
  <c r="E1827" i="1"/>
  <c r="D1827" i="1"/>
  <c r="F1826" i="1"/>
  <c r="E1826" i="1"/>
  <c r="D1826" i="1"/>
  <c r="F1825" i="1"/>
  <c r="E1825" i="1"/>
  <c r="D1825" i="1"/>
  <c r="F1824" i="1"/>
  <c r="E1824" i="1"/>
  <c r="D1824" i="1"/>
  <c r="F1823" i="1"/>
  <c r="E1823" i="1"/>
  <c r="D1823" i="1"/>
  <c r="F1822" i="1"/>
  <c r="E1822" i="1"/>
  <c r="D1822" i="1"/>
  <c r="F1821" i="1"/>
  <c r="E1821" i="1"/>
  <c r="D1821" i="1"/>
  <c r="F1820" i="1"/>
  <c r="E1820" i="1"/>
  <c r="D1820" i="1"/>
  <c r="F1819" i="1"/>
  <c r="E1819" i="1"/>
  <c r="D1819" i="1"/>
  <c r="F1818" i="1"/>
  <c r="E1818" i="1"/>
  <c r="D1818" i="1"/>
  <c r="F1817" i="1"/>
  <c r="E1817" i="1"/>
  <c r="D1817" i="1"/>
  <c r="F1816" i="1"/>
  <c r="E1816" i="1"/>
  <c r="D1816" i="1"/>
  <c r="F1815" i="1"/>
  <c r="E1815" i="1"/>
  <c r="D1815" i="1"/>
  <c r="F1814" i="1"/>
  <c r="E1814" i="1"/>
  <c r="D1814" i="1"/>
  <c r="F1813" i="1"/>
  <c r="E1813" i="1"/>
  <c r="D1813" i="1"/>
  <c r="F1812" i="1"/>
  <c r="E1812" i="1"/>
  <c r="D1812" i="1"/>
  <c r="F1811" i="1"/>
  <c r="E1811" i="1"/>
  <c r="D1811" i="1"/>
  <c r="F1810" i="1"/>
  <c r="E1810" i="1"/>
  <c r="D1810" i="1"/>
  <c r="F1809" i="1"/>
  <c r="E1809" i="1"/>
  <c r="D1809" i="1"/>
  <c r="F1808" i="1"/>
  <c r="E1808" i="1"/>
  <c r="D1808" i="1"/>
  <c r="F1807" i="1"/>
  <c r="E1807" i="1"/>
  <c r="D1807" i="1"/>
  <c r="F1806" i="1"/>
  <c r="E1806" i="1"/>
  <c r="D1806" i="1"/>
  <c r="F1805" i="1"/>
  <c r="E1805" i="1"/>
  <c r="D1805" i="1"/>
  <c r="F1804" i="1"/>
  <c r="E1804" i="1"/>
  <c r="D1804" i="1"/>
  <c r="F1803" i="1"/>
  <c r="E1803" i="1"/>
  <c r="D1803" i="1"/>
  <c r="F1802" i="1"/>
  <c r="E1802" i="1"/>
  <c r="D1802" i="1"/>
  <c r="F1801" i="1"/>
  <c r="E1801" i="1"/>
  <c r="D1801" i="1"/>
  <c r="F1800" i="1"/>
  <c r="E1800" i="1"/>
  <c r="D1800" i="1"/>
  <c r="F1799" i="1"/>
  <c r="E1799" i="1"/>
  <c r="D1799" i="1"/>
  <c r="F1798" i="1"/>
  <c r="E1798" i="1"/>
  <c r="D1798" i="1"/>
  <c r="F1797" i="1"/>
  <c r="E1797" i="1"/>
  <c r="D1797" i="1"/>
  <c r="F1796" i="1"/>
  <c r="E1796" i="1"/>
  <c r="D1796" i="1"/>
  <c r="F1795" i="1"/>
  <c r="E1795" i="1"/>
  <c r="D1795" i="1"/>
  <c r="F1794" i="1"/>
  <c r="E1794" i="1"/>
  <c r="D1794" i="1"/>
  <c r="F1793" i="1"/>
  <c r="E1793" i="1"/>
  <c r="D1793" i="1"/>
  <c r="F1792" i="1"/>
  <c r="E1792" i="1"/>
  <c r="D1792" i="1"/>
  <c r="F1791" i="1"/>
  <c r="E1791" i="1"/>
  <c r="D1791" i="1"/>
  <c r="F1790" i="1"/>
  <c r="E1790" i="1"/>
  <c r="D1790" i="1"/>
  <c r="F1789" i="1"/>
  <c r="E1789" i="1"/>
  <c r="D1789" i="1"/>
  <c r="F1788" i="1"/>
  <c r="E1788" i="1"/>
  <c r="D1788" i="1"/>
  <c r="F1787" i="1"/>
  <c r="E1787" i="1"/>
  <c r="D1787" i="1"/>
  <c r="F1786" i="1"/>
  <c r="E1786" i="1"/>
  <c r="D1786" i="1"/>
  <c r="F1785" i="1"/>
  <c r="E1785" i="1"/>
  <c r="D1785" i="1"/>
  <c r="F1784" i="1"/>
  <c r="E1784" i="1"/>
  <c r="D1784" i="1"/>
  <c r="F1783" i="1"/>
  <c r="E1783" i="1"/>
  <c r="D1783" i="1"/>
  <c r="F1782" i="1"/>
  <c r="E1782" i="1"/>
  <c r="D1782" i="1"/>
  <c r="F1781" i="1"/>
  <c r="E1781" i="1"/>
  <c r="D1781" i="1"/>
  <c r="F1780" i="1"/>
  <c r="E1780" i="1"/>
  <c r="D1780" i="1"/>
  <c r="F1779" i="1"/>
  <c r="E1779" i="1"/>
  <c r="D1779" i="1"/>
  <c r="F1778" i="1"/>
  <c r="E1778" i="1"/>
  <c r="D1778" i="1"/>
  <c r="F1777" i="1"/>
  <c r="E1777" i="1"/>
  <c r="D1777" i="1"/>
  <c r="F1776" i="1"/>
  <c r="E1776" i="1"/>
  <c r="D1776" i="1"/>
  <c r="F1775" i="1"/>
  <c r="E1775" i="1"/>
  <c r="D1775" i="1"/>
  <c r="F1774" i="1"/>
  <c r="E1774" i="1"/>
  <c r="D1774" i="1"/>
  <c r="F1773" i="1"/>
  <c r="E1773" i="1"/>
  <c r="D1773" i="1"/>
  <c r="F1772" i="1"/>
  <c r="E1772" i="1"/>
  <c r="D1772" i="1"/>
  <c r="F1771" i="1"/>
  <c r="E1771" i="1"/>
  <c r="D1771" i="1"/>
  <c r="F1770" i="1"/>
  <c r="E1770" i="1"/>
  <c r="D1770" i="1"/>
  <c r="F1769" i="1"/>
  <c r="E1769" i="1"/>
  <c r="D1769" i="1"/>
  <c r="F1768" i="1"/>
  <c r="E1768" i="1"/>
  <c r="D1768" i="1"/>
  <c r="F1767" i="1"/>
  <c r="E1767" i="1"/>
  <c r="D1767" i="1"/>
  <c r="F1766" i="1"/>
  <c r="E1766" i="1"/>
  <c r="D1766" i="1"/>
  <c r="F1765" i="1"/>
  <c r="E1765" i="1"/>
  <c r="D1765" i="1"/>
  <c r="F1764" i="1"/>
  <c r="E1764" i="1"/>
  <c r="D1764" i="1"/>
  <c r="F1763" i="1"/>
  <c r="E1763" i="1"/>
  <c r="D1763" i="1"/>
  <c r="F1762" i="1"/>
  <c r="E1762" i="1"/>
  <c r="D1762" i="1"/>
  <c r="F1761" i="1"/>
  <c r="E1761" i="1"/>
  <c r="D1761" i="1"/>
  <c r="F1760" i="1"/>
  <c r="E1760" i="1"/>
  <c r="D1760" i="1"/>
  <c r="F1759" i="1"/>
  <c r="E1759" i="1"/>
  <c r="D1759" i="1"/>
  <c r="F1758" i="1"/>
  <c r="E1758" i="1"/>
  <c r="D1758" i="1"/>
  <c r="F1757" i="1"/>
  <c r="E1757" i="1"/>
  <c r="D1757" i="1"/>
  <c r="F1756" i="1"/>
  <c r="E1756" i="1"/>
  <c r="D1756" i="1"/>
  <c r="F1755" i="1"/>
  <c r="E1755" i="1"/>
  <c r="D1755" i="1"/>
  <c r="F1754" i="1"/>
  <c r="E1754" i="1"/>
  <c r="D1754" i="1"/>
  <c r="F1753" i="1"/>
  <c r="E1753" i="1"/>
  <c r="D1753" i="1"/>
  <c r="F1752" i="1"/>
  <c r="E1752" i="1"/>
  <c r="D1752" i="1"/>
  <c r="F1751" i="1"/>
  <c r="E1751" i="1"/>
  <c r="D1751" i="1"/>
  <c r="F1750" i="1"/>
  <c r="E1750" i="1"/>
  <c r="D1750" i="1"/>
  <c r="F1749" i="1"/>
  <c r="E1749" i="1"/>
  <c r="D1749" i="1"/>
  <c r="F1748" i="1"/>
  <c r="E1748" i="1"/>
  <c r="D1748" i="1"/>
  <c r="F1747" i="1"/>
  <c r="E1747" i="1"/>
  <c r="D1747" i="1"/>
  <c r="F1746" i="1"/>
  <c r="E1746" i="1"/>
  <c r="D1746" i="1"/>
  <c r="F1745" i="1"/>
  <c r="E1745" i="1"/>
  <c r="D1745" i="1"/>
  <c r="F1744" i="1"/>
  <c r="E1744" i="1"/>
  <c r="D1744" i="1"/>
  <c r="F1743" i="1"/>
  <c r="E1743" i="1"/>
  <c r="D1743" i="1"/>
  <c r="F1742" i="1"/>
  <c r="E1742" i="1"/>
  <c r="D1742" i="1"/>
  <c r="F1741" i="1"/>
  <c r="E1741" i="1"/>
  <c r="D1741" i="1"/>
  <c r="F1740" i="1"/>
  <c r="E1740" i="1"/>
  <c r="D1740" i="1"/>
  <c r="F1739" i="1"/>
  <c r="E1739" i="1"/>
  <c r="D1739" i="1"/>
  <c r="F1738" i="1"/>
  <c r="E1738" i="1"/>
  <c r="D1738" i="1"/>
  <c r="F1737" i="1"/>
  <c r="E1737" i="1"/>
  <c r="D1737" i="1"/>
  <c r="F1736" i="1"/>
  <c r="E1736" i="1"/>
  <c r="D1736" i="1"/>
  <c r="F1735" i="1"/>
  <c r="E1735" i="1"/>
  <c r="D1735" i="1"/>
  <c r="F1734" i="1"/>
  <c r="E1734" i="1"/>
  <c r="D1734" i="1"/>
  <c r="F1733" i="1"/>
  <c r="E1733" i="1"/>
  <c r="D1733" i="1"/>
  <c r="F1732" i="1"/>
  <c r="E1732" i="1"/>
  <c r="D1732" i="1"/>
  <c r="F1731" i="1"/>
  <c r="E1731" i="1"/>
  <c r="D1731" i="1"/>
  <c r="F1730" i="1"/>
  <c r="E1730" i="1"/>
  <c r="D1730" i="1"/>
  <c r="F1729" i="1"/>
  <c r="E1729" i="1"/>
  <c r="D1729" i="1"/>
  <c r="F1728" i="1"/>
  <c r="E1728" i="1"/>
  <c r="D1728" i="1"/>
  <c r="F1727" i="1"/>
  <c r="E1727" i="1"/>
  <c r="D1727" i="1"/>
  <c r="F1726" i="1"/>
  <c r="E1726" i="1"/>
  <c r="D1726" i="1"/>
  <c r="F1725" i="1"/>
  <c r="E1725" i="1"/>
  <c r="D1725" i="1"/>
  <c r="F1724" i="1"/>
  <c r="E1724" i="1"/>
  <c r="D1724" i="1"/>
  <c r="F1723" i="1"/>
  <c r="E1723" i="1"/>
  <c r="D1723" i="1"/>
  <c r="F1722" i="1"/>
  <c r="E1722" i="1"/>
  <c r="D1722" i="1"/>
  <c r="F1721" i="1"/>
  <c r="E1721" i="1"/>
  <c r="D1721" i="1"/>
  <c r="F1720" i="1"/>
  <c r="E1720" i="1"/>
  <c r="D1720" i="1"/>
  <c r="F1719" i="1"/>
  <c r="E1719" i="1"/>
  <c r="D1719" i="1"/>
  <c r="F1718" i="1"/>
  <c r="E1718" i="1"/>
  <c r="D1718" i="1"/>
  <c r="F1717" i="1"/>
  <c r="E1717" i="1"/>
  <c r="D1717" i="1"/>
  <c r="F1716" i="1"/>
  <c r="E1716" i="1"/>
  <c r="D1716" i="1"/>
  <c r="F1715" i="1"/>
  <c r="E1715" i="1"/>
  <c r="D1715" i="1"/>
  <c r="F1714" i="1"/>
  <c r="E1714" i="1"/>
  <c r="D1714" i="1"/>
  <c r="F1713" i="1"/>
  <c r="E1713" i="1"/>
  <c r="D1713" i="1"/>
  <c r="F1712" i="1"/>
  <c r="E1712" i="1"/>
  <c r="D1712" i="1"/>
  <c r="F1711" i="1"/>
  <c r="E1711" i="1"/>
  <c r="D1711" i="1"/>
  <c r="F1710" i="1"/>
  <c r="E1710" i="1"/>
  <c r="D1710" i="1"/>
  <c r="F1709" i="1"/>
  <c r="E1709" i="1"/>
  <c r="D1709" i="1"/>
  <c r="F1708" i="1"/>
  <c r="E1708" i="1"/>
  <c r="D1708" i="1"/>
  <c r="F1707" i="1"/>
  <c r="E1707" i="1"/>
  <c r="D1707" i="1"/>
  <c r="F1706" i="1"/>
  <c r="E1706" i="1"/>
  <c r="D1706" i="1"/>
  <c r="F1705" i="1"/>
  <c r="E1705" i="1"/>
  <c r="D1705" i="1"/>
  <c r="F1704" i="1"/>
  <c r="E1704" i="1"/>
  <c r="D1704" i="1"/>
  <c r="F1703" i="1"/>
  <c r="E1703" i="1"/>
  <c r="D1703" i="1"/>
  <c r="F1702" i="1"/>
  <c r="E1702" i="1"/>
  <c r="D1702" i="1"/>
  <c r="F1701" i="1"/>
  <c r="E1701" i="1"/>
  <c r="D1701" i="1"/>
  <c r="F1700" i="1"/>
  <c r="E1700" i="1"/>
  <c r="D1700" i="1"/>
  <c r="F1699" i="1"/>
  <c r="E1699" i="1"/>
  <c r="D1699" i="1"/>
  <c r="F1698" i="1"/>
  <c r="E1698" i="1"/>
  <c r="D1698" i="1"/>
  <c r="F1697" i="1"/>
  <c r="E1697" i="1"/>
  <c r="D1697" i="1"/>
  <c r="F1696" i="1"/>
  <c r="E1696" i="1"/>
  <c r="D1696" i="1"/>
  <c r="F1695" i="1"/>
  <c r="E1695" i="1"/>
  <c r="D1695" i="1"/>
  <c r="F1694" i="1"/>
  <c r="E1694" i="1"/>
  <c r="D1694" i="1"/>
  <c r="F1693" i="1"/>
  <c r="E1693" i="1"/>
  <c r="D1693" i="1"/>
  <c r="F1692" i="1"/>
  <c r="E1692" i="1"/>
  <c r="D1692" i="1"/>
  <c r="F1691" i="1"/>
  <c r="E1691" i="1"/>
  <c r="D1691" i="1"/>
  <c r="F1690" i="1"/>
  <c r="E1690" i="1"/>
  <c r="D1690" i="1"/>
  <c r="F1689" i="1"/>
  <c r="E1689" i="1"/>
  <c r="D1689" i="1"/>
  <c r="F1688" i="1"/>
  <c r="E1688" i="1"/>
  <c r="D1688" i="1"/>
  <c r="F1687" i="1"/>
  <c r="E1687" i="1"/>
  <c r="D1687" i="1"/>
  <c r="F1686" i="1"/>
  <c r="E1686" i="1"/>
  <c r="D1686" i="1"/>
  <c r="F1685" i="1"/>
  <c r="E1685" i="1"/>
  <c r="D1685" i="1"/>
  <c r="F1684" i="1"/>
  <c r="E1684" i="1"/>
  <c r="D1684" i="1"/>
  <c r="F1683" i="1"/>
  <c r="E1683" i="1"/>
  <c r="D1683" i="1"/>
  <c r="F1682" i="1"/>
  <c r="E1682" i="1"/>
  <c r="D1682" i="1"/>
  <c r="F1681" i="1"/>
  <c r="E1681" i="1"/>
  <c r="D1681" i="1"/>
  <c r="F1680" i="1"/>
  <c r="E1680" i="1"/>
  <c r="D1680" i="1"/>
  <c r="F1679" i="1"/>
  <c r="E1679" i="1"/>
  <c r="D1679" i="1"/>
  <c r="F1678" i="1"/>
  <c r="E1678" i="1"/>
  <c r="D1678" i="1"/>
  <c r="F1677" i="1"/>
  <c r="E1677" i="1"/>
  <c r="D1677" i="1"/>
  <c r="F1676" i="1"/>
  <c r="E1676" i="1"/>
  <c r="D1676" i="1"/>
  <c r="F1675" i="1"/>
  <c r="E1675" i="1"/>
  <c r="D1675" i="1"/>
  <c r="F1674" i="1"/>
  <c r="E1674" i="1"/>
  <c r="D1674" i="1"/>
  <c r="F1673" i="1"/>
  <c r="E1673" i="1"/>
  <c r="D1673" i="1"/>
  <c r="F1672" i="1"/>
  <c r="E1672" i="1"/>
  <c r="D1672" i="1"/>
  <c r="F1671" i="1"/>
  <c r="E1671" i="1"/>
  <c r="D1671" i="1"/>
  <c r="F1670" i="1"/>
  <c r="E1670" i="1"/>
  <c r="D1670" i="1"/>
  <c r="F1669" i="1"/>
  <c r="E1669" i="1"/>
  <c r="D1669" i="1"/>
  <c r="F1668" i="1"/>
  <c r="E1668" i="1"/>
  <c r="D1668" i="1"/>
  <c r="F1667" i="1"/>
  <c r="E1667" i="1"/>
  <c r="D1667" i="1"/>
  <c r="F1666" i="1"/>
  <c r="E1666" i="1"/>
  <c r="D1666" i="1"/>
  <c r="F1665" i="1"/>
  <c r="E1665" i="1"/>
  <c r="D1665" i="1"/>
  <c r="F1664" i="1"/>
  <c r="E1664" i="1"/>
  <c r="D1664" i="1"/>
  <c r="F1663" i="1"/>
  <c r="E1663" i="1"/>
  <c r="D1663" i="1"/>
  <c r="F1662" i="1"/>
  <c r="E1662" i="1"/>
  <c r="D1662" i="1"/>
  <c r="F1661" i="1"/>
  <c r="E1661" i="1"/>
  <c r="D1661" i="1"/>
  <c r="F1660" i="1"/>
  <c r="E1660" i="1"/>
  <c r="D1660" i="1"/>
  <c r="F1659" i="1"/>
  <c r="E1659" i="1"/>
  <c r="D1659" i="1"/>
  <c r="F1658" i="1"/>
  <c r="E1658" i="1"/>
  <c r="D1658" i="1"/>
  <c r="F1657" i="1"/>
  <c r="E1657" i="1"/>
  <c r="D1657" i="1"/>
  <c r="F1656" i="1"/>
  <c r="E1656" i="1"/>
  <c r="D1656" i="1"/>
  <c r="F1655" i="1"/>
  <c r="E1655" i="1"/>
  <c r="D1655" i="1"/>
  <c r="F1654" i="1"/>
  <c r="E1654" i="1"/>
  <c r="D1654" i="1"/>
  <c r="F1653" i="1"/>
  <c r="E1653" i="1"/>
  <c r="D1653" i="1"/>
  <c r="F1652" i="1"/>
  <c r="E1652" i="1"/>
  <c r="D1652" i="1"/>
  <c r="F1651" i="1"/>
  <c r="E1651" i="1"/>
  <c r="D1651" i="1"/>
  <c r="F1650" i="1"/>
  <c r="E1650" i="1"/>
  <c r="D1650" i="1"/>
  <c r="F1649" i="1"/>
  <c r="E1649" i="1"/>
  <c r="D1649" i="1"/>
  <c r="F1648" i="1"/>
  <c r="E1648" i="1"/>
  <c r="D1648" i="1"/>
  <c r="F1647" i="1"/>
  <c r="E1647" i="1"/>
  <c r="D1647" i="1"/>
  <c r="F1646" i="1"/>
  <c r="E1646" i="1"/>
  <c r="D1646" i="1"/>
  <c r="F1645" i="1"/>
  <c r="E1645" i="1"/>
  <c r="D1645" i="1"/>
  <c r="F1644" i="1"/>
  <c r="E1644" i="1"/>
  <c r="D1644" i="1"/>
  <c r="F1643" i="1"/>
  <c r="E1643" i="1"/>
  <c r="D1643" i="1"/>
  <c r="F1642" i="1"/>
  <c r="E1642" i="1"/>
  <c r="D1642" i="1"/>
  <c r="F1641" i="1"/>
  <c r="E1641" i="1"/>
  <c r="D1641" i="1"/>
  <c r="F1640" i="1"/>
  <c r="E1640" i="1"/>
  <c r="D1640" i="1"/>
  <c r="F1639" i="1"/>
  <c r="E1639" i="1"/>
  <c r="D1639" i="1"/>
  <c r="F1638" i="1"/>
  <c r="E1638" i="1"/>
  <c r="D1638" i="1"/>
  <c r="F1637" i="1"/>
  <c r="E1637" i="1"/>
  <c r="D1637" i="1"/>
  <c r="F1636" i="1"/>
  <c r="E1636" i="1"/>
  <c r="D1636" i="1"/>
  <c r="F1635" i="1"/>
  <c r="E1635" i="1"/>
  <c r="D1635" i="1"/>
  <c r="F1634" i="1"/>
  <c r="E1634" i="1"/>
  <c r="D1634" i="1"/>
  <c r="F1633" i="1"/>
  <c r="E1633" i="1"/>
  <c r="D1633" i="1"/>
  <c r="F1632" i="1"/>
  <c r="E1632" i="1"/>
  <c r="D1632" i="1"/>
  <c r="F1631" i="1"/>
  <c r="E1631" i="1"/>
  <c r="D1631" i="1"/>
  <c r="F1630" i="1"/>
  <c r="E1630" i="1"/>
  <c r="D1630" i="1"/>
  <c r="F1629" i="1"/>
  <c r="E1629" i="1"/>
  <c r="D1629" i="1"/>
  <c r="F1628" i="1"/>
  <c r="E1628" i="1"/>
  <c r="D1628" i="1"/>
  <c r="F1627" i="1"/>
  <c r="E1627" i="1"/>
  <c r="D1627" i="1"/>
  <c r="F1626" i="1"/>
  <c r="E1626" i="1"/>
  <c r="D1626" i="1"/>
  <c r="F1625" i="1"/>
  <c r="E1625" i="1"/>
  <c r="D1625" i="1"/>
  <c r="F1624" i="1"/>
  <c r="E1624" i="1"/>
  <c r="D1624" i="1"/>
  <c r="F1623" i="1"/>
  <c r="E1623" i="1"/>
  <c r="D1623" i="1"/>
  <c r="F1622" i="1"/>
  <c r="E1622" i="1"/>
  <c r="D1622" i="1"/>
  <c r="F1621" i="1"/>
  <c r="E1621" i="1"/>
  <c r="D1621" i="1"/>
  <c r="F1620" i="1"/>
  <c r="E1620" i="1"/>
  <c r="D1620" i="1"/>
  <c r="F1619" i="1"/>
  <c r="E1619" i="1"/>
  <c r="D1619" i="1"/>
  <c r="F1618" i="1"/>
  <c r="E1618" i="1"/>
  <c r="D1618" i="1"/>
  <c r="F1617" i="1"/>
  <c r="E1617" i="1"/>
  <c r="D1617" i="1"/>
  <c r="F1616" i="1"/>
  <c r="E1616" i="1"/>
  <c r="D1616" i="1"/>
  <c r="F1615" i="1"/>
  <c r="E1615" i="1"/>
  <c r="D1615" i="1"/>
  <c r="F1614" i="1"/>
  <c r="E1614" i="1"/>
  <c r="D1614" i="1"/>
  <c r="F1613" i="1"/>
  <c r="E1613" i="1"/>
  <c r="D1613" i="1"/>
  <c r="F1612" i="1"/>
  <c r="E1612" i="1"/>
  <c r="D1612" i="1"/>
  <c r="F1611" i="1"/>
  <c r="E1611" i="1"/>
  <c r="D1611" i="1"/>
  <c r="F1610" i="1"/>
  <c r="E1610" i="1"/>
  <c r="D1610" i="1"/>
  <c r="F1609" i="1"/>
  <c r="E1609" i="1"/>
  <c r="D1609" i="1"/>
  <c r="F1608" i="1"/>
  <c r="E1608" i="1"/>
  <c r="D1608" i="1"/>
  <c r="F1607" i="1"/>
  <c r="E1607" i="1"/>
  <c r="D1607" i="1"/>
  <c r="F1606" i="1"/>
  <c r="E1606" i="1"/>
  <c r="D1606" i="1"/>
  <c r="F1605" i="1"/>
  <c r="E1605" i="1"/>
  <c r="D1605" i="1"/>
  <c r="F1604" i="1"/>
  <c r="E1604" i="1"/>
  <c r="D1604" i="1"/>
  <c r="F1603" i="1"/>
  <c r="E1603" i="1"/>
  <c r="D1603" i="1"/>
  <c r="F1602" i="1"/>
  <c r="E1602" i="1"/>
  <c r="D1602" i="1"/>
  <c r="F1601" i="1"/>
  <c r="E1601" i="1"/>
  <c r="D1601" i="1"/>
  <c r="F1600" i="1"/>
  <c r="E1600" i="1"/>
  <c r="D1600" i="1"/>
  <c r="F1599" i="1"/>
  <c r="E1599" i="1"/>
  <c r="D1599" i="1"/>
  <c r="F1598" i="1"/>
  <c r="E1598" i="1"/>
  <c r="D1598" i="1"/>
  <c r="F1597" i="1"/>
  <c r="E1597" i="1"/>
  <c r="D1597" i="1"/>
  <c r="F1596" i="1"/>
  <c r="E1596" i="1"/>
  <c r="D1596" i="1"/>
  <c r="F1595" i="1"/>
  <c r="E1595" i="1"/>
  <c r="D1595" i="1"/>
  <c r="F1594" i="1"/>
  <c r="E1594" i="1"/>
  <c r="D1594" i="1"/>
  <c r="F1593" i="1"/>
  <c r="E1593" i="1"/>
  <c r="D1593" i="1"/>
  <c r="F1592" i="1"/>
  <c r="E1592" i="1"/>
  <c r="D1592" i="1"/>
  <c r="F1591" i="1"/>
  <c r="E1591" i="1"/>
  <c r="D1591" i="1"/>
  <c r="F1590" i="1"/>
  <c r="E1590" i="1"/>
  <c r="D1590" i="1"/>
  <c r="F1589" i="1"/>
  <c r="E1589" i="1"/>
  <c r="D1589" i="1"/>
  <c r="F1588" i="1"/>
  <c r="E1588" i="1"/>
  <c r="D1588" i="1"/>
  <c r="F1587" i="1"/>
  <c r="E1587" i="1"/>
  <c r="D1587" i="1"/>
  <c r="F1586" i="1"/>
  <c r="E1586" i="1"/>
  <c r="D1586" i="1"/>
  <c r="F1585" i="1"/>
  <c r="E1585" i="1"/>
  <c r="D1585" i="1"/>
  <c r="F1584" i="1"/>
  <c r="E1584" i="1"/>
  <c r="D1584" i="1"/>
  <c r="F1583" i="1"/>
  <c r="E1583" i="1"/>
  <c r="D1583" i="1"/>
  <c r="F1582" i="1"/>
  <c r="E1582" i="1"/>
  <c r="D1582" i="1"/>
  <c r="F1581" i="1"/>
  <c r="E1581" i="1"/>
  <c r="D1581" i="1"/>
  <c r="F1580" i="1"/>
  <c r="E1580" i="1"/>
  <c r="D1580" i="1"/>
  <c r="F1579" i="1"/>
  <c r="E1579" i="1"/>
  <c r="D1579" i="1"/>
  <c r="F1578" i="1"/>
  <c r="E1578" i="1"/>
  <c r="D1578" i="1"/>
  <c r="F1577" i="1"/>
  <c r="E1577" i="1"/>
  <c r="D1577" i="1"/>
  <c r="F1576" i="1"/>
  <c r="E1576" i="1"/>
  <c r="D1576" i="1"/>
  <c r="F1575" i="1"/>
  <c r="E1575" i="1"/>
  <c r="D1575" i="1"/>
  <c r="F1574" i="1"/>
  <c r="E1574" i="1"/>
  <c r="D1574" i="1"/>
  <c r="F1573" i="1"/>
  <c r="E1573" i="1"/>
  <c r="D1573" i="1"/>
  <c r="F1572" i="1"/>
  <c r="E1572" i="1"/>
  <c r="D1572" i="1"/>
  <c r="F1571" i="1"/>
  <c r="E1571" i="1"/>
  <c r="D1571" i="1"/>
  <c r="F1570" i="1"/>
  <c r="E1570" i="1"/>
  <c r="D1570" i="1"/>
  <c r="F1569" i="1"/>
  <c r="E1569" i="1"/>
  <c r="D1569" i="1"/>
  <c r="F1568" i="1"/>
  <c r="E1568" i="1"/>
  <c r="D1568" i="1"/>
  <c r="F1567" i="1"/>
  <c r="E1567" i="1"/>
  <c r="D1567" i="1"/>
  <c r="F1566" i="1"/>
  <c r="E1566" i="1"/>
  <c r="D1566" i="1"/>
  <c r="F1565" i="1"/>
  <c r="E1565" i="1"/>
  <c r="D1565" i="1"/>
  <c r="F1564" i="1"/>
  <c r="E1564" i="1"/>
  <c r="D1564" i="1"/>
  <c r="F1563" i="1"/>
  <c r="E1563" i="1"/>
  <c r="D1563" i="1"/>
  <c r="F1562" i="1"/>
  <c r="E1562" i="1"/>
  <c r="D1562" i="1"/>
  <c r="F1561" i="1"/>
  <c r="E1561" i="1"/>
  <c r="D1561" i="1"/>
  <c r="F1560" i="1"/>
  <c r="E1560" i="1"/>
  <c r="D1560" i="1"/>
  <c r="F1559" i="1"/>
  <c r="E1559" i="1"/>
  <c r="D1559" i="1"/>
  <c r="F1558" i="1"/>
  <c r="E1558" i="1"/>
  <c r="D1558" i="1"/>
  <c r="F1557" i="1"/>
  <c r="E1557" i="1"/>
  <c r="D1557" i="1"/>
  <c r="F1556" i="1"/>
  <c r="E1556" i="1"/>
  <c r="D1556" i="1"/>
  <c r="F1555" i="1"/>
  <c r="E1555" i="1"/>
  <c r="D1555" i="1"/>
  <c r="F1554" i="1"/>
  <c r="E1554" i="1"/>
  <c r="D1554" i="1"/>
  <c r="F1553" i="1"/>
  <c r="E1553" i="1"/>
  <c r="D1553" i="1"/>
  <c r="F1552" i="1"/>
  <c r="E1552" i="1"/>
  <c r="D1552" i="1"/>
  <c r="F1551" i="1"/>
  <c r="E1551" i="1"/>
  <c r="D1551" i="1"/>
  <c r="F1550" i="1"/>
  <c r="E1550" i="1"/>
  <c r="D1550" i="1"/>
  <c r="F1549" i="1"/>
  <c r="E1549" i="1"/>
  <c r="D1549" i="1"/>
  <c r="F1548" i="1"/>
  <c r="E1548" i="1"/>
  <c r="D1548" i="1"/>
  <c r="F1547" i="1"/>
  <c r="E1547" i="1"/>
  <c r="D1547" i="1"/>
  <c r="F1546" i="1"/>
  <c r="E1546" i="1"/>
  <c r="D1546" i="1"/>
  <c r="F1545" i="1"/>
  <c r="E1545" i="1"/>
  <c r="D1545" i="1"/>
  <c r="F1544" i="1"/>
  <c r="E1544" i="1"/>
  <c r="D1544" i="1"/>
  <c r="F1543" i="1"/>
  <c r="E1543" i="1"/>
  <c r="D1543" i="1"/>
  <c r="F1542" i="1"/>
  <c r="E1542" i="1"/>
  <c r="D1542" i="1"/>
  <c r="F1541" i="1"/>
  <c r="E1541" i="1"/>
  <c r="D1541" i="1"/>
  <c r="F1540" i="1"/>
  <c r="E1540" i="1"/>
  <c r="D1540" i="1"/>
  <c r="F1539" i="1"/>
  <c r="E1539" i="1"/>
  <c r="D1539" i="1"/>
  <c r="F1538" i="1"/>
  <c r="E1538" i="1"/>
  <c r="D1538" i="1"/>
  <c r="F1537" i="1"/>
  <c r="E1537" i="1"/>
  <c r="D1537" i="1"/>
  <c r="F1536" i="1"/>
  <c r="E1536" i="1"/>
  <c r="D1536" i="1"/>
  <c r="F1535" i="1"/>
  <c r="E1535" i="1"/>
  <c r="D1535" i="1"/>
  <c r="F1534" i="1"/>
  <c r="E1534" i="1"/>
  <c r="D1534" i="1"/>
  <c r="F1533" i="1"/>
  <c r="E1533" i="1"/>
  <c r="D1533" i="1"/>
  <c r="F1532" i="1"/>
  <c r="E1532" i="1"/>
  <c r="D1532" i="1"/>
  <c r="F1531" i="1"/>
  <c r="E1531" i="1"/>
  <c r="D1531" i="1"/>
  <c r="F1530" i="1"/>
  <c r="E1530" i="1"/>
  <c r="D1530" i="1"/>
  <c r="F1529" i="1"/>
  <c r="E1529" i="1"/>
  <c r="D1529" i="1"/>
  <c r="F1528" i="1"/>
  <c r="E1528" i="1"/>
  <c r="D1528" i="1"/>
  <c r="F1527" i="1"/>
  <c r="E1527" i="1"/>
  <c r="D1527" i="1"/>
  <c r="F1526" i="1"/>
  <c r="E1526" i="1"/>
  <c r="D1526" i="1"/>
  <c r="F1525" i="1"/>
  <c r="E1525" i="1"/>
  <c r="D1525" i="1"/>
  <c r="F1524" i="1"/>
  <c r="E1524" i="1"/>
  <c r="D1524" i="1"/>
  <c r="F1523" i="1"/>
  <c r="E1523" i="1"/>
  <c r="D1523" i="1"/>
  <c r="F1522" i="1"/>
  <c r="E1522" i="1"/>
  <c r="D1522" i="1"/>
  <c r="F1521" i="1"/>
  <c r="E1521" i="1"/>
  <c r="D1521" i="1"/>
  <c r="F1520" i="1"/>
  <c r="E1520" i="1"/>
  <c r="D1520" i="1"/>
  <c r="F1519" i="1"/>
  <c r="E1519" i="1"/>
  <c r="D1519" i="1"/>
  <c r="F1518" i="1"/>
  <c r="E1518" i="1"/>
  <c r="D1518" i="1"/>
  <c r="F1517" i="1"/>
  <c r="E1517" i="1"/>
  <c r="D1517" i="1"/>
  <c r="F1516" i="1"/>
  <c r="E1516" i="1"/>
  <c r="D1516" i="1"/>
  <c r="F1515" i="1"/>
  <c r="E1515" i="1"/>
  <c r="D1515" i="1"/>
  <c r="F1514" i="1"/>
  <c r="E1514" i="1"/>
  <c r="D1514" i="1"/>
  <c r="F1513" i="1"/>
  <c r="E1513" i="1"/>
  <c r="D1513" i="1"/>
  <c r="F1512" i="1"/>
  <c r="E1512" i="1"/>
  <c r="D1512" i="1"/>
  <c r="F1511" i="1"/>
  <c r="E1511" i="1"/>
  <c r="D1511" i="1"/>
  <c r="F1510" i="1"/>
  <c r="E1510" i="1"/>
  <c r="D1510" i="1"/>
  <c r="F1509" i="1"/>
  <c r="E1509" i="1"/>
  <c r="D1509" i="1"/>
  <c r="F1508" i="1"/>
  <c r="E1508" i="1"/>
  <c r="D1508" i="1"/>
  <c r="F1507" i="1"/>
  <c r="E1507" i="1"/>
  <c r="D1507" i="1"/>
  <c r="F1506" i="1"/>
  <c r="E1506" i="1"/>
  <c r="D1506" i="1"/>
  <c r="F1505" i="1"/>
  <c r="E1505" i="1"/>
  <c r="D1505" i="1"/>
  <c r="F1504" i="1"/>
  <c r="E1504" i="1"/>
  <c r="D1504" i="1"/>
  <c r="F1503" i="1"/>
  <c r="E1503" i="1"/>
  <c r="D1503" i="1"/>
  <c r="F1502" i="1"/>
  <c r="E1502" i="1"/>
  <c r="D1502" i="1"/>
  <c r="F1501" i="1"/>
  <c r="E1501" i="1"/>
  <c r="D1501" i="1"/>
  <c r="F1500" i="1"/>
  <c r="E1500" i="1"/>
  <c r="D1500" i="1"/>
  <c r="F1499" i="1"/>
  <c r="E1499" i="1"/>
  <c r="D1499" i="1"/>
  <c r="F1498" i="1"/>
  <c r="E1498" i="1"/>
  <c r="D1498" i="1"/>
  <c r="F1497" i="1"/>
  <c r="E1497" i="1"/>
  <c r="D1497" i="1"/>
  <c r="F1496" i="1"/>
  <c r="E1496" i="1"/>
  <c r="D1496" i="1"/>
  <c r="F1495" i="1"/>
  <c r="E1495" i="1"/>
  <c r="D1495" i="1"/>
  <c r="F1494" i="1"/>
  <c r="E1494" i="1"/>
  <c r="D1494" i="1"/>
  <c r="F1493" i="1"/>
  <c r="E1493" i="1"/>
  <c r="D1493" i="1"/>
  <c r="F1492" i="1"/>
  <c r="E1492" i="1"/>
  <c r="D1492" i="1"/>
  <c r="F1491" i="1"/>
  <c r="E1491" i="1"/>
  <c r="D1491" i="1"/>
  <c r="F1490" i="1"/>
  <c r="E1490" i="1"/>
  <c r="D1490" i="1"/>
  <c r="F1489" i="1"/>
  <c r="E1489" i="1"/>
  <c r="D1489" i="1"/>
  <c r="F1488" i="1"/>
  <c r="E1488" i="1"/>
  <c r="D1488" i="1"/>
  <c r="F1487" i="1"/>
  <c r="E1487" i="1"/>
  <c r="D1487" i="1"/>
  <c r="F1486" i="1"/>
  <c r="E1486" i="1"/>
  <c r="D1486" i="1"/>
  <c r="F1485" i="1"/>
  <c r="E1485" i="1"/>
  <c r="D1485" i="1"/>
  <c r="F1484" i="1"/>
  <c r="E1484" i="1"/>
  <c r="D1484" i="1"/>
  <c r="F1483" i="1"/>
  <c r="E1483" i="1"/>
  <c r="D1483" i="1"/>
  <c r="F1482" i="1"/>
  <c r="E1482" i="1"/>
  <c r="D1482" i="1"/>
  <c r="F1481" i="1"/>
  <c r="E1481" i="1"/>
  <c r="D1481" i="1"/>
  <c r="F1480" i="1"/>
  <c r="E1480" i="1"/>
  <c r="D1480" i="1"/>
  <c r="F1479" i="1"/>
  <c r="E1479" i="1"/>
  <c r="D1479" i="1"/>
  <c r="F1478" i="1"/>
  <c r="E1478" i="1"/>
  <c r="D1478" i="1"/>
  <c r="F1477" i="1"/>
  <c r="E1477" i="1"/>
  <c r="D1477" i="1"/>
  <c r="F1476" i="1"/>
  <c r="E1476" i="1"/>
  <c r="D1476" i="1"/>
  <c r="F1475" i="1"/>
  <c r="E1475" i="1"/>
  <c r="D1475" i="1"/>
  <c r="F1474" i="1"/>
  <c r="E1474" i="1"/>
  <c r="D1474" i="1"/>
  <c r="F1473" i="1"/>
  <c r="E1473" i="1"/>
  <c r="D1473" i="1"/>
  <c r="F1472" i="1"/>
  <c r="E1472" i="1"/>
  <c r="D1472" i="1"/>
  <c r="F1471" i="1"/>
  <c r="E1471" i="1"/>
  <c r="D1471" i="1"/>
  <c r="F1470" i="1"/>
  <c r="E1470" i="1"/>
  <c r="D1470" i="1"/>
  <c r="F1469" i="1"/>
  <c r="E1469" i="1"/>
  <c r="D1469" i="1"/>
  <c r="F1468" i="1"/>
  <c r="E1468" i="1"/>
  <c r="D1468" i="1"/>
  <c r="F1467" i="1"/>
  <c r="E1467" i="1"/>
  <c r="D1467" i="1"/>
  <c r="F1466" i="1"/>
  <c r="E1466" i="1"/>
  <c r="D1466" i="1"/>
  <c r="F1465" i="1"/>
  <c r="E1465" i="1"/>
  <c r="D1465" i="1"/>
  <c r="F1464" i="1"/>
  <c r="E1464" i="1"/>
  <c r="D1464" i="1"/>
  <c r="F1463" i="1"/>
  <c r="E1463" i="1"/>
  <c r="D1463" i="1"/>
  <c r="F1462" i="1"/>
  <c r="E1462" i="1"/>
  <c r="D1462" i="1"/>
  <c r="F1461" i="1"/>
  <c r="E1461" i="1"/>
  <c r="D1461" i="1"/>
  <c r="F1460" i="1"/>
  <c r="E1460" i="1"/>
  <c r="D1460" i="1"/>
  <c r="F1459" i="1"/>
  <c r="E1459" i="1"/>
  <c r="D1459" i="1"/>
  <c r="F1458" i="1"/>
  <c r="E1458" i="1"/>
  <c r="D1458" i="1"/>
  <c r="F1457" i="1"/>
  <c r="E1457" i="1"/>
  <c r="D1457" i="1"/>
  <c r="F1456" i="1"/>
  <c r="E1456" i="1"/>
  <c r="D1456" i="1"/>
  <c r="F1455" i="1"/>
  <c r="E1455" i="1"/>
  <c r="D1455" i="1"/>
  <c r="F1454" i="1"/>
  <c r="E1454" i="1"/>
  <c r="D1454" i="1"/>
  <c r="F1453" i="1"/>
  <c r="E1453" i="1"/>
  <c r="D1453" i="1"/>
  <c r="F1452" i="1"/>
  <c r="E1452" i="1"/>
  <c r="D1452" i="1"/>
  <c r="F1451" i="1"/>
  <c r="E1451" i="1"/>
  <c r="D1451" i="1"/>
  <c r="F1450" i="1"/>
  <c r="E1450" i="1"/>
  <c r="D1450" i="1"/>
  <c r="F1449" i="1"/>
  <c r="E1449" i="1"/>
  <c r="D1449" i="1"/>
  <c r="F1448" i="1"/>
  <c r="E1448" i="1"/>
  <c r="D1448" i="1"/>
  <c r="F1447" i="1"/>
  <c r="E1447" i="1"/>
  <c r="D1447" i="1"/>
  <c r="F1446" i="1"/>
  <c r="E1446" i="1"/>
  <c r="D1446" i="1"/>
  <c r="F1445" i="1"/>
  <c r="E1445" i="1"/>
  <c r="D1445" i="1"/>
  <c r="F1444" i="1"/>
  <c r="E1444" i="1"/>
  <c r="D1444" i="1"/>
  <c r="F1443" i="1"/>
  <c r="E1443" i="1"/>
  <c r="D1443" i="1"/>
  <c r="F1442" i="1"/>
  <c r="E1442" i="1"/>
  <c r="D1442" i="1"/>
  <c r="F1441" i="1"/>
  <c r="E1441" i="1"/>
  <c r="D1441" i="1"/>
  <c r="F1440" i="1"/>
  <c r="E1440" i="1"/>
  <c r="D1440" i="1"/>
  <c r="F1439" i="1"/>
  <c r="E1439" i="1"/>
  <c r="D1439" i="1"/>
  <c r="F1438" i="1"/>
  <c r="E1438" i="1"/>
  <c r="D1438" i="1"/>
  <c r="F1437" i="1"/>
  <c r="E1437" i="1"/>
  <c r="D1437" i="1"/>
  <c r="F1436" i="1"/>
  <c r="E1436" i="1"/>
  <c r="D1436" i="1"/>
  <c r="F1435" i="1"/>
  <c r="E1435" i="1"/>
  <c r="D1435" i="1"/>
  <c r="F1434" i="1"/>
  <c r="E1434" i="1"/>
  <c r="D1434" i="1"/>
  <c r="F1433" i="1"/>
  <c r="E1433" i="1"/>
  <c r="D1433" i="1"/>
  <c r="F1432" i="1"/>
  <c r="E1432" i="1"/>
  <c r="D1432" i="1"/>
  <c r="F1431" i="1"/>
  <c r="E1431" i="1"/>
  <c r="D1431" i="1"/>
  <c r="F1430" i="1"/>
  <c r="E1430" i="1"/>
  <c r="D1430" i="1"/>
  <c r="F1429" i="1"/>
  <c r="E1429" i="1"/>
  <c r="D1429" i="1"/>
  <c r="F1428" i="1"/>
  <c r="E1428" i="1"/>
  <c r="D1428" i="1"/>
  <c r="F1427" i="1"/>
  <c r="E1427" i="1"/>
  <c r="D1427" i="1"/>
  <c r="F1426" i="1"/>
  <c r="E1426" i="1"/>
  <c r="D1426" i="1"/>
  <c r="F1425" i="1"/>
  <c r="E1425" i="1"/>
  <c r="D1425" i="1"/>
  <c r="F1424" i="1"/>
  <c r="E1424" i="1"/>
  <c r="D1424" i="1"/>
  <c r="F1423" i="1"/>
  <c r="E1423" i="1"/>
  <c r="D1423" i="1"/>
  <c r="F1422" i="1"/>
  <c r="E1422" i="1"/>
  <c r="D1422" i="1"/>
  <c r="F1421" i="1"/>
  <c r="E1421" i="1"/>
  <c r="D1421" i="1"/>
  <c r="F1420" i="1"/>
  <c r="E1420" i="1"/>
  <c r="D1420" i="1"/>
  <c r="F1419" i="1"/>
  <c r="E1419" i="1"/>
  <c r="D1419" i="1"/>
  <c r="F1418" i="1"/>
  <c r="E1418" i="1"/>
  <c r="D1418" i="1"/>
  <c r="F1417" i="1"/>
  <c r="E1417" i="1"/>
  <c r="D1417" i="1"/>
  <c r="F1416" i="1"/>
  <c r="E1416" i="1"/>
  <c r="D1416" i="1"/>
  <c r="F1415" i="1"/>
  <c r="E1415" i="1"/>
  <c r="D1415" i="1"/>
  <c r="F1414" i="1"/>
  <c r="E1414" i="1"/>
  <c r="D1414" i="1"/>
  <c r="F1413" i="1"/>
  <c r="E1413" i="1"/>
  <c r="D1413" i="1"/>
  <c r="F1412" i="1"/>
  <c r="E1412" i="1"/>
  <c r="D1412" i="1"/>
  <c r="F1411" i="1"/>
  <c r="E1411" i="1"/>
  <c r="D1411" i="1"/>
  <c r="F1410" i="1"/>
  <c r="E1410" i="1"/>
  <c r="D1410" i="1"/>
  <c r="F1409" i="1"/>
  <c r="E1409" i="1"/>
  <c r="D1409" i="1"/>
  <c r="F1408" i="1"/>
  <c r="E1408" i="1"/>
  <c r="D1408" i="1"/>
  <c r="F1407" i="1"/>
  <c r="E1407" i="1"/>
  <c r="D1407" i="1"/>
  <c r="F1406" i="1"/>
  <c r="E1406" i="1"/>
  <c r="D1406" i="1"/>
  <c r="F1405" i="1"/>
  <c r="E1405" i="1"/>
  <c r="D1405" i="1"/>
  <c r="F1404" i="1"/>
  <c r="E1404" i="1"/>
  <c r="D1404" i="1"/>
  <c r="F1403" i="1"/>
  <c r="E1403" i="1"/>
  <c r="D1403" i="1"/>
  <c r="F1402" i="1"/>
  <c r="E1402" i="1"/>
  <c r="D1402" i="1"/>
  <c r="F1401" i="1"/>
  <c r="E1401" i="1"/>
  <c r="D1401" i="1"/>
  <c r="F1400" i="1"/>
  <c r="E1400" i="1"/>
  <c r="D1400" i="1"/>
  <c r="F1399" i="1"/>
  <c r="E1399" i="1"/>
  <c r="D1399" i="1"/>
  <c r="F1398" i="1"/>
  <c r="E1398" i="1"/>
  <c r="D1398" i="1"/>
  <c r="F1397" i="1"/>
  <c r="E1397" i="1"/>
  <c r="D1397" i="1"/>
  <c r="F1396" i="1"/>
  <c r="E1396" i="1"/>
  <c r="D1396" i="1"/>
  <c r="F1395" i="1"/>
  <c r="E1395" i="1"/>
  <c r="D1395" i="1"/>
  <c r="F1394" i="1"/>
  <c r="E1394" i="1"/>
  <c r="D1394" i="1"/>
  <c r="F1393" i="1"/>
  <c r="E1393" i="1"/>
  <c r="D1393" i="1"/>
  <c r="F1392" i="1"/>
  <c r="E1392" i="1"/>
  <c r="D1392" i="1"/>
  <c r="F1391" i="1"/>
  <c r="E1391" i="1"/>
  <c r="D1391" i="1"/>
  <c r="F1390" i="1"/>
  <c r="E1390" i="1"/>
  <c r="D1390" i="1"/>
  <c r="F1389" i="1"/>
  <c r="E1389" i="1"/>
  <c r="D1389" i="1"/>
  <c r="F1388" i="1"/>
  <c r="E1388" i="1"/>
  <c r="D1388" i="1"/>
  <c r="F1387" i="1"/>
  <c r="E1387" i="1"/>
  <c r="D1387" i="1"/>
  <c r="F1386" i="1"/>
  <c r="E1386" i="1"/>
  <c r="D1386" i="1"/>
  <c r="F1385" i="1"/>
  <c r="E1385" i="1"/>
  <c r="D1385" i="1"/>
  <c r="F1384" i="1"/>
  <c r="E1384" i="1"/>
  <c r="D1384" i="1"/>
  <c r="F1383" i="1"/>
  <c r="E1383" i="1"/>
  <c r="D1383" i="1"/>
  <c r="F1382" i="1"/>
  <c r="E1382" i="1"/>
  <c r="D1382" i="1"/>
  <c r="F1381" i="1"/>
  <c r="E1381" i="1"/>
  <c r="D1381" i="1"/>
  <c r="F1380" i="1"/>
  <c r="E1380" i="1"/>
  <c r="D1380" i="1"/>
  <c r="F1379" i="1"/>
  <c r="E1379" i="1"/>
  <c r="D1379" i="1"/>
  <c r="F1378" i="1"/>
  <c r="E1378" i="1"/>
  <c r="D1378" i="1"/>
  <c r="F1377" i="1"/>
  <c r="E1377" i="1"/>
  <c r="D1377" i="1"/>
  <c r="F1376" i="1"/>
  <c r="E1376" i="1"/>
  <c r="D1376" i="1"/>
  <c r="F1375" i="1"/>
  <c r="E1375" i="1"/>
  <c r="D1375" i="1"/>
  <c r="F1374" i="1"/>
  <c r="E1374" i="1"/>
  <c r="D1374" i="1"/>
  <c r="F1373" i="1"/>
  <c r="E1373" i="1"/>
  <c r="D1373" i="1"/>
  <c r="F1372" i="1"/>
  <c r="E1372" i="1"/>
  <c r="D1372" i="1"/>
  <c r="F1371" i="1"/>
  <c r="E1371" i="1"/>
  <c r="D1371" i="1"/>
  <c r="F1370" i="1"/>
  <c r="E1370" i="1"/>
  <c r="D1370" i="1"/>
  <c r="F1369" i="1"/>
  <c r="E1369" i="1"/>
  <c r="D1369" i="1"/>
  <c r="F1368" i="1"/>
  <c r="E1368" i="1"/>
  <c r="D1368" i="1"/>
  <c r="F1367" i="1"/>
  <c r="E1367" i="1"/>
  <c r="D1367" i="1"/>
  <c r="F1366" i="1"/>
  <c r="E1366" i="1"/>
  <c r="D1366" i="1"/>
  <c r="F1365" i="1"/>
  <c r="E1365" i="1"/>
  <c r="D1365" i="1"/>
  <c r="F1364" i="1"/>
  <c r="E1364" i="1"/>
  <c r="D1364" i="1"/>
  <c r="F1363" i="1"/>
  <c r="E1363" i="1"/>
  <c r="D1363" i="1"/>
  <c r="F1362" i="1"/>
  <c r="E1362" i="1"/>
  <c r="D1362" i="1"/>
  <c r="F1361" i="1"/>
  <c r="E1361" i="1"/>
  <c r="D1361" i="1"/>
  <c r="F1360" i="1"/>
  <c r="E1360" i="1"/>
  <c r="D1360" i="1"/>
  <c r="F1359" i="1"/>
  <c r="E1359" i="1"/>
  <c r="D1359" i="1"/>
  <c r="F1358" i="1"/>
  <c r="E1358" i="1"/>
  <c r="D1358" i="1"/>
  <c r="F1357" i="1"/>
  <c r="E1357" i="1"/>
  <c r="D1357" i="1"/>
  <c r="F1356" i="1"/>
  <c r="E1356" i="1"/>
  <c r="D1356" i="1"/>
  <c r="F1355" i="1"/>
  <c r="E1355" i="1"/>
  <c r="D1355" i="1"/>
  <c r="F1354" i="1"/>
  <c r="E1354" i="1"/>
  <c r="D1354" i="1"/>
  <c r="F1353" i="1"/>
  <c r="E1353" i="1"/>
  <c r="D1353" i="1"/>
  <c r="F1352" i="1"/>
  <c r="E1352" i="1"/>
  <c r="D1352" i="1"/>
  <c r="F1351" i="1"/>
  <c r="E1351" i="1"/>
  <c r="D1351" i="1"/>
  <c r="F1350" i="1"/>
  <c r="E1350" i="1"/>
  <c r="D1350" i="1"/>
  <c r="F1349" i="1"/>
  <c r="E1349" i="1"/>
  <c r="D1349" i="1"/>
  <c r="F1348" i="1"/>
  <c r="E1348" i="1"/>
  <c r="D1348" i="1"/>
  <c r="F1347" i="1"/>
  <c r="E1347" i="1"/>
  <c r="D1347" i="1"/>
  <c r="F1346" i="1"/>
  <c r="E1346" i="1"/>
  <c r="D1346" i="1"/>
  <c r="F1345" i="1"/>
  <c r="E1345" i="1"/>
  <c r="D1345" i="1"/>
  <c r="F1344" i="1"/>
  <c r="E1344" i="1"/>
  <c r="D1344" i="1"/>
  <c r="F1343" i="1"/>
  <c r="E1343" i="1"/>
  <c r="D1343" i="1"/>
  <c r="F1342" i="1"/>
  <c r="E1342" i="1"/>
  <c r="D1342" i="1"/>
  <c r="F1341" i="1"/>
  <c r="E1341" i="1"/>
  <c r="D1341" i="1"/>
  <c r="F1340" i="1"/>
  <c r="E1340" i="1"/>
  <c r="D1340" i="1"/>
  <c r="F1339" i="1"/>
  <c r="E1339" i="1"/>
  <c r="D1339" i="1"/>
  <c r="F1338" i="1"/>
  <c r="E1338" i="1"/>
  <c r="D1338" i="1"/>
  <c r="F1337" i="1"/>
  <c r="E1337" i="1"/>
  <c r="D1337" i="1"/>
  <c r="F1336" i="1"/>
  <c r="E1336" i="1"/>
  <c r="D1336" i="1"/>
  <c r="F1335" i="1"/>
  <c r="E1335" i="1"/>
  <c r="D1335" i="1"/>
  <c r="F1334" i="1"/>
  <c r="E1334" i="1"/>
  <c r="D1334" i="1"/>
  <c r="F1333" i="1"/>
  <c r="E1333" i="1"/>
  <c r="D1333" i="1"/>
  <c r="F1332" i="1"/>
  <c r="E1332" i="1"/>
  <c r="D1332" i="1"/>
  <c r="F1331" i="1"/>
  <c r="E1331" i="1"/>
  <c r="D1331" i="1"/>
  <c r="F1330" i="1"/>
  <c r="E1330" i="1"/>
  <c r="D1330" i="1"/>
  <c r="F1329" i="1"/>
  <c r="E1329" i="1"/>
  <c r="D1329" i="1"/>
  <c r="F1328" i="1"/>
  <c r="E1328" i="1"/>
  <c r="D1328" i="1"/>
  <c r="F1327" i="1"/>
  <c r="E1327" i="1"/>
  <c r="D1327" i="1"/>
  <c r="F1326" i="1"/>
  <c r="E1326" i="1"/>
  <c r="D1326" i="1"/>
  <c r="F1325" i="1"/>
  <c r="E1325" i="1"/>
  <c r="D1325" i="1"/>
  <c r="F1324" i="1"/>
  <c r="E1324" i="1"/>
  <c r="D1324" i="1"/>
  <c r="F1323" i="1"/>
  <c r="E1323" i="1"/>
  <c r="D1323" i="1"/>
  <c r="F1322" i="1"/>
  <c r="E1322" i="1"/>
  <c r="D1322" i="1"/>
  <c r="F1321" i="1"/>
  <c r="E1321" i="1"/>
  <c r="D1321" i="1"/>
  <c r="F1320" i="1"/>
  <c r="E1320" i="1"/>
  <c r="D1320" i="1"/>
  <c r="F1319" i="1"/>
  <c r="E1319" i="1"/>
  <c r="D1319" i="1"/>
  <c r="F1318" i="1"/>
  <c r="E1318" i="1"/>
  <c r="D1318" i="1"/>
  <c r="F1317" i="1"/>
  <c r="E1317" i="1"/>
  <c r="D1317" i="1"/>
  <c r="F1316" i="1"/>
  <c r="E1316" i="1"/>
  <c r="D1316" i="1"/>
  <c r="F1315" i="1"/>
  <c r="E1315" i="1"/>
  <c r="D1315" i="1"/>
  <c r="F1314" i="1"/>
  <c r="E1314" i="1"/>
  <c r="D1314" i="1"/>
  <c r="F1313" i="1"/>
  <c r="E1313" i="1"/>
  <c r="D1313" i="1"/>
  <c r="F1312" i="1"/>
  <c r="E1312" i="1"/>
  <c r="D1312" i="1"/>
  <c r="F1311" i="1"/>
  <c r="E1311" i="1"/>
  <c r="D1311" i="1"/>
  <c r="F1310" i="1"/>
  <c r="E1310" i="1"/>
  <c r="D1310" i="1"/>
  <c r="F1309" i="1"/>
  <c r="E1309" i="1"/>
  <c r="D1309" i="1"/>
  <c r="F1308" i="1"/>
  <c r="E1308" i="1"/>
  <c r="D1308" i="1"/>
  <c r="F1307" i="1"/>
  <c r="E1307" i="1"/>
  <c r="D1307" i="1"/>
  <c r="F1306" i="1"/>
  <c r="E1306" i="1"/>
  <c r="D1306" i="1"/>
  <c r="F1305" i="1"/>
  <c r="E1305" i="1"/>
  <c r="D1305" i="1"/>
  <c r="F1304" i="1"/>
  <c r="E1304" i="1"/>
  <c r="D1304" i="1"/>
  <c r="F1303" i="1"/>
  <c r="E1303" i="1"/>
  <c r="D1303" i="1"/>
  <c r="F1302" i="1"/>
  <c r="E1302" i="1"/>
  <c r="D1302" i="1"/>
  <c r="F1301" i="1"/>
  <c r="E1301" i="1"/>
  <c r="D1301" i="1"/>
  <c r="F1300" i="1"/>
  <c r="E1300" i="1"/>
  <c r="D1300" i="1"/>
  <c r="F1299" i="1"/>
  <c r="E1299" i="1"/>
  <c r="D1299" i="1"/>
  <c r="F1298" i="1"/>
  <c r="E1298" i="1"/>
  <c r="D1298" i="1"/>
  <c r="F1297" i="1"/>
  <c r="E1297" i="1"/>
  <c r="D1297" i="1"/>
  <c r="F1296" i="1"/>
  <c r="E1296" i="1"/>
  <c r="D1296" i="1"/>
  <c r="F1295" i="1"/>
  <c r="E1295" i="1"/>
  <c r="D1295" i="1"/>
  <c r="F1294" i="1"/>
  <c r="E1294" i="1"/>
  <c r="D1294" i="1"/>
  <c r="F1293" i="1"/>
  <c r="E1293" i="1"/>
  <c r="D1293" i="1"/>
  <c r="F1292" i="1"/>
  <c r="E1292" i="1"/>
  <c r="D1292" i="1"/>
  <c r="F1291" i="1"/>
  <c r="E1291" i="1"/>
  <c r="D1291" i="1"/>
  <c r="F1290" i="1"/>
  <c r="E1290" i="1"/>
  <c r="D1290" i="1"/>
  <c r="F1289" i="1"/>
  <c r="E1289" i="1"/>
  <c r="D1289" i="1"/>
  <c r="F1288" i="1"/>
  <c r="E1288" i="1"/>
  <c r="D1288" i="1"/>
  <c r="F1287" i="1"/>
  <c r="E1287" i="1"/>
  <c r="D1287" i="1"/>
  <c r="F1286" i="1"/>
  <c r="E1286" i="1"/>
  <c r="D1286" i="1"/>
  <c r="F1285" i="1"/>
  <c r="E1285" i="1"/>
  <c r="D1285" i="1"/>
  <c r="F1284" i="1"/>
  <c r="E1284" i="1"/>
  <c r="D1284" i="1"/>
  <c r="F1283" i="1"/>
  <c r="E1283" i="1"/>
  <c r="D1283" i="1"/>
  <c r="F1282" i="1"/>
  <c r="E1282" i="1"/>
  <c r="D1282" i="1"/>
  <c r="F1281" i="1"/>
  <c r="E1281" i="1"/>
  <c r="D1281" i="1"/>
  <c r="F1280" i="1"/>
  <c r="E1280" i="1"/>
  <c r="D1280" i="1"/>
  <c r="F1279" i="1"/>
  <c r="E1279" i="1"/>
  <c r="D1279" i="1"/>
  <c r="F1278" i="1"/>
  <c r="E1278" i="1"/>
  <c r="D1278" i="1"/>
  <c r="F1277" i="1"/>
  <c r="E1277" i="1"/>
  <c r="D1277" i="1"/>
  <c r="F1276" i="1"/>
  <c r="E1276" i="1"/>
  <c r="D1276" i="1"/>
  <c r="F1275" i="1"/>
  <c r="E1275" i="1"/>
  <c r="D1275" i="1"/>
  <c r="F1274" i="1"/>
  <c r="E1274" i="1"/>
  <c r="D1274" i="1"/>
  <c r="F1273" i="1"/>
  <c r="E1273" i="1"/>
  <c r="D1273" i="1"/>
  <c r="F1272" i="1"/>
  <c r="E1272" i="1"/>
  <c r="D1272" i="1"/>
  <c r="F1271" i="1"/>
  <c r="E1271" i="1"/>
  <c r="D1271" i="1"/>
  <c r="F1270" i="1"/>
  <c r="E1270" i="1"/>
  <c r="D1270" i="1"/>
  <c r="F1269" i="1"/>
  <c r="E1269" i="1"/>
  <c r="D1269" i="1"/>
  <c r="F1268" i="1"/>
  <c r="E1268" i="1"/>
  <c r="D1268" i="1"/>
  <c r="F1267" i="1"/>
  <c r="E1267" i="1"/>
  <c r="D1267" i="1"/>
  <c r="F1266" i="1"/>
  <c r="E1266" i="1"/>
  <c r="D1266" i="1"/>
  <c r="F1265" i="1"/>
  <c r="E1265" i="1"/>
  <c r="D1265" i="1"/>
  <c r="F1264" i="1"/>
  <c r="E1264" i="1"/>
  <c r="D1264" i="1"/>
  <c r="F1263" i="1"/>
  <c r="E1263" i="1"/>
  <c r="D1263" i="1"/>
  <c r="F1262" i="1"/>
  <c r="E1262" i="1"/>
  <c r="D1262" i="1"/>
  <c r="F1261" i="1"/>
  <c r="E1261" i="1"/>
  <c r="D1261" i="1"/>
  <c r="F1260" i="1"/>
  <c r="E1260" i="1"/>
  <c r="D1260" i="1"/>
  <c r="F1259" i="1"/>
  <c r="E1259" i="1"/>
  <c r="D1259" i="1"/>
  <c r="F1258" i="1"/>
  <c r="E1258" i="1"/>
  <c r="D1258" i="1"/>
  <c r="F1257" i="1"/>
  <c r="E1257" i="1"/>
  <c r="D1257" i="1"/>
  <c r="F1256" i="1"/>
  <c r="E1256" i="1"/>
  <c r="D1256" i="1"/>
  <c r="F1255" i="1"/>
  <c r="E1255" i="1"/>
  <c r="D1255" i="1"/>
  <c r="F1254" i="1"/>
  <c r="E1254" i="1"/>
  <c r="D1254" i="1"/>
  <c r="F1253" i="1"/>
  <c r="E1253" i="1"/>
  <c r="D1253" i="1"/>
  <c r="F1252" i="1"/>
  <c r="E1252" i="1"/>
  <c r="D1252" i="1"/>
  <c r="F1251" i="1"/>
  <c r="E1251" i="1"/>
  <c r="D1251" i="1"/>
  <c r="F1250" i="1"/>
  <c r="E1250" i="1"/>
  <c r="D1250" i="1"/>
  <c r="F1249" i="1"/>
  <c r="E1249" i="1"/>
  <c r="D1249" i="1"/>
  <c r="F1248" i="1"/>
  <c r="E1248" i="1"/>
  <c r="D1248" i="1"/>
  <c r="F1247" i="1"/>
  <c r="E1247" i="1"/>
  <c r="D1247" i="1"/>
  <c r="F1246" i="1"/>
  <c r="E1246" i="1"/>
  <c r="D1246" i="1"/>
  <c r="F1245" i="1"/>
  <c r="E1245" i="1"/>
  <c r="D1245" i="1"/>
  <c r="F1244" i="1"/>
  <c r="E1244" i="1"/>
  <c r="D1244" i="1"/>
  <c r="F1243" i="1"/>
  <c r="E1243" i="1"/>
  <c r="D1243" i="1"/>
  <c r="F1242" i="1"/>
  <c r="E1242" i="1"/>
  <c r="D1242" i="1"/>
  <c r="F1241" i="1"/>
  <c r="E1241" i="1"/>
  <c r="D1241" i="1"/>
  <c r="F1240" i="1"/>
  <c r="E1240" i="1"/>
  <c r="D1240" i="1"/>
  <c r="F1239" i="1"/>
  <c r="E1239" i="1"/>
  <c r="D1239" i="1"/>
  <c r="F1238" i="1"/>
  <c r="E1238" i="1"/>
  <c r="D1238" i="1"/>
  <c r="F1237" i="1"/>
  <c r="E1237" i="1"/>
  <c r="D1237" i="1"/>
  <c r="F1236" i="1"/>
  <c r="E1236" i="1"/>
  <c r="D1236" i="1"/>
  <c r="F1235" i="1"/>
  <c r="E1235" i="1"/>
  <c r="D1235" i="1"/>
  <c r="F1234" i="1"/>
  <c r="E1234" i="1"/>
  <c r="D1234" i="1"/>
  <c r="F1233" i="1"/>
  <c r="E1233" i="1"/>
  <c r="D1233" i="1"/>
  <c r="F1232" i="1"/>
  <c r="E1232" i="1"/>
  <c r="D1232" i="1"/>
  <c r="F1231" i="1"/>
  <c r="E1231" i="1"/>
  <c r="D1231" i="1"/>
  <c r="F1230" i="1"/>
  <c r="E1230" i="1"/>
  <c r="D1230" i="1"/>
  <c r="F1229" i="1"/>
  <c r="E1229" i="1"/>
  <c r="D1229" i="1"/>
  <c r="F1228" i="1"/>
  <c r="E1228" i="1"/>
  <c r="D1228" i="1"/>
  <c r="F1227" i="1"/>
  <c r="E1227" i="1"/>
  <c r="D1227" i="1"/>
  <c r="F1226" i="1"/>
  <c r="E1226" i="1"/>
  <c r="D1226" i="1"/>
  <c r="F1225" i="1"/>
  <c r="E1225" i="1"/>
  <c r="D1225" i="1"/>
  <c r="F1224" i="1"/>
  <c r="E1224" i="1"/>
  <c r="D1224" i="1"/>
  <c r="F1223" i="1"/>
  <c r="E1223" i="1"/>
  <c r="D1223" i="1"/>
  <c r="F1222" i="1"/>
  <c r="E1222" i="1"/>
  <c r="D1222" i="1"/>
  <c r="F1221" i="1"/>
  <c r="E1221" i="1"/>
  <c r="D1221" i="1"/>
  <c r="F1220" i="1"/>
  <c r="E1220" i="1"/>
  <c r="D1220" i="1"/>
  <c r="F1219" i="1"/>
  <c r="E1219" i="1"/>
  <c r="D1219" i="1"/>
  <c r="F1218" i="1"/>
  <c r="E1218" i="1"/>
  <c r="D1218" i="1"/>
  <c r="F1217" i="1"/>
  <c r="E1217" i="1"/>
  <c r="D1217" i="1"/>
  <c r="F1216" i="1"/>
  <c r="E1216" i="1"/>
  <c r="D1216" i="1"/>
  <c r="F1215" i="1"/>
  <c r="E1215" i="1"/>
  <c r="D1215" i="1"/>
  <c r="F1214" i="1"/>
  <c r="E1214" i="1"/>
  <c r="D1214" i="1"/>
  <c r="F1213" i="1"/>
  <c r="E1213" i="1"/>
  <c r="D1213" i="1"/>
  <c r="F1212" i="1"/>
  <c r="E1212" i="1"/>
  <c r="D1212" i="1"/>
  <c r="F1211" i="1"/>
  <c r="E1211" i="1"/>
  <c r="D1211" i="1"/>
  <c r="F1210" i="1"/>
  <c r="E1210" i="1"/>
  <c r="D1210" i="1"/>
  <c r="F1209" i="1"/>
  <c r="E1209" i="1"/>
  <c r="D1209" i="1"/>
  <c r="F1208" i="1"/>
  <c r="E1208" i="1"/>
  <c r="D1208" i="1"/>
  <c r="F1207" i="1"/>
  <c r="E1207" i="1"/>
  <c r="D1207" i="1"/>
  <c r="F1206" i="1"/>
  <c r="E1206" i="1"/>
  <c r="D1206" i="1"/>
  <c r="F1205" i="1"/>
  <c r="E1205" i="1"/>
  <c r="D1205" i="1"/>
  <c r="F1204" i="1"/>
  <c r="E1204" i="1"/>
  <c r="D1204" i="1"/>
  <c r="F1203" i="1"/>
  <c r="E1203" i="1"/>
  <c r="D1203" i="1"/>
  <c r="F1202" i="1"/>
  <c r="E1202" i="1"/>
  <c r="D1202" i="1"/>
  <c r="F1201" i="1"/>
  <c r="E1201" i="1"/>
  <c r="D1201" i="1"/>
  <c r="F1200" i="1"/>
  <c r="E1200" i="1"/>
  <c r="D1200" i="1"/>
  <c r="F1199" i="1"/>
  <c r="E1199" i="1"/>
  <c r="D1199" i="1"/>
  <c r="F1198" i="1"/>
  <c r="E1198" i="1"/>
  <c r="D1198" i="1"/>
  <c r="F1197" i="1"/>
  <c r="E1197" i="1"/>
  <c r="D1197" i="1"/>
  <c r="F1196" i="1"/>
  <c r="E1196" i="1"/>
  <c r="D1196" i="1"/>
  <c r="F1195" i="1"/>
  <c r="E1195" i="1"/>
  <c r="D1195" i="1"/>
  <c r="F1194" i="1"/>
  <c r="E1194" i="1"/>
  <c r="D1194" i="1"/>
  <c r="F1193" i="1"/>
  <c r="E1193" i="1"/>
  <c r="D1193" i="1"/>
  <c r="F1192" i="1"/>
  <c r="E1192" i="1"/>
  <c r="D1192" i="1"/>
  <c r="F1191" i="1"/>
  <c r="E1191" i="1"/>
  <c r="D1191" i="1"/>
  <c r="F1190" i="1"/>
  <c r="E1190" i="1"/>
  <c r="D1190" i="1"/>
  <c r="F1189" i="1"/>
  <c r="E1189" i="1"/>
  <c r="D1189" i="1"/>
  <c r="F1188" i="1"/>
  <c r="E1188" i="1"/>
  <c r="D1188" i="1"/>
  <c r="F1187" i="1"/>
  <c r="E1187" i="1"/>
  <c r="D1187" i="1"/>
  <c r="F1186" i="1"/>
  <c r="E1186" i="1"/>
  <c r="D1186" i="1"/>
  <c r="F1185" i="1"/>
  <c r="E1185" i="1"/>
  <c r="D1185" i="1"/>
  <c r="F1184" i="1"/>
  <c r="E1184" i="1"/>
  <c r="D1184" i="1"/>
  <c r="F1183" i="1"/>
  <c r="E1183" i="1"/>
  <c r="D1183" i="1"/>
  <c r="F1182" i="1"/>
  <c r="E1182" i="1"/>
  <c r="D1182" i="1"/>
  <c r="F1181" i="1"/>
  <c r="E1181" i="1"/>
  <c r="D1181" i="1"/>
  <c r="F1180" i="1"/>
  <c r="E1180" i="1"/>
  <c r="D1180" i="1"/>
  <c r="F1179" i="1"/>
  <c r="E1179" i="1"/>
  <c r="D1179" i="1"/>
  <c r="F1178" i="1"/>
  <c r="E1178" i="1"/>
  <c r="D1178" i="1"/>
  <c r="F1177" i="1"/>
  <c r="E1177" i="1"/>
  <c r="D1177" i="1"/>
  <c r="F1176" i="1"/>
  <c r="E1176" i="1"/>
  <c r="D1176" i="1"/>
  <c r="F1175" i="1"/>
  <c r="E1175" i="1"/>
  <c r="D1175" i="1"/>
  <c r="F1174" i="1"/>
  <c r="E1174" i="1"/>
  <c r="D1174" i="1"/>
  <c r="F1173" i="1"/>
  <c r="E1173" i="1"/>
  <c r="D1173" i="1"/>
  <c r="F1172" i="1"/>
  <c r="E1172" i="1"/>
  <c r="D1172" i="1"/>
  <c r="F1171" i="1"/>
  <c r="E1171" i="1"/>
  <c r="D1171" i="1"/>
  <c r="F1170" i="1"/>
  <c r="E1170" i="1"/>
  <c r="D1170" i="1"/>
  <c r="F1169" i="1"/>
  <c r="E1169" i="1"/>
  <c r="D1169" i="1"/>
  <c r="F1168" i="1"/>
  <c r="E1168" i="1"/>
  <c r="D1168" i="1"/>
  <c r="F1167" i="1"/>
  <c r="E1167" i="1"/>
  <c r="D1167" i="1"/>
  <c r="F1166" i="1"/>
  <c r="E1166" i="1"/>
  <c r="D1166" i="1"/>
  <c r="F1165" i="1"/>
  <c r="E1165" i="1"/>
  <c r="D1165" i="1"/>
  <c r="F1164" i="1"/>
  <c r="E1164" i="1"/>
  <c r="D1164" i="1"/>
  <c r="F1163" i="1"/>
  <c r="E1163" i="1"/>
  <c r="D1163" i="1"/>
  <c r="F1162" i="1"/>
  <c r="E1162" i="1"/>
  <c r="D1162" i="1"/>
  <c r="F1161" i="1"/>
  <c r="E1161" i="1"/>
  <c r="D1161" i="1"/>
  <c r="F1160" i="1"/>
  <c r="E1160" i="1"/>
  <c r="D1160" i="1"/>
  <c r="F1159" i="1"/>
  <c r="E1159" i="1"/>
  <c r="D1159" i="1"/>
  <c r="F1158" i="1"/>
  <c r="E1158" i="1"/>
  <c r="D1158" i="1"/>
  <c r="F1157" i="1"/>
  <c r="E1157" i="1"/>
  <c r="D1157" i="1"/>
  <c r="F1156" i="1"/>
  <c r="E1156" i="1"/>
  <c r="D1156" i="1"/>
  <c r="F1155" i="1"/>
  <c r="E1155" i="1"/>
  <c r="D1155" i="1"/>
  <c r="F1154" i="1"/>
  <c r="E1154" i="1"/>
  <c r="D1154" i="1"/>
  <c r="F1153" i="1"/>
  <c r="E1153" i="1"/>
  <c r="D1153" i="1"/>
  <c r="F1152" i="1"/>
  <c r="E1152" i="1"/>
  <c r="D1152" i="1"/>
  <c r="F1151" i="1"/>
  <c r="E1151" i="1"/>
  <c r="D1151" i="1"/>
  <c r="F1150" i="1"/>
  <c r="E1150" i="1"/>
  <c r="D1150" i="1"/>
  <c r="F1149" i="1"/>
  <c r="E1149" i="1"/>
  <c r="D1149" i="1"/>
  <c r="F1148" i="1"/>
  <c r="E1148" i="1"/>
  <c r="D1148" i="1"/>
  <c r="F1147" i="1"/>
  <c r="E1147" i="1"/>
  <c r="D1147" i="1"/>
  <c r="F1146" i="1"/>
  <c r="E1146" i="1"/>
  <c r="D1146" i="1"/>
  <c r="F1145" i="1"/>
  <c r="E1145" i="1"/>
  <c r="D1145" i="1"/>
  <c r="F1144" i="1"/>
  <c r="E1144" i="1"/>
  <c r="D1144" i="1"/>
  <c r="F1143" i="1"/>
  <c r="E1143" i="1"/>
  <c r="D1143" i="1"/>
  <c r="F1142" i="1"/>
  <c r="E1142" i="1"/>
  <c r="D1142" i="1"/>
  <c r="F1141" i="1"/>
  <c r="E1141" i="1"/>
  <c r="D1141" i="1"/>
  <c r="F1140" i="1"/>
  <c r="E1140" i="1"/>
  <c r="D1140" i="1"/>
  <c r="F1139" i="1"/>
  <c r="E1139" i="1"/>
  <c r="D1139" i="1"/>
  <c r="F1138" i="1"/>
  <c r="E1138" i="1"/>
  <c r="D1138" i="1"/>
  <c r="F1137" i="1"/>
  <c r="E1137" i="1"/>
  <c r="D1137" i="1"/>
  <c r="F1136" i="1"/>
  <c r="E1136" i="1"/>
  <c r="D1136" i="1"/>
  <c r="F1135" i="1"/>
  <c r="E1135" i="1"/>
  <c r="D1135" i="1"/>
  <c r="F1134" i="1"/>
  <c r="E1134" i="1"/>
  <c r="D1134" i="1"/>
  <c r="F1133" i="1"/>
  <c r="E1133" i="1"/>
  <c r="D1133" i="1"/>
  <c r="F1132" i="1"/>
  <c r="E1132" i="1"/>
  <c r="D1132" i="1"/>
  <c r="F1131" i="1"/>
  <c r="E1131" i="1"/>
  <c r="D1131" i="1"/>
  <c r="F1130" i="1"/>
  <c r="E1130" i="1"/>
  <c r="D1130" i="1"/>
  <c r="F1129" i="1"/>
  <c r="E1129" i="1"/>
  <c r="D1129" i="1"/>
  <c r="F1128" i="1"/>
  <c r="E1128" i="1"/>
  <c r="D1128" i="1"/>
  <c r="F1127" i="1"/>
  <c r="E1127" i="1"/>
  <c r="D1127" i="1"/>
  <c r="F1126" i="1"/>
  <c r="E1126" i="1"/>
  <c r="D1126" i="1"/>
  <c r="F1125" i="1"/>
  <c r="E1125" i="1"/>
  <c r="D1125" i="1"/>
  <c r="F1124" i="1"/>
  <c r="E1124" i="1"/>
  <c r="D1124" i="1"/>
  <c r="F1123" i="1"/>
  <c r="E1123" i="1"/>
  <c r="D1123" i="1"/>
  <c r="F1122" i="1"/>
  <c r="E1122" i="1"/>
  <c r="D1122" i="1"/>
  <c r="F1121" i="1"/>
  <c r="E1121" i="1"/>
  <c r="D1121" i="1"/>
  <c r="F1120" i="1"/>
  <c r="E1120" i="1"/>
  <c r="D1120" i="1"/>
  <c r="F1119" i="1"/>
  <c r="E1119" i="1"/>
  <c r="D1119" i="1"/>
  <c r="F1118" i="1"/>
  <c r="E1118" i="1"/>
  <c r="D1118" i="1"/>
  <c r="F1117" i="1"/>
  <c r="E1117" i="1"/>
  <c r="D1117" i="1"/>
  <c r="F1116" i="1"/>
  <c r="E1116" i="1"/>
  <c r="D1116" i="1"/>
  <c r="F1115" i="1"/>
  <c r="E1115" i="1"/>
  <c r="D1115" i="1"/>
  <c r="F1114" i="1"/>
  <c r="E1114" i="1"/>
  <c r="D1114" i="1"/>
  <c r="F1113" i="1"/>
  <c r="E1113" i="1"/>
  <c r="D1113" i="1"/>
  <c r="F1112" i="1"/>
  <c r="E1112" i="1"/>
  <c r="D1112" i="1"/>
  <c r="F1111" i="1"/>
  <c r="E1111" i="1"/>
  <c r="D1111" i="1"/>
  <c r="F1110" i="1"/>
  <c r="E1110" i="1"/>
  <c r="D1110" i="1"/>
  <c r="F1109" i="1"/>
  <c r="E1109" i="1"/>
  <c r="D1109" i="1"/>
  <c r="F1108" i="1"/>
  <c r="E1108" i="1"/>
  <c r="D1108" i="1"/>
  <c r="F1107" i="1"/>
  <c r="E1107" i="1"/>
  <c r="D1107" i="1"/>
  <c r="F1106" i="1"/>
  <c r="E1106" i="1"/>
  <c r="D1106" i="1"/>
  <c r="F1105" i="1"/>
  <c r="E1105" i="1"/>
  <c r="D1105" i="1"/>
  <c r="F1104" i="1"/>
  <c r="E1104" i="1"/>
  <c r="D1104" i="1"/>
  <c r="F1103" i="1"/>
  <c r="E1103" i="1"/>
  <c r="D1103" i="1"/>
  <c r="F1102" i="1"/>
  <c r="E1102" i="1"/>
  <c r="D1102" i="1"/>
  <c r="F1101" i="1"/>
  <c r="E1101" i="1"/>
  <c r="D1101" i="1"/>
  <c r="F1100" i="1"/>
  <c r="E1100" i="1"/>
  <c r="D1100" i="1"/>
  <c r="F1099" i="1"/>
  <c r="E1099" i="1"/>
  <c r="D1099" i="1"/>
  <c r="F1098" i="1"/>
  <c r="E1098" i="1"/>
  <c r="D1098" i="1"/>
  <c r="F1097" i="1"/>
  <c r="E1097" i="1"/>
  <c r="D1097" i="1"/>
  <c r="F1096" i="1"/>
  <c r="E1096" i="1"/>
  <c r="D1096" i="1"/>
  <c r="F1095" i="1"/>
  <c r="E1095" i="1"/>
  <c r="D1095" i="1"/>
  <c r="F1094" i="1"/>
  <c r="E1094" i="1"/>
  <c r="D1094" i="1"/>
  <c r="F1093" i="1"/>
  <c r="E1093" i="1"/>
  <c r="D1093" i="1"/>
  <c r="F1092" i="1"/>
  <c r="E1092" i="1"/>
  <c r="D1092" i="1"/>
  <c r="F1091" i="1"/>
  <c r="E1091" i="1"/>
  <c r="D1091" i="1"/>
  <c r="F1090" i="1"/>
  <c r="E1090" i="1"/>
  <c r="D1090" i="1"/>
  <c r="F1089" i="1"/>
  <c r="E1089" i="1"/>
  <c r="D1089" i="1"/>
  <c r="F1088" i="1"/>
  <c r="E1088" i="1"/>
  <c r="D1088" i="1"/>
  <c r="F1087" i="1"/>
  <c r="E1087" i="1"/>
  <c r="D1087" i="1"/>
  <c r="F1086" i="1"/>
  <c r="E1086" i="1"/>
  <c r="D1086" i="1"/>
  <c r="F1085" i="1"/>
  <c r="E1085" i="1"/>
  <c r="D1085" i="1"/>
  <c r="F1084" i="1"/>
  <c r="E1084" i="1"/>
  <c r="D1084" i="1"/>
  <c r="F1083" i="1"/>
  <c r="E1083" i="1"/>
  <c r="D1083" i="1"/>
  <c r="F1082" i="1"/>
  <c r="E1082" i="1"/>
  <c r="D1082" i="1"/>
  <c r="F1081" i="1"/>
  <c r="E1081" i="1"/>
  <c r="D1081" i="1"/>
  <c r="F1080" i="1"/>
  <c r="E1080" i="1"/>
  <c r="D1080" i="1"/>
  <c r="F1079" i="1"/>
  <c r="E1079" i="1"/>
  <c r="D1079" i="1"/>
  <c r="F1078" i="1"/>
  <c r="E1078" i="1"/>
  <c r="D1078" i="1"/>
  <c r="F1077" i="1"/>
  <c r="E1077" i="1"/>
  <c r="D1077" i="1"/>
  <c r="F1076" i="1"/>
  <c r="E1076" i="1"/>
  <c r="D1076" i="1"/>
  <c r="F1075" i="1"/>
  <c r="E1075" i="1"/>
  <c r="D1075" i="1"/>
  <c r="F1074" i="1"/>
  <c r="E1074" i="1"/>
  <c r="D1074" i="1"/>
  <c r="F1073" i="1"/>
  <c r="E1073" i="1"/>
  <c r="D1073" i="1"/>
  <c r="F1072" i="1"/>
  <c r="E1072" i="1"/>
  <c r="D1072" i="1"/>
  <c r="F1071" i="1"/>
  <c r="E1071" i="1"/>
  <c r="D1071" i="1"/>
  <c r="F1070" i="1"/>
  <c r="E1070" i="1"/>
  <c r="D1070" i="1"/>
  <c r="F1069" i="1"/>
  <c r="E1069" i="1"/>
  <c r="D1069" i="1"/>
  <c r="F1068" i="1"/>
  <c r="E1068" i="1"/>
  <c r="D1068" i="1"/>
  <c r="F1067" i="1"/>
  <c r="E1067" i="1"/>
  <c r="D1067" i="1"/>
  <c r="F1066" i="1"/>
  <c r="E1066" i="1"/>
  <c r="D1066" i="1"/>
  <c r="F1065" i="1"/>
  <c r="E1065" i="1"/>
  <c r="D1065" i="1"/>
  <c r="F1064" i="1"/>
  <c r="E1064" i="1"/>
  <c r="D1064" i="1"/>
  <c r="F1063" i="1"/>
  <c r="E1063" i="1"/>
  <c r="D1063" i="1"/>
  <c r="F1062" i="1"/>
  <c r="E1062" i="1"/>
  <c r="D1062" i="1"/>
  <c r="F1061" i="1"/>
  <c r="E1061" i="1"/>
  <c r="D1061" i="1"/>
  <c r="F1060" i="1"/>
  <c r="E1060" i="1"/>
  <c r="D1060" i="1"/>
  <c r="F1059" i="1"/>
  <c r="E1059" i="1"/>
  <c r="D1059" i="1"/>
  <c r="F1058" i="1"/>
  <c r="E1058" i="1"/>
  <c r="D1058" i="1"/>
  <c r="F1057" i="1"/>
  <c r="E1057" i="1"/>
  <c r="D1057" i="1"/>
  <c r="F1056" i="1"/>
  <c r="E1056" i="1"/>
  <c r="D1056" i="1"/>
  <c r="F1055" i="1"/>
  <c r="E1055" i="1"/>
  <c r="D1055" i="1"/>
  <c r="F1054" i="1"/>
  <c r="E1054" i="1"/>
  <c r="D1054" i="1"/>
  <c r="F1053" i="1"/>
  <c r="E1053" i="1"/>
  <c r="D1053" i="1"/>
  <c r="F1052" i="1"/>
  <c r="E1052" i="1"/>
  <c r="D1052" i="1"/>
  <c r="F1051" i="1"/>
  <c r="E1051" i="1"/>
  <c r="D1051" i="1"/>
  <c r="F1050" i="1"/>
  <c r="E1050" i="1"/>
  <c r="D1050" i="1"/>
  <c r="F1049" i="1"/>
  <c r="E1049" i="1"/>
  <c r="D1049" i="1"/>
  <c r="F1048" i="1"/>
  <c r="E1048" i="1"/>
  <c r="D1048" i="1"/>
  <c r="F1047" i="1"/>
  <c r="E1047" i="1"/>
  <c r="D1047" i="1"/>
  <c r="F1046" i="1"/>
  <c r="E1046" i="1"/>
  <c r="D1046" i="1"/>
  <c r="F1045" i="1"/>
  <c r="E1045" i="1"/>
  <c r="D1045" i="1"/>
  <c r="F1044" i="1"/>
  <c r="E1044" i="1"/>
  <c r="D1044" i="1"/>
  <c r="F1043" i="1"/>
  <c r="E1043" i="1"/>
  <c r="D1043" i="1"/>
  <c r="F1042" i="1"/>
  <c r="E1042" i="1"/>
  <c r="D1042" i="1"/>
  <c r="F1041" i="1"/>
  <c r="E1041" i="1"/>
  <c r="D1041" i="1"/>
  <c r="F1040" i="1"/>
  <c r="E1040" i="1"/>
  <c r="D1040" i="1"/>
  <c r="F1039" i="1"/>
  <c r="E1039" i="1"/>
  <c r="D1039" i="1"/>
  <c r="F1038" i="1"/>
  <c r="E1038" i="1"/>
  <c r="D1038" i="1"/>
  <c r="F1037" i="1"/>
  <c r="E1037" i="1"/>
  <c r="D1037" i="1"/>
  <c r="F1036" i="1"/>
  <c r="E1036" i="1"/>
  <c r="D1036" i="1"/>
  <c r="F1035" i="1"/>
  <c r="E1035" i="1"/>
  <c r="D1035" i="1"/>
  <c r="F1034" i="1"/>
  <c r="E1034" i="1"/>
  <c r="D1034" i="1"/>
  <c r="F1033" i="1"/>
  <c r="E1033" i="1"/>
  <c r="D1033" i="1"/>
  <c r="F1032" i="1"/>
  <c r="E1032" i="1"/>
  <c r="D1032" i="1"/>
  <c r="F1031" i="1"/>
  <c r="E1031" i="1"/>
  <c r="D1031" i="1"/>
  <c r="F1030" i="1"/>
  <c r="E1030" i="1"/>
  <c r="D1030" i="1"/>
  <c r="F1029" i="1"/>
  <c r="E1029" i="1"/>
  <c r="D1029" i="1"/>
  <c r="F1028" i="1"/>
  <c r="E1028" i="1"/>
  <c r="D1028" i="1"/>
  <c r="F1027" i="1"/>
  <c r="E1027" i="1"/>
  <c r="D1027" i="1"/>
  <c r="F1026" i="1"/>
  <c r="E1026" i="1"/>
  <c r="D1026" i="1"/>
  <c r="F1025" i="1"/>
  <c r="E1025" i="1"/>
  <c r="D1025" i="1"/>
  <c r="F1024" i="1"/>
  <c r="E1024" i="1"/>
  <c r="D1024" i="1"/>
  <c r="F1023" i="1"/>
  <c r="E1023" i="1"/>
  <c r="D1023" i="1"/>
  <c r="F1022" i="1"/>
  <c r="E1022" i="1"/>
  <c r="D1022" i="1"/>
  <c r="F1021" i="1"/>
  <c r="E1021" i="1"/>
  <c r="D1021" i="1"/>
  <c r="F1020" i="1"/>
  <c r="E1020" i="1"/>
  <c r="D1020" i="1"/>
  <c r="F1019" i="1"/>
  <c r="E1019" i="1"/>
  <c r="D1019" i="1"/>
  <c r="F1018" i="1"/>
  <c r="E1018" i="1"/>
  <c r="D1018" i="1"/>
  <c r="F1017" i="1"/>
  <c r="E1017" i="1"/>
  <c r="D1017" i="1"/>
  <c r="F1016" i="1"/>
  <c r="E1016" i="1"/>
  <c r="D1016" i="1"/>
  <c r="F1015" i="1"/>
  <c r="E1015" i="1"/>
  <c r="D1015" i="1"/>
  <c r="F1014" i="1"/>
  <c r="E1014" i="1"/>
  <c r="D1014" i="1"/>
  <c r="F1013" i="1"/>
  <c r="E1013" i="1"/>
  <c r="D1013" i="1"/>
  <c r="F1012" i="1"/>
  <c r="E1012" i="1"/>
  <c r="D1012" i="1"/>
  <c r="F1011" i="1"/>
  <c r="E1011" i="1"/>
  <c r="D1011" i="1"/>
  <c r="F1010" i="1"/>
  <c r="E1010" i="1"/>
  <c r="D1010" i="1"/>
  <c r="F1009" i="1"/>
  <c r="E1009" i="1"/>
  <c r="D1009" i="1"/>
  <c r="F1008" i="1"/>
  <c r="E1008" i="1"/>
  <c r="D1008" i="1"/>
  <c r="F1007" i="1"/>
  <c r="E1007" i="1"/>
  <c r="D1007" i="1"/>
  <c r="F1006" i="1"/>
  <c r="E1006" i="1"/>
  <c r="D1006" i="1"/>
  <c r="F1005" i="1"/>
  <c r="E1005" i="1"/>
  <c r="D1005" i="1"/>
  <c r="F1004" i="1"/>
  <c r="E1004" i="1"/>
  <c r="D1004" i="1"/>
  <c r="F1003" i="1"/>
  <c r="E1003" i="1"/>
  <c r="D1003" i="1"/>
  <c r="F1002" i="1"/>
  <c r="E1002" i="1"/>
  <c r="D1002" i="1"/>
  <c r="F1001" i="1"/>
  <c r="E1001" i="1"/>
  <c r="D1001" i="1"/>
  <c r="F1000" i="1"/>
  <c r="E1000" i="1"/>
  <c r="D1000" i="1"/>
  <c r="F999" i="1"/>
  <c r="E999" i="1"/>
  <c r="D999" i="1"/>
  <c r="F998" i="1"/>
  <c r="E998" i="1"/>
  <c r="D998" i="1"/>
  <c r="F997" i="1"/>
  <c r="E997" i="1"/>
  <c r="D997" i="1"/>
  <c r="F996" i="1"/>
  <c r="E996" i="1"/>
  <c r="D996" i="1"/>
  <c r="F995" i="1"/>
  <c r="E995" i="1"/>
  <c r="D995" i="1"/>
  <c r="F994" i="1"/>
  <c r="E994" i="1"/>
  <c r="D994" i="1"/>
  <c r="F993" i="1"/>
  <c r="E993" i="1"/>
  <c r="D993" i="1"/>
  <c r="F992" i="1"/>
  <c r="E992" i="1"/>
  <c r="D992" i="1"/>
  <c r="F991" i="1"/>
  <c r="E991" i="1"/>
  <c r="D991" i="1"/>
  <c r="F990" i="1"/>
  <c r="E990" i="1"/>
  <c r="D990" i="1"/>
  <c r="F989" i="1"/>
  <c r="E989" i="1"/>
  <c r="D989" i="1"/>
  <c r="F988" i="1"/>
  <c r="E988" i="1"/>
  <c r="D988" i="1"/>
  <c r="F987" i="1"/>
  <c r="E987" i="1"/>
  <c r="D987" i="1"/>
  <c r="F986" i="1"/>
  <c r="E986" i="1"/>
  <c r="D986" i="1"/>
  <c r="F985" i="1"/>
  <c r="E985" i="1"/>
  <c r="D985" i="1"/>
  <c r="F984" i="1"/>
  <c r="E984" i="1"/>
  <c r="D984" i="1"/>
  <c r="F983" i="1"/>
  <c r="E983" i="1"/>
  <c r="D983" i="1"/>
  <c r="F982" i="1"/>
  <c r="E982" i="1"/>
  <c r="D982" i="1"/>
  <c r="F981" i="1"/>
  <c r="E981" i="1"/>
  <c r="D981" i="1"/>
  <c r="F980" i="1"/>
  <c r="E980" i="1"/>
  <c r="D980" i="1"/>
  <c r="F979" i="1"/>
  <c r="E979" i="1"/>
  <c r="D979" i="1"/>
  <c r="F978" i="1"/>
  <c r="E978" i="1"/>
  <c r="D978" i="1"/>
  <c r="F977" i="1"/>
  <c r="E977" i="1"/>
  <c r="D977" i="1"/>
  <c r="F976" i="1"/>
  <c r="E976" i="1"/>
  <c r="D976" i="1"/>
  <c r="F975" i="1"/>
  <c r="E975" i="1"/>
  <c r="D975" i="1"/>
  <c r="F974" i="1"/>
  <c r="E974" i="1"/>
  <c r="D974" i="1"/>
  <c r="F973" i="1"/>
  <c r="E973" i="1"/>
  <c r="D973" i="1"/>
  <c r="F972" i="1"/>
  <c r="E972" i="1"/>
  <c r="D972" i="1"/>
  <c r="F971" i="1"/>
  <c r="E971" i="1"/>
  <c r="D971" i="1"/>
  <c r="F970" i="1"/>
  <c r="E970" i="1"/>
  <c r="D970" i="1"/>
  <c r="F969" i="1"/>
  <c r="E969" i="1"/>
  <c r="D969" i="1"/>
  <c r="F968" i="1"/>
  <c r="E968" i="1"/>
  <c r="D968" i="1"/>
  <c r="F967" i="1"/>
  <c r="E967" i="1"/>
  <c r="D967" i="1"/>
  <c r="F966" i="1"/>
  <c r="E966" i="1"/>
  <c r="D966" i="1"/>
  <c r="F965" i="1"/>
  <c r="E965" i="1"/>
  <c r="D965" i="1"/>
  <c r="F964" i="1"/>
  <c r="E964" i="1"/>
  <c r="D964" i="1"/>
  <c r="F963" i="1"/>
  <c r="E963" i="1"/>
  <c r="D963" i="1"/>
  <c r="F962" i="1"/>
  <c r="E962" i="1"/>
  <c r="D962" i="1"/>
  <c r="F961" i="1"/>
  <c r="E961" i="1"/>
  <c r="D961" i="1"/>
  <c r="F960" i="1"/>
  <c r="E960" i="1"/>
  <c r="D960" i="1"/>
  <c r="F959" i="1"/>
  <c r="E959" i="1"/>
  <c r="D959" i="1"/>
  <c r="F958" i="1"/>
  <c r="E958" i="1"/>
  <c r="D958" i="1"/>
  <c r="F957" i="1"/>
  <c r="E957" i="1"/>
  <c r="D957" i="1"/>
  <c r="F956" i="1"/>
  <c r="E956" i="1"/>
  <c r="D956" i="1"/>
  <c r="F955" i="1"/>
  <c r="E955" i="1"/>
  <c r="D955" i="1"/>
  <c r="F954" i="1"/>
  <c r="E954" i="1"/>
  <c r="D954" i="1"/>
  <c r="F953" i="1"/>
  <c r="E953" i="1"/>
  <c r="D953" i="1"/>
  <c r="F952" i="1"/>
  <c r="E952" i="1"/>
  <c r="D952" i="1"/>
  <c r="F951" i="1"/>
  <c r="E951" i="1"/>
  <c r="D951" i="1"/>
  <c r="F950" i="1"/>
  <c r="E950" i="1"/>
  <c r="D950" i="1"/>
  <c r="F949" i="1"/>
  <c r="E949" i="1"/>
  <c r="D949" i="1"/>
  <c r="F948" i="1"/>
  <c r="E948" i="1"/>
  <c r="D948" i="1"/>
  <c r="F947" i="1"/>
  <c r="E947" i="1"/>
  <c r="D947" i="1"/>
  <c r="F946" i="1"/>
  <c r="E946" i="1"/>
  <c r="D946" i="1"/>
  <c r="F945" i="1"/>
  <c r="E945" i="1"/>
  <c r="D945" i="1"/>
  <c r="F944" i="1"/>
  <c r="E944" i="1"/>
  <c r="D944" i="1"/>
  <c r="F943" i="1"/>
  <c r="E943" i="1"/>
  <c r="D943" i="1"/>
  <c r="F942" i="1"/>
  <c r="E942" i="1"/>
  <c r="D942" i="1"/>
  <c r="F941" i="1"/>
  <c r="E941" i="1"/>
  <c r="D941" i="1"/>
  <c r="F940" i="1"/>
  <c r="E940" i="1"/>
  <c r="D940" i="1"/>
  <c r="F939" i="1"/>
  <c r="E939" i="1"/>
  <c r="D939" i="1"/>
  <c r="F938" i="1"/>
  <c r="E938" i="1"/>
  <c r="D938" i="1"/>
  <c r="F937" i="1"/>
  <c r="E937" i="1"/>
  <c r="D937" i="1"/>
  <c r="F936" i="1"/>
  <c r="E936" i="1"/>
  <c r="D936" i="1"/>
  <c r="F935" i="1"/>
  <c r="E935" i="1"/>
  <c r="D935" i="1"/>
  <c r="F934" i="1"/>
  <c r="E934" i="1"/>
  <c r="D934" i="1"/>
  <c r="F933" i="1"/>
  <c r="E933" i="1"/>
  <c r="D933" i="1"/>
  <c r="F932" i="1"/>
  <c r="E932" i="1"/>
  <c r="D932" i="1"/>
  <c r="F931" i="1"/>
  <c r="E931" i="1"/>
  <c r="D931" i="1"/>
  <c r="F930" i="1"/>
  <c r="E930" i="1"/>
  <c r="D930" i="1"/>
  <c r="F929" i="1"/>
  <c r="E929" i="1"/>
  <c r="D929" i="1"/>
  <c r="F928" i="1"/>
  <c r="E928" i="1"/>
  <c r="D928" i="1"/>
  <c r="F927" i="1"/>
  <c r="E927" i="1"/>
  <c r="D927" i="1"/>
  <c r="F926" i="1"/>
  <c r="E926" i="1"/>
  <c r="D926" i="1"/>
  <c r="F925" i="1"/>
  <c r="E925" i="1"/>
  <c r="D925" i="1"/>
  <c r="F924" i="1"/>
  <c r="E924" i="1"/>
  <c r="D924" i="1"/>
  <c r="F923" i="1"/>
  <c r="E923" i="1"/>
  <c r="D923" i="1"/>
  <c r="F922" i="1"/>
  <c r="E922" i="1"/>
  <c r="D922" i="1"/>
  <c r="F921" i="1"/>
  <c r="E921" i="1"/>
  <c r="D921" i="1"/>
  <c r="F920" i="1"/>
  <c r="E920" i="1"/>
  <c r="D920" i="1"/>
  <c r="F919" i="1"/>
  <c r="E919" i="1"/>
  <c r="D919" i="1"/>
  <c r="F918" i="1"/>
  <c r="E918" i="1"/>
  <c r="D918" i="1"/>
  <c r="F917" i="1"/>
  <c r="E917" i="1"/>
  <c r="D917" i="1"/>
  <c r="F916" i="1"/>
  <c r="E916" i="1"/>
  <c r="D916" i="1"/>
  <c r="F915" i="1"/>
  <c r="E915" i="1"/>
  <c r="D915" i="1"/>
  <c r="F914" i="1"/>
  <c r="E914" i="1"/>
  <c r="D914" i="1"/>
  <c r="F913" i="1"/>
  <c r="E913" i="1"/>
  <c r="D913" i="1"/>
  <c r="F912" i="1"/>
  <c r="E912" i="1"/>
  <c r="D912" i="1"/>
  <c r="F911" i="1"/>
  <c r="E911" i="1"/>
  <c r="D911" i="1"/>
  <c r="F910" i="1"/>
  <c r="E910" i="1"/>
  <c r="D910" i="1"/>
  <c r="F909" i="1"/>
  <c r="E909" i="1"/>
  <c r="D909" i="1"/>
  <c r="F908" i="1"/>
  <c r="E908" i="1"/>
  <c r="D908" i="1"/>
  <c r="F907" i="1"/>
  <c r="E907" i="1"/>
  <c r="D907" i="1"/>
  <c r="F906" i="1"/>
  <c r="E906" i="1"/>
  <c r="D906" i="1"/>
  <c r="F905" i="1"/>
  <c r="E905" i="1"/>
  <c r="D905" i="1"/>
  <c r="F904" i="1"/>
  <c r="E904" i="1"/>
  <c r="D904" i="1"/>
  <c r="F903" i="1"/>
  <c r="E903" i="1"/>
  <c r="D903" i="1"/>
  <c r="F902" i="1"/>
  <c r="E902" i="1"/>
  <c r="D902" i="1"/>
  <c r="F901" i="1"/>
  <c r="E901" i="1"/>
  <c r="D901" i="1"/>
  <c r="F900" i="1"/>
  <c r="E900" i="1"/>
  <c r="D900" i="1"/>
  <c r="F899" i="1"/>
  <c r="E899" i="1"/>
  <c r="D899" i="1"/>
  <c r="F898" i="1"/>
  <c r="E898" i="1"/>
  <c r="D898" i="1"/>
  <c r="F897" i="1"/>
  <c r="E897" i="1"/>
  <c r="D897" i="1"/>
  <c r="F896" i="1"/>
  <c r="E896" i="1"/>
  <c r="D896" i="1"/>
  <c r="F895" i="1"/>
  <c r="E895" i="1"/>
  <c r="D895" i="1"/>
  <c r="F894" i="1"/>
  <c r="E894" i="1"/>
  <c r="D894" i="1"/>
  <c r="F893" i="1"/>
  <c r="E893" i="1"/>
  <c r="D893" i="1"/>
  <c r="F892" i="1"/>
  <c r="E892" i="1"/>
  <c r="D892" i="1"/>
  <c r="F891" i="1"/>
  <c r="E891" i="1"/>
  <c r="D891" i="1"/>
  <c r="F890" i="1"/>
  <c r="E890" i="1"/>
  <c r="D890" i="1"/>
  <c r="F889" i="1"/>
  <c r="E889" i="1"/>
  <c r="D889" i="1"/>
  <c r="F888" i="1"/>
  <c r="E888" i="1"/>
  <c r="D888" i="1"/>
  <c r="F887" i="1"/>
  <c r="E887" i="1"/>
  <c r="D887" i="1"/>
  <c r="F886" i="1"/>
  <c r="E886" i="1"/>
  <c r="D886" i="1"/>
  <c r="F885" i="1"/>
  <c r="E885" i="1"/>
  <c r="D885" i="1"/>
  <c r="F884" i="1"/>
  <c r="E884" i="1"/>
  <c r="D884" i="1"/>
  <c r="F883" i="1"/>
  <c r="E883" i="1"/>
  <c r="D883" i="1"/>
  <c r="F882" i="1"/>
  <c r="E882" i="1"/>
  <c r="D882" i="1"/>
  <c r="F881" i="1"/>
  <c r="E881" i="1"/>
  <c r="D881" i="1"/>
  <c r="F880" i="1"/>
  <c r="E880" i="1"/>
  <c r="D880" i="1"/>
  <c r="F879" i="1"/>
  <c r="E879" i="1"/>
  <c r="D879" i="1"/>
  <c r="F878" i="1"/>
  <c r="E878" i="1"/>
  <c r="D878" i="1"/>
  <c r="F877" i="1"/>
  <c r="E877" i="1"/>
  <c r="D877" i="1"/>
  <c r="F876" i="1"/>
  <c r="E876" i="1"/>
  <c r="D876" i="1"/>
  <c r="F875" i="1"/>
  <c r="E875" i="1"/>
  <c r="D875" i="1"/>
  <c r="F874" i="1"/>
  <c r="E874" i="1"/>
  <c r="D874" i="1"/>
  <c r="F873" i="1"/>
  <c r="E873" i="1"/>
  <c r="D873" i="1"/>
  <c r="F872" i="1"/>
  <c r="E872" i="1"/>
  <c r="D872" i="1"/>
  <c r="F871" i="1"/>
  <c r="E871" i="1"/>
  <c r="D871" i="1"/>
  <c r="F870" i="1"/>
  <c r="E870" i="1"/>
  <c r="D870" i="1"/>
  <c r="F869" i="1"/>
  <c r="E869" i="1"/>
  <c r="D869" i="1"/>
  <c r="F868" i="1"/>
  <c r="E868" i="1"/>
  <c r="D868" i="1"/>
  <c r="F867" i="1"/>
  <c r="E867" i="1"/>
  <c r="D867" i="1"/>
  <c r="F866" i="1"/>
  <c r="E866" i="1"/>
  <c r="D866" i="1"/>
  <c r="F865" i="1"/>
  <c r="E865" i="1"/>
  <c r="D865" i="1"/>
  <c r="F864" i="1"/>
  <c r="E864" i="1"/>
  <c r="D864" i="1"/>
  <c r="F863" i="1"/>
  <c r="E863" i="1"/>
  <c r="D863" i="1"/>
  <c r="F862" i="1"/>
  <c r="E862" i="1"/>
  <c r="D862" i="1"/>
  <c r="F861" i="1"/>
  <c r="E861" i="1"/>
  <c r="D861" i="1"/>
  <c r="F860" i="1"/>
  <c r="E860" i="1"/>
  <c r="D860" i="1"/>
  <c r="F859" i="1"/>
  <c r="E859" i="1"/>
  <c r="D859" i="1"/>
  <c r="F858" i="1"/>
  <c r="E858" i="1"/>
  <c r="D858" i="1"/>
  <c r="F857" i="1"/>
  <c r="E857" i="1"/>
  <c r="D857" i="1"/>
  <c r="F856" i="1"/>
  <c r="E856" i="1"/>
  <c r="D856" i="1"/>
  <c r="F855" i="1"/>
  <c r="E855" i="1"/>
  <c r="D855" i="1"/>
  <c r="F854" i="1"/>
  <c r="E854" i="1"/>
  <c r="D854" i="1"/>
  <c r="F853" i="1"/>
  <c r="E853" i="1"/>
  <c r="D853" i="1"/>
  <c r="F852" i="1"/>
  <c r="E852" i="1"/>
  <c r="D852" i="1"/>
  <c r="F851" i="1"/>
  <c r="E851" i="1"/>
  <c r="D851" i="1"/>
  <c r="F850" i="1"/>
  <c r="E850" i="1"/>
  <c r="D850" i="1"/>
  <c r="F849" i="1"/>
  <c r="E849" i="1"/>
  <c r="D849" i="1"/>
  <c r="F848" i="1"/>
  <c r="E848" i="1"/>
  <c r="D848" i="1"/>
  <c r="F847" i="1"/>
  <c r="E847" i="1"/>
  <c r="D847" i="1"/>
  <c r="F846" i="1"/>
  <c r="E846" i="1"/>
  <c r="D846" i="1"/>
  <c r="F845" i="1"/>
  <c r="E845" i="1"/>
  <c r="D845" i="1"/>
  <c r="F844" i="1"/>
  <c r="E844" i="1"/>
  <c r="D844" i="1"/>
  <c r="F843" i="1"/>
  <c r="E843" i="1"/>
  <c r="D843" i="1"/>
  <c r="F842" i="1"/>
  <c r="E842" i="1"/>
  <c r="D842" i="1"/>
  <c r="F841" i="1"/>
  <c r="E841" i="1"/>
  <c r="D841" i="1"/>
  <c r="F840" i="1"/>
  <c r="E840" i="1"/>
  <c r="D840" i="1"/>
  <c r="F839" i="1"/>
  <c r="E839" i="1"/>
  <c r="D839" i="1"/>
  <c r="F838" i="1"/>
  <c r="E838" i="1"/>
  <c r="D838" i="1"/>
  <c r="F837" i="1"/>
  <c r="E837" i="1"/>
  <c r="D837" i="1"/>
  <c r="F836" i="1"/>
  <c r="E836" i="1"/>
  <c r="D836" i="1"/>
  <c r="F835" i="1"/>
  <c r="E835" i="1"/>
  <c r="D835" i="1"/>
  <c r="F834" i="1"/>
  <c r="E834" i="1"/>
  <c r="D834" i="1"/>
  <c r="F833" i="1"/>
  <c r="E833" i="1"/>
  <c r="D833" i="1"/>
  <c r="F832" i="1"/>
  <c r="E832" i="1"/>
  <c r="D832" i="1"/>
  <c r="F831" i="1"/>
  <c r="E831" i="1"/>
  <c r="D831" i="1"/>
  <c r="F830" i="1"/>
  <c r="E830" i="1"/>
  <c r="D830" i="1"/>
  <c r="F829" i="1"/>
  <c r="E829" i="1"/>
  <c r="D829" i="1"/>
  <c r="F828" i="1"/>
  <c r="E828" i="1"/>
  <c r="D828" i="1"/>
  <c r="F827" i="1"/>
  <c r="E827" i="1"/>
  <c r="D827" i="1"/>
  <c r="F826" i="1"/>
  <c r="E826" i="1"/>
  <c r="D826" i="1"/>
  <c r="F825" i="1"/>
  <c r="E825" i="1"/>
  <c r="D825" i="1"/>
  <c r="F824" i="1"/>
  <c r="E824" i="1"/>
  <c r="D824" i="1"/>
  <c r="F823" i="1"/>
  <c r="E823" i="1"/>
  <c r="D823" i="1"/>
  <c r="F822" i="1"/>
  <c r="E822" i="1"/>
  <c r="D822" i="1"/>
  <c r="F821" i="1"/>
  <c r="E821" i="1"/>
  <c r="D821" i="1"/>
  <c r="F820" i="1"/>
  <c r="E820" i="1"/>
  <c r="D820" i="1"/>
  <c r="F819" i="1"/>
  <c r="E819" i="1"/>
  <c r="D819" i="1"/>
  <c r="F818" i="1"/>
  <c r="E818" i="1"/>
  <c r="D818" i="1"/>
  <c r="F817" i="1"/>
  <c r="E817" i="1"/>
  <c r="D817" i="1"/>
  <c r="F816" i="1"/>
  <c r="E816" i="1"/>
  <c r="D816" i="1"/>
  <c r="F815" i="1"/>
  <c r="E815" i="1"/>
  <c r="D815" i="1"/>
  <c r="F814" i="1"/>
  <c r="E814" i="1"/>
  <c r="D814" i="1"/>
  <c r="F813" i="1"/>
  <c r="E813" i="1"/>
  <c r="D813" i="1"/>
  <c r="F812" i="1"/>
  <c r="E812" i="1"/>
  <c r="D812" i="1"/>
  <c r="F811" i="1"/>
  <c r="E811" i="1"/>
  <c r="D811" i="1"/>
  <c r="F810" i="1"/>
  <c r="E810" i="1"/>
  <c r="D810" i="1"/>
  <c r="F809" i="1"/>
  <c r="E809" i="1"/>
  <c r="D809" i="1"/>
  <c r="F808" i="1"/>
  <c r="E808" i="1"/>
  <c r="D808" i="1"/>
  <c r="F807" i="1"/>
  <c r="E807" i="1"/>
  <c r="D807" i="1"/>
  <c r="F806" i="1"/>
  <c r="E806" i="1"/>
  <c r="D806" i="1"/>
  <c r="F805" i="1"/>
  <c r="E805" i="1"/>
  <c r="D805" i="1"/>
  <c r="F804" i="1"/>
  <c r="E804" i="1"/>
  <c r="D804" i="1"/>
  <c r="F803" i="1"/>
  <c r="E803" i="1"/>
  <c r="D803" i="1"/>
  <c r="F802" i="1"/>
  <c r="E802" i="1"/>
  <c r="D802" i="1"/>
  <c r="F801" i="1"/>
  <c r="E801" i="1"/>
  <c r="D801" i="1"/>
  <c r="F800" i="1"/>
  <c r="E800" i="1"/>
  <c r="D800" i="1"/>
  <c r="F799" i="1"/>
  <c r="E799" i="1"/>
  <c r="D799" i="1"/>
  <c r="F798" i="1"/>
  <c r="E798" i="1"/>
  <c r="D798" i="1"/>
  <c r="F797" i="1"/>
  <c r="E797" i="1"/>
  <c r="D797" i="1"/>
  <c r="F796" i="1"/>
  <c r="E796" i="1"/>
  <c r="D796" i="1"/>
  <c r="F795" i="1"/>
  <c r="E795" i="1"/>
  <c r="D795" i="1"/>
  <c r="F794" i="1"/>
  <c r="E794" i="1"/>
  <c r="D794" i="1"/>
  <c r="F793" i="1"/>
  <c r="E793" i="1"/>
  <c r="D793" i="1"/>
  <c r="F792" i="1"/>
  <c r="E792" i="1"/>
  <c r="D792" i="1"/>
  <c r="F791" i="1"/>
  <c r="E791" i="1"/>
  <c r="D791" i="1"/>
  <c r="F790" i="1"/>
  <c r="E790" i="1"/>
  <c r="D790" i="1"/>
  <c r="F789" i="1"/>
  <c r="E789" i="1"/>
  <c r="D789" i="1"/>
  <c r="F788" i="1"/>
  <c r="E788" i="1"/>
  <c r="D788" i="1"/>
  <c r="F787" i="1"/>
  <c r="E787" i="1"/>
  <c r="D787" i="1"/>
  <c r="F786" i="1"/>
  <c r="E786" i="1"/>
  <c r="D786" i="1"/>
  <c r="F785" i="1"/>
  <c r="E785" i="1"/>
  <c r="D785" i="1"/>
  <c r="F784" i="1"/>
  <c r="E784" i="1"/>
  <c r="D784" i="1"/>
  <c r="F783" i="1"/>
  <c r="E783" i="1"/>
  <c r="D783" i="1"/>
  <c r="F782" i="1"/>
  <c r="E782" i="1"/>
  <c r="D782" i="1"/>
  <c r="F781" i="1"/>
  <c r="E781" i="1"/>
  <c r="D781" i="1"/>
  <c r="F780" i="1"/>
  <c r="E780" i="1"/>
  <c r="D780" i="1"/>
  <c r="F779" i="1"/>
  <c r="E779" i="1"/>
  <c r="D779" i="1"/>
  <c r="F778" i="1"/>
  <c r="E778" i="1"/>
  <c r="D778" i="1"/>
  <c r="F777" i="1"/>
  <c r="E777" i="1"/>
  <c r="D777" i="1"/>
  <c r="F776" i="1"/>
  <c r="E776" i="1"/>
  <c r="D776" i="1"/>
  <c r="F775" i="1"/>
  <c r="E775" i="1"/>
  <c r="D775" i="1"/>
  <c r="F774" i="1"/>
  <c r="E774" i="1"/>
  <c r="D774" i="1"/>
  <c r="F773" i="1"/>
  <c r="E773" i="1"/>
  <c r="D773" i="1"/>
  <c r="F772" i="1"/>
  <c r="E772" i="1"/>
  <c r="D772" i="1"/>
  <c r="I6" i="1"/>
  <c r="I5" i="1"/>
  <c r="O168" i="7" l="1"/>
  <c r="P167" i="7"/>
  <c r="Q167" i="7" s="1"/>
  <c r="P143" i="7"/>
  <c r="Q143" i="7" s="1"/>
  <c r="O144" i="7"/>
  <c r="AG58" i="8"/>
  <c r="AG59" i="8" s="1"/>
  <c r="AG33" i="8"/>
  <c r="AG48" i="8"/>
  <c r="AG49" i="8" s="1"/>
  <c r="AG18" i="8"/>
  <c r="AG19" i="8" s="1"/>
  <c r="AG43" i="8"/>
  <c r="D729" i="1"/>
  <c r="E729" i="1" s="1"/>
  <c r="F729" i="1" s="1"/>
  <c r="D519" i="1"/>
  <c r="E519" i="1" s="1"/>
  <c r="F519" i="1" s="1"/>
  <c r="D515" i="1"/>
  <c r="E515" i="1" s="1"/>
  <c r="F515" i="1" s="1"/>
  <c r="D531" i="1"/>
  <c r="E531" i="1" s="1"/>
  <c r="F531" i="1" s="1"/>
  <c r="D546" i="1"/>
  <c r="E546" i="1" s="1"/>
  <c r="F546" i="1" s="1"/>
  <c r="D569" i="1"/>
  <c r="E569" i="1" s="1"/>
  <c r="F569" i="1" s="1"/>
  <c r="D587" i="1"/>
  <c r="E587" i="1" s="1"/>
  <c r="F587" i="1" s="1"/>
  <c r="D619" i="1"/>
  <c r="E619" i="1" s="1"/>
  <c r="F619" i="1" s="1"/>
  <c r="D665" i="1"/>
  <c r="E665" i="1" s="1"/>
  <c r="F665" i="1" s="1"/>
  <c r="D757" i="1"/>
  <c r="E757" i="1" s="1"/>
  <c r="F757" i="1" s="1"/>
  <c r="D535" i="1"/>
  <c r="E535" i="1" s="1"/>
  <c r="F535" i="1" s="1"/>
  <c r="D553" i="1"/>
  <c r="E553" i="1" s="1"/>
  <c r="F553" i="1" s="1"/>
  <c r="D571" i="1"/>
  <c r="E571" i="1" s="1"/>
  <c r="F571" i="1" s="1"/>
  <c r="D594" i="1"/>
  <c r="E594" i="1" s="1"/>
  <c r="F594" i="1" s="1"/>
  <c r="D633" i="1"/>
  <c r="E633" i="1" s="1"/>
  <c r="F633" i="1" s="1"/>
  <c r="D693" i="1"/>
  <c r="E693" i="1" s="1"/>
  <c r="F693" i="1" s="1"/>
  <c r="D765" i="1"/>
  <c r="E765" i="1" s="1"/>
  <c r="F765" i="1" s="1"/>
  <c r="D523" i="1"/>
  <c r="E523" i="1" s="1"/>
  <c r="F523" i="1" s="1"/>
  <c r="D539" i="1"/>
  <c r="E539" i="1" s="1"/>
  <c r="F539" i="1" s="1"/>
  <c r="D555" i="1"/>
  <c r="E555" i="1" s="1"/>
  <c r="F555" i="1" s="1"/>
  <c r="D578" i="1"/>
  <c r="E578" i="1" s="1"/>
  <c r="F578" i="1" s="1"/>
  <c r="D601" i="1"/>
  <c r="E601" i="1" s="1"/>
  <c r="F601" i="1" s="1"/>
  <c r="D637" i="1"/>
  <c r="E637" i="1" s="1"/>
  <c r="F637" i="1" s="1"/>
  <c r="D701" i="1"/>
  <c r="E701" i="1" s="1"/>
  <c r="F701" i="1" s="1"/>
  <c r="D527" i="1"/>
  <c r="E527" i="1" s="1"/>
  <c r="F527" i="1" s="1"/>
  <c r="D543" i="1"/>
  <c r="E543" i="1" s="1"/>
  <c r="F543" i="1" s="1"/>
  <c r="D562" i="1"/>
  <c r="E562" i="1" s="1"/>
  <c r="F562" i="1" s="1"/>
  <c r="D585" i="1"/>
  <c r="E585" i="1" s="1"/>
  <c r="F585" i="1" s="1"/>
  <c r="D605" i="1"/>
  <c r="E605" i="1" s="1"/>
  <c r="F605" i="1" s="1"/>
  <c r="D651" i="1"/>
  <c r="E651" i="1" s="1"/>
  <c r="F651" i="1" s="1"/>
  <c r="D768" i="1"/>
  <c r="E768" i="1" s="1"/>
  <c r="F768" i="1" s="1"/>
  <c r="D764" i="1"/>
  <c r="E764" i="1" s="1"/>
  <c r="F764" i="1" s="1"/>
  <c r="D760" i="1"/>
  <c r="E760" i="1" s="1"/>
  <c r="F760" i="1" s="1"/>
  <c r="D756" i="1"/>
  <c r="E756" i="1" s="1"/>
  <c r="F756" i="1" s="1"/>
  <c r="D752" i="1"/>
  <c r="E752" i="1" s="1"/>
  <c r="F752" i="1" s="1"/>
  <c r="D748" i="1"/>
  <c r="E748" i="1" s="1"/>
  <c r="F748" i="1" s="1"/>
  <c r="D744" i="1"/>
  <c r="E744" i="1" s="1"/>
  <c r="F744" i="1" s="1"/>
  <c r="D740" i="1"/>
  <c r="E740" i="1" s="1"/>
  <c r="F740" i="1" s="1"/>
  <c r="D736" i="1"/>
  <c r="E736" i="1" s="1"/>
  <c r="F736" i="1" s="1"/>
  <c r="D732" i="1"/>
  <c r="E732" i="1" s="1"/>
  <c r="F732" i="1" s="1"/>
  <c r="D728" i="1"/>
  <c r="E728" i="1" s="1"/>
  <c r="F728" i="1" s="1"/>
  <c r="D724" i="1"/>
  <c r="E724" i="1" s="1"/>
  <c r="F724" i="1" s="1"/>
  <c r="D720" i="1"/>
  <c r="E720" i="1" s="1"/>
  <c r="F720" i="1" s="1"/>
  <c r="D716" i="1"/>
  <c r="E716" i="1" s="1"/>
  <c r="F716" i="1" s="1"/>
  <c r="D712" i="1"/>
  <c r="E712" i="1" s="1"/>
  <c r="F712" i="1" s="1"/>
  <c r="D708" i="1"/>
  <c r="E708" i="1" s="1"/>
  <c r="F708" i="1" s="1"/>
  <c r="D704" i="1"/>
  <c r="E704" i="1" s="1"/>
  <c r="F704" i="1" s="1"/>
  <c r="D700" i="1"/>
  <c r="E700" i="1" s="1"/>
  <c r="F700" i="1" s="1"/>
  <c r="D696" i="1"/>
  <c r="E696" i="1" s="1"/>
  <c r="F696" i="1" s="1"/>
  <c r="D692" i="1"/>
  <c r="E692" i="1" s="1"/>
  <c r="F692" i="1" s="1"/>
  <c r="D688" i="1"/>
  <c r="E688" i="1" s="1"/>
  <c r="F688" i="1" s="1"/>
  <c r="D684" i="1"/>
  <c r="E684" i="1" s="1"/>
  <c r="F684" i="1" s="1"/>
  <c r="D680" i="1"/>
  <c r="E680" i="1" s="1"/>
  <c r="F680" i="1" s="1"/>
  <c r="D676" i="1"/>
  <c r="E676" i="1" s="1"/>
  <c r="F676" i="1" s="1"/>
  <c r="D672" i="1"/>
  <c r="E672" i="1" s="1"/>
  <c r="F672" i="1" s="1"/>
  <c r="D668" i="1"/>
  <c r="E668" i="1" s="1"/>
  <c r="F668" i="1" s="1"/>
  <c r="D664" i="1"/>
  <c r="E664" i="1" s="1"/>
  <c r="F664" i="1" s="1"/>
  <c r="D660" i="1"/>
  <c r="E660" i="1" s="1"/>
  <c r="F660" i="1" s="1"/>
  <c r="D770" i="1"/>
  <c r="E770" i="1" s="1"/>
  <c r="F770" i="1" s="1"/>
  <c r="D766" i="1"/>
  <c r="E766" i="1" s="1"/>
  <c r="F766" i="1" s="1"/>
  <c r="D762" i="1"/>
  <c r="E762" i="1" s="1"/>
  <c r="F762" i="1" s="1"/>
  <c r="D758" i="1"/>
  <c r="E758" i="1" s="1"/>
  <c r="F758" i="1" s="1"/>
  <c r="D754" i="1"/>
  <c r="E754" i="1" s="1"/>
  <c r="F754" i="1" s="1"/>
  <c r="D750" i="1"/>
  <c r="E750" i="1" s="1"/>
  <c r="F750" i="1" s="1"/>
  <c r="D746" i="1"/>
  <c r="E746" i="1" s="1"/>
  <c r="F746" i="1" s="1"/>
  <c r="D742" i="1"/>
  <c r="E742" i="1" s="1"/>
  <c r="F742" i="1" s="1"/>
  <c r="D738" i="1"/>
  <c r="E738" i="1" s="1"/>
  <c r="F738" i="1" s="1"/>
  <c r="D734" i="1"/>
  <c r="E734" i="1" s="1"/>
  <c r="F734" i="1" s="1"/>
  <c r="D730" i="1"/>
  <c r="E730" i="1" s="1"/>
  <c r="F730" i="1" s="1"/>
  <c r="D726" i="1"/>
  <c r="E726" i="1" s="1"/>
  <c r="F726" i="1" s="1"/>
  <c r="D722" i="1"/>
  <c r="E722" i="1" s="1"/>
  <c r="F722" i="1" s="1"/>
  <c r="D718" i="1"/>
  <c r="E718" i="1" s="1"/>
  <c r="F718" i="1" s="1"/>
  <c r="D714" i="1"/>
  <c r="E714" i="1" s="1"/>
  <c r="F714" i="1" s="1"/>
  <c r="D710" i="1"/>
  <c r="E710" i="1" s="1"/>
  <c r="F710" i="1" s="1"/>
  <c r="D706" i="1"/>
  <c r="E706" i="1" s="1"/>
  <c r="F706" i="1" s="1"/>
  <c r="D702" i="1"/>
  <c r="E702" i="1" s="1"/>
  <c r="F702" i="1" s="1"/>
  <c r="D698" i="1"/>
  <c r="E698" i="1" s="1"/>
  <c r="F698" i="1" s="1"/>
  <c r="D694" i="1"/>
  <c r="E694" i="1" s="1"/>
  <c r="F694" i="1" s="1"/>
  <c r="D690" i="1"/>
  <c r="E690" i="1" s="1"/>
  <c r="F690" i="1" s="1"/>
  <c r="D686" i="1"/>
  <c r="E686" i="1" s="1"/>
  <c r="F686" i="1" s="1"/>
  <c r="D682" i="1"/>
  <c r="E682" i="1" s="1"/>
  <c r="F682" i="1" s="1"/>
  <c r="D678" i="1"/>
  <c r="E678" i="1" s="1"/>
  <c r="F678" i="1" s="1"/>
  <c r="D674" i="1"/>
  <c r="E674" i="1" s="1"/>
  <c r="F674" i="1" s="1"/>
  <c r="D670" i="1"/>
  <c r="E670" i="1" s="1"/>
  <c r="F670" i="1" s="1"/>
  <c r="D666" i="1"/>
  <c r="E666" i="1" s="1"/>
  <c r="F666" i="1" s="1"/>
  <c r="D662" i="1"/>
  <c r="E662" i="1" s="1"/>
  <c r="F662" i="1" s="1"/>
  <c r="D767" i="1"/>
  <c r="E767" i="1" s="1"/>
  <c r="F767" i="1" s="1"/>
  <c r="D759" i="1"/>
  <c r="E759" i="1" s="1"/>
  <c r="F759" i="1" s="1"/>
  <c r="D751" i="1"/>
  <c r="E751" i="1" s="1"/>
  <c r="F751" i="1" s="1"/>
  <c r="D743" i="1"/>
  <c r="E743" i="1" s="1"/>
  <c r="F743" i="1" s="1"/>
  <c r="D735" i="1"/>
  <c r="E735" i="1" s="1"/>
  <c r="F735" i="1" s="1"/>
  <c r="D727" i="1"/>
  <c r="E727" i="1" s="1"/>
  <c r="F727" i="1" s="1"/>
  <c r="D719" i="1"/>
  <c r="E719" i="1" s="1"/>
  <c r="F719" i="1" s="1"/>
  <c r="D711" i="1"/>
  <c r="E711" i="1" s="1"/>
  <c r="F711" i="1" s="1"/>
  <c r="D703" i="1"/>
  <c r="E703" i="1" s="1"/>
  <c r="F703" i="1" s="1"/>
  <c r="D695" i="1"/>
  <c r="E695" i="1" s="1"/>
  <c r="F695" i="1" s="1"/>
  <c r="D687" i="1"/>
  <c r="E687" i="1" s="1"/>
  <c r="F687" i="1" s="1"/>
  <c r="D679" i="1"/>
  <c r="E679" i="1" s="1"/>
  <c r="F679" i="1" s="1"/>
  <c r="D671" i="1"/>
  <c r="E671" i="1" s="1"/>
  <c r="F671" i="1" s="1"/>
  <c r="D663" i="1"/>
  <c r="E663" i="1" s="1"/>
  <c r="F663" i="1" s="1"/>
  <c r="D658" i="1"/>
  <c r="E658" i="1" s="1"/>
  <c r="F658" i="1" s="1"/>
  <c r="D654" i="1"/>
  <c r="E654" i="1" s="1"/>
  <c r="F654" i="1" s="1"/>
  <c r="D650" i="1"/>
  <c r="E650" i="1" s="1"/>
  <c r="F650" i="1" s="1"/>
  <c r="D646" i="1"/>
  <c r="E646" i="1" s="1"/>
  <c r="F646" i="1" s="1"/>
  <c r="D642" i="1"/>
  <c r="E642" i="1" s="1"/>
  <c r="F642" i="1" s="1"/>
  <c r="D638" i="1"/>
  <c r="E638" i="1" s="1"/>
  <c r="F638" i="1" s="1"/>
  <c r="D634" i="1"/>
  <c r="E634" i="1" s="1"/>
  <c r="F634" i="1" s="1"/>
  <c r="D630" i="1"/>
  <c r="E630" i="1" s="1"/>
  <c r="F630" i="1" s="1"/>
  <c r="D626" i="1"/>
  <c r="E626" i="1" s="1"/>
  <c r="F626" i="1" s="1"/>
  <c r="D622" i="1"/>
  <c r="E622" i="1" s="1"/>
  <c r="F622" i="1" s="1"/>
  <c r="D618" i="1"/>
  <c r="E618" i="1" s="1"/>
  <c r="F618" i="1" s="1"/>
  <c r="D614" i="1"/>
  <c r="E614" i="1" s="1"/>
  <c r="F614" i="1" s="1"/>
  <c r="D610" i="1"/>
  <c r="E610" i="1" s="1"/>
  <c r="F610" i="1" s="1"/>
  <c r="D606" i="1"/>
  <c r="E606" i="1" s="1"/>
  <c r="F606" i="1" s="1"/>
  <c r="D602" i="1"/>
  <c r="E602" i="1" s="1"/>
  <c r="F602" i="1" s="1"/>
  <c r="D771" i="1"/>
  <c r="E771" i="1" s="1"/>
  <c r="F771" i="1" s="1"/>
  <c r="D763" i="1"/>
  <c r="E763" i="1" s="1"/>
  <c r="F763" i="1" s="1"/>
  <c r="D755" i="1"/>
  <c r="E755" i="1" s="1"/>
  <c r="F755" i="1" s="1"/>
  <c r="D747" i="1"/>
  <c r="E747" i="1" s="1"/>
  <c r="F747" i="1" s="1"/>
  <c r="D739" i="1"/>
  <c r="E739" i="1" s="1"/>
  <c r="F739" i="1" s="1"/>
  <c r="D731" i="1"/>
  <c r="E731" i="1" s="1"/>
  <c r="F731" i="1" s="1"/>
  <c r="D723" i="1"/>
  <c r="E723" i="1" s="1"/>
  <c r="F723" i="1" s="1"/>
  <c r="D715" i="1"/>
  <c r="E715" i="1" s="1"/>
  <c r="F715" i="1" s="1"/>
  <c r="D707" i="1"/>
  <c r="E707" i="1" s="1"/>
  <c r="F707" i="1" s="1"/>
  <c r="D699" i="1"/>
  <c r="E699" i="1" s="1"/>
  <c r="F699" i="1" s="1"/>
  <c r="D691" i="1"/>
  <c r="E691" i="1" s="1"/>
  <c r="F691" i="1" s="1"/>
  <c r="D683" i="1"/>
  <c r="E683" i="1" s="1"/>
  <c r="F683" i="1" s="1"/>
  <c r="D675" i="1"/>
  <c r="E675" i="1" s="1"/>
  <c r="F675" i="1" s="1"/>
  <c r="D667" i="1"/>
  <c r="E667" i="1" s="1"/>
  <c r="F667" i="1" s="1"/>
  <c r="D659" i="1"/>
  <c r="E659" i="1" s="1"/>
  <c r="F659" i="1" s="1"/>
  <c r="D656" i="1"/>
  <c r="E656" i="1" s="1"/>
  <c r="F656" i="1" s="1"/>
  <c r="D652" i="1"/>
  <c r="E652" i="1" s="1"/>
  <c r="F652" i="1" s="1"/>
  <c r="D648" i="1"/>
  <c r="E648" i="1" s="1"/>
  <c r="F648" i="1" s="1"/>
  <c r="D644" i="1"/>
  <c r="E644" i="1" s="1"/>
  <c r="F644" i="1" s="1"/>
  <c r="D640" i="1"/>
  <c r="E640" i="1" s="1"/>
  <c r="F640" i="1" s="1"/>
  <c r="D636" i="1"/>
  <c r="E636" i="1" s="1"/>
  <c r="F636" i="1" s="1"/>
  <c r="D632" i="1"/>
  <c r="E632" i="1" s="1"/>
  <c r="F632" i="1" s="1"/>
  <c r="D628" i="1"/>
  <c r="E628" i="1" s="1"/>
  <c r="F628" i="1" s="1"/>
  <c r="D624" i="1"/>
  <c r="E624" i="1" s="1"/>
  <c r="F624" i="1" s="1"/>
  <c r="D620" i="1"/>
  <c r="E620" i="1" s="1"/>
  <c r="F620" i="1" s="1"/>
  <c r="D616" i="1"/>
  <c r="E616" i="1" s="1"/>
  <c r="F616" i="1" s="1"/>
  <c r="D612" i="1"/>
  <c r="E612" i="1" s="1"/>
  <c r="F612" i="1" s="1"/>
  <c r="D608" i="1"/>
  <c r="E608" i="1" s="1"/>
  <c r="F608" i="1" s="1"/>
  <c r="D604" i="1"/>
  <c r="E604" i="1" s="1"/>
  <c r="F604" i="1" s="1"/>
  <c r="D769" i="1"/>
  <c r="E769" i="1" s="1"/>
  <c r="F769" i="1" s="1"/>
  <c r="D753" i="1"/>
  <c r="E753" i="1" s="1"/>
  <c r="F753" i="1" s="1"/>
  <c r="D737" i="1"/>
  <c r="E737" i="1" s="1"/>
  <c r="F737" i="1" s="1"/>
  <c r="D721" i="1"/>
  <c r="E721" i="1" s="1"/>
  <c r="F721" i="1" s="1"/>
  <c r="D705" i="1"/>
  <c r="E705" i="1" s="1"/>
  <c r="F705" i="1" s="1"/>
  <c r="D689" i="1"/>
  <c r="E689" i="1" s="1"/>
  <c r="F689" i="1" s="1"/>
  <c r="D673" i="1"/>
  <c r="E673" i="1" s="1"/>
  <c r="F673" i="1" s="1"/>
  <c r="D655" i="1"/>
  <c r="E655" i="1" s="1"/>
  <c r="F655" i="1" s="1"/>
  <c r="D647" i="1"/>
  <c r="E647" i="1" s="1"/>
  <c r="F647" i="1" s="1"/>
  <c r="D639" i="1"/>
  <c r="E639" i="1" s="1"/>
  <c r="F639" i="1" s="1"/>
  <c r="D631" i="1"/>
  <c r="E631" i="1" s="1"/>
  <c r="F631" i="1" s="1"/>
  <c r="D623" i="1"/>
  <c r="E623" i="1" s="1"/>
  <c r="F623" i="1" s="1"/>
  <c r="D615" i="1"/>
  <c r="E615" i="1" s="1"/>
  <c r="F615" i="1" s="1"/>
  <c r="D607" i="1"/>
  <c r="E607" i="1" s="1"/>
  <c r="F607" i="1" s="1"/>
  <c r="D600" i="1"/>
  <c r="E600" i="1" s="1"/>
  <c r="F600" i="1" s="1"/>
  <c r="D596" i="1"/>
  <c r="E596" i="1" s="1"/>
  <c r="F596" i="1" s="1"/>
  <c r="D592" i="1"/>
  <c r="E592" i="1" s="1"/>
  <c r="F592" i="1" s="1"/>
  <c r="D588" i="1"/>
  <c r="E588" i="1" s="1"/>
  <c r="F588" i="1" s="1"/>
  <c r="D584" i="1"/>
  <c r="E584" i="1" s="1"/>
  <c r="F584" i="1" s="1"/>
  <c r="D580" i="1"/>
  <c r="E580" i="1" s="1"/>
  <c r="F580" i="1" s="1"/>
  <c r="D576" i="1"/>
  <c r="E576" i="1" s="1"/>
  <c r="F576" i="1" s="1"/>
  <c r="D572" i="1"/>
  <c r="E572" i="1" s="1"/>
  <c r="F572" i="1" s="1"/>
  <c r="D568" i="1"/>
  <c r="E568" i="1" s="1"/>
  <c r="F568" i="1" s="1"/>
  <c r="D564" i="1"/>
  <c r="E564" i="1" s="1"/>
  <c r="F564" i="1" s="1"/>
  <c r="D560" i="1"/>
  <c r="E560" i="1" s="1"/>
  <c r="F560" i="1" s="1"/>
  <c r="D556" i="1"/>
  <c r="E556" i="1" s="1"/>
  <c r="F556" i="1" s="1"/>
  <c r="D552" i="1"/>
  <c r="E552" i="1" s="1"/>
  <c r="F552" i="1" s="1"/>
  <c r="D548" i="1"/>
  <c r="E548" i="1" s="1"/>
  <c r="F548" i="1" s="1"/>
  <c r="D525" i="1"/>
  <c r="E525" i="1" s="1"/>
  <c r="F525" i="1" s="1"/>
  <c r="D529" i="1"/>
  <c r="E529" i="1" s="1"/>
  <c r="F529" i="1" s="1"/>
  <c r="D537" i="1"/>
  <c r="E537" i="1" s="1"/>
  <c r="F537" i="1" s="1"/>
  <c r="D547" i="1"/>
  <c r="E547" i="1" s="1"/>
  <c r="F547" i="1" s="1"/>
  <c r="D554" i="1"/>
  <c r="E554" i="1" s="1"/>
  <c r="F554" i="1" s="1"/>
  <c r="D561" i="1"/>
  <c r="E561" i="1" s="1"/>
  <c r="F561" i="1" s="1"/>
  <c r="D570" i="1"/>
  <c r="E570" i="1" s="1"/>
  <c r="F570" i="1" s="1"/>
  <c r="D577" i="1"/>
  <c r="E577" i="1" s="1"/>
  <c r="F577" i="1" s="1"/>
  <c r="D593" i="1"/>
  <c r="E593" i="1" s="1"/>
  <c r="F593" i="1" s="1"/>
  <c r="D595" i="1"/>
  <c r="E595" i="1" s="1"/>
  <c r="F595" i="1" s="1"/>
  <c r="D617" i="1"/>
  <c r="E617" i="1" s="1"/>
  <c r="F617" i="1" s="1"/>
  <c r="D635" i="1"/>
  <c r="E635" i="1" s="1"/>
  <c r="F635" i="1" s="1"/>
  <c r="D516" i="1"/>
  <c r="E516" i="1" s="1"/>
  <c r="F516" i="1" s="1"/>
  <c r="D520" i="1"/>
  <c r="E520" i="1" s="1"/>
  <c r="F520" i="1" s="1"/>
  <c r="D524" i="1"/>
  <c r="E524" i="1" s="1"/>
  <c r="F524" i="1" s="1"/>
  <c r="D528" i="1"/>
  <c r="E528" i="1" s="1"/>
  <c r="F528" i="1" s="1"/>
  <c r="D532" i="1"/>
  <c r="E532" i="1" s="1"/>
  <c r="F532" i="1" s="1"/>
  <c r="D536" i="1"/>
  <c r="E536" i="1" s="1"/>
  <c r="F536" i="1" s="1"/>
  <c r="D540" i="1"/>
  <c r="E540" i="1" s="1"/>
  <c r="F540" i="1" s="1"/>
  <c r="D544" i="1"/>
  <c r="E544" i="1" s="1"/>
  <c r="F544" i="1" s="1"/>
  <c r="D549" i="1"/>
  <c r="E549" i="1" s="1"/>
  <c r="F549" i="1" s="1"/>
  <c r="D551" i="1"/>
  <c r="E551" i="1" s="1"/>
  <c r="F551" i="1" s="1"/>
  <c r="D558" i="1"/>
  <c r="E558" i="1" s="1"/>
  <c r="F558" i="1" s="1"/>
  <c r="D565" i="1"/>
  <c r="E565" i="1" s="1"/>
  <c r="F565" i="1" s="1"/>
  <c r="D567" i="1"/>
  <c r="E567" i="1" s="1"/>
  <c r="F567" i="1" s="1"/>
  <c r="D574" i="1"/>
  <c r="E574" i="1" s="1"/>
  <c r="F574" i="1" s="1"/>
  <c r="D581" i="1"/>
  <c r="E581" i="1" s="1"/>
  <c r="F581" i="1" s="1"/>
  <c r="D583" i="1"/>
  <c r="E583" i="1" s="1"/>
  <c r="F583" i="1" s="1"/>
  <c r="D590" i="1"/>
  <c r="E590" i="1" s="1"/>
  <c r="F590" i="1" s="1"/>
  <c r="D597" i="1"/>
  <c r="E597" i="1" s="1"/>
  <c r="F597" i="1" s="1"/>
  <c r="D599" i="1"/>
  <c r="E599" i="1" s="1"/>
  <c r="F599" i="1" s="1"/>
  <c r="D611" i="1"/>
  <c r="E611" i="1" s="1"/>
  <c r="F611" i="1" s="1"/>
  <c r="D625" i="1"/>
  <c r="E625" i="1" s="1"/>
  <c r="F625" i="1" s="1"/>
  <c r="D629" i="1"/>
  <c r="E629" i="1" s="1"/>
  <c r="F629" i="1" s="1"/>
  <c r="D643" i="1"/>
  <c r="E643" i="1" s="1"/>
  <c r="F643" i="1" s="1"/>
  <c r="D657" i="1"/>
  <c r="E657" i="1" s="1"/>
  <c r="F657" i="1" s="1"/>
  <c r="D677" i="1"/>
  <c r="E677" i="1" s="1"/>
  <c r="F677" i="1" s="1"/>
  <c r="D685" i="1"/>
  <c r="E685" i="1" s="1"/>
  <c r="F685" i="1" s="1"/>
  <c r="D713" i="1"/>
  <c r="E713" i="1" s="1"/>
  <c r="F713" i="1" s="1"/>
  <c r="D741" i="1"/>
  <c r="E741" i="1" s="1"/>
  <c r="F741" i="1" s="1"/>
  <c r="D749" i="1"/>
  <c r="E749" i="1" s="1"/>
  <c r="F749" i="1" s="1"/>
  <c r="D518" i="1"/>
  <c r="E518" i="1" s="1"/>
  <c r="F518" i="1" s="1"/>
  <c r="D530" i="1"/>
  <c r="E530" i="1" s="1"/>
  <c r="F530" i="1" s="1"/>
  <c r="D538" i="1"/>
  <c r="E538" i="1" s="1"/>
  <c r="F538" i="1" s="1"/>
  <c r="D550" i="1"/>
  <c r="E550" i="1" s="1"/>
  <c r="F550" i="1" s="1"/>
  <c r="D557" i="1"/>
  <c r="E557" i="1" s="1"/>
  <c r="F557" i="1" s="1"/>
  <c r="D566" i="1"/>
  <c r="E566" i="1" s="1"/>
  <c r="F566" i="1" s="1"/>
  <c r="D573" i="1"/>
  <c r="E573" i="1" s="1"/>
  <c r="F573" i="1" s="1"/>
  <c r="D575" i="1"/>
  <c r="E575" i="1" s="1"/>
  <c r="F575" i="1" s="1"/>
  <c r="D582" i="1"/>
  <c r="E582" i="1" s="1"/>
  <c r="F582" i="1" s="1"/>
  <c r="D589" i="1"/>
  <c r="E589" i="1" s="1"/>
  <c r="F589" i="1" s="1"/>
  <c r="D591" i="1"/>
  <c r="E591" i="1" s="1"/>
  <c r="F591" i="1" s="1"/>
  <c r="D598" i="1"/>
  <c r="E598" i="1" s="1"/>
  <c r="F598" i="1" s="1"/>
  <c r="D609" i="1"/>
  <c r="E609" i="1" s="1"/>
  <c r="F609" i="1" s="1"/>
  <c r="D613" i="1"/>
  <c r="E613" i="1" s="1"/>
  <c r="F613" i="1" s="1"/>
  <c r="D627" i="1"/>
  <c r="E627" i="1" s="1"/>
  <c r="F627" i="1" s="1"/>
  <c r="D641" i="1"/>
  <c r="E641" i="1" s="1"/>
  <c r="F641" i="1" s="1"/>
  <c r="D645" i="1"/>
  <c r="E645" i="1" s="1"/>
  <c r="F645" i="1" s="1"/>
  <c r="D681" i="1"/>
  <c r="E681" i="1" s="1"/>
  <c r="F681" i="1" s="1"/>
  <c r="D709" i="1"/>
  <c r="E709" i="1" s="1"/>
  <c r="F709" i="1" s="1"/>
  <c r="D717" i="1"/>
  <c r="E717" i="1" s="1"/>
  <c r="F717" i="1" s="1"/>
  <c r="D745" i="1"/>
  <c r="E745" i="1" s="1"/>
  <c r="F745" i="1" s="1"/>
  <c r="D522" i="1"/>
  <c r="E522" i="1" s="1"/>
  <c r="F522" i="1" s="1"/>
  <c r="D526" i="1"/>
  <c r="E526" i="1" s="1"/>
  <c r="F526" i="1" s="1"/>
  <c r="D534" i="1"/>
  <c r="E534" i="1" s="1"/>
  <c r="F534" i="1" s="1"/>
  <c r="D542" i="1"/>
  <c r="E542" i="1" s="1"/>
  <c r="F542" i="1" s="1"/>
  <c r="D559" i="1"/>
  <c r="E559" i="1" s="1"/>
  <c r="F559" i="1" s="1"/>
  <c r="D517" i="1"/>
  <c r="E517" i="1" s="1"/>
  <c r="F517" i="1" s="1"/>
  <c r="D521" i="1"/>
  <c r="E521" i="1" s="1"/>
  <c r="F521" i="1" s="1"/>
  <c r="D533" i="1"/>
  <c r="E533" i="1" s="1"/>
  <c r="F533" i="1" s="1"/>
  <c r="D541" i="1"/>
  <c r="E541" i="1" s="1"/>
  <c r="F541" i="1" s="1"/>
  <c r="D545" i="1"/>
  <c r="E545" i="1" s="1"/>
  <c r="F545" i="1" s="1"/>
  <c r="D563" i="1"/>
  <c r="E563" i="1" s="1"/>
  <c r="F563" i="1" s="1"/>
  <c r="D579" i="1"/>
  <c r="E579" i="1" s="1"/>
  <c r="F579" i="1" s="1"/>
  <c r="D586" i="1"/>
  <c r="E586" i="1" s="1"/>
  <c r="F586" i="1" s="1"/>
  <c r="D603" i="1"/>
  <c r="E603" i="1" s="1"/>
  <c r="F603" i="1" s="1"/>
  <c r="D621" i="1"/>
  <c r="E621" i="1" s="1"/>
  <c r="F621" i="1" s="1"/>
  <c r="D649" i="1"/>
  <c r="E649" i="1" s="1"/>
  <c r="F649" i="1" s="1"/>
  <c r="D653" i="1"/>
  <c r="E653" i="1" s="1"/>
  <c r="F653" i="1" s="1"/>
  <c r="D661" i="1"/>
  <c r="E661" i="1" s="1"/>
  <c r="F661" i="1" s="1"/>
  <c r="D669" i="1"/>
  <c r="E669" i="1" s="1"/>
  <c r="F669" i="1" s="1"/>
  <c r="D697" i="1"/>
  <c r="E697" i="1" s="1"/>
  <c r="F697" i="1" s="1"/>
  <c r="D725" i="1"/>
  <c r="E725" i="1" s="1"/>
  <c r="F725" i="1" s="1"/>
  <c r="D733" i="1"/>
  <c r="E733" i="1" s="1"/>
  <c r="F733" i="1" s="1"/>
  <c r="D761" i="1"/>
  <c r="E761" i="1" s="1"/>
  <c r="F761" i="1" s="1"/>
  <c r="D498" i="1"/>
  <c r="E498" i="1" s="1"/>
  <c r="F498" i="1" s="1"/>
  <c r="D10" i="1"/>
  <c r="E10" i="1" s="1"/>
  <c r="F10" i="1" s="1"/>
  <c r="D18" i="1"/>
  <c r="E18" i="1" s="1"/>
  <c r="F18" i="1" s="1"/>
  <c r="D26" i="1"/>
  <c r="E26" i="1" s="1"/>
  <c r="F26" i="1" s="1"/>
  <c r="D35" i="1"/>
  <c r="E35" i="1" s="1"/>
  <c r="F35" i="1" s="1"/>
  <c r="D47" i="1"/>
  <c r="E47" i="1" s="1"/>
  <c r="F47" i="1" s="1"/>
  <c r="D56" i="1"/>
  <c r="E56" i="1" s="1"/>
  <c r="F56" i="1" s="1"/>
  <c r="D67" i="1"/>
  <c r="E67" i="1" s="1"/>
  <c r="F67" i="1" s="1"/>
  <c r="D79" i="1"/>
  <c r="E79" i="1" s="1"/>
  <c r="F79" i="1" s="1"/>
  <c r="D88" i="1"/>
  <c r="E88" i="1" s="1"/>
  <c r="F88" i="1" s="1"/>
  <c r="D99" i="1"/>
  <c r="E99" i="1" s="1"/>
  <c r="F99" i="1" s="1"/>
  <c r="D115" i="1"/>
  <c r="E115" i="1" s="1"/>
  <c r="F115" i="1" s="1"/>
  <c r="D131" i="1"/>
  <c r="E131" i="1" s="1"/>
  <c r="F131" i="1" s="1"/>
  <c r="D147" i="1"/>
  <c r="E147" i="1" s="1"/>
  <c r="F147" i="1" s="1"/>
  <c r="D163" i="1"/>
  <c r="E163" i="1" s="1"/>
  <c r="F163" i="1" s="1"/>
  <c r="D179" i="1"/>
  <c r="E179" i="1" s="1"/>
  <c r="F179" i="1" s="1"/>
  <c r="D195" i="1"/>
  <c r="E195" i="1" s="1"/>
  <c r="F195" i="1" s="1"/>
  <c r="D206" i="1"/>
  <c r="E206" i="1" s="1"/>
  <c r="F206" i="1" s="1"/>
  <c r="D231" i="1"/>
  <c r="E231" i="1" s="1"/>
  <c r="F231" i="1" s="1"/>
  <c r="D250" i="1"/>
  <c r="E250" i="1" s="1"/>
  <c r="F250" i="1" s="1"/>
  <c r="D278" i="1"/>
  <c r="E278" i="1" s="1"/>
  <c r="F278" i="1" s="1"/>
  <c r="D299" i="1"/>
  <c r="E299" i="1" s="1"/>
  <c r="F299" i="1" s="1"/>
  <c r="D344" i="1"/>
  <c r="E344" i="1" s="1"/>
  <c r="F344" i="1" s="1"/>
  <c r="D396" i="1"/>
  <c r="E396" i="1" s="1"/>
  <c r="F396" i="1" s="1"/>
  <c r="D491" i="1"/>
  <c r="E491" i="1" s="1"/>
  <c r="F491" i="1" s="1"/>
  <c r="D13" i="1"/>
  <c r="E13" i="1" s="1"/>
  <c r="F13" i="1" s="1"/>
  <c r="D37" i="1"/>
  <c r="E37" i="1" s="1"/>
  <c r="F37" i="1" s="1"/>
  <c r="D69" i="1"/>
  <c r="E69" i="1" s="1"/>
  <c r="F69" i="1" s="1"/>
  <c r="D101" i="1"/>
  <c r="E101" i="1" s="1"/>
  <c r="F101" i="1" s="1"/>
  <c r="D148" i="1"/>
  <c r="E148" i="1" s="1"/>
  <c r="F148" i="1" s="1"/>
  <c r="D196" i="1"/>
  <c r="E196" i="1" s="1"/>
  <c r="F196" i="1" s="1"/>
  <c r="D256" i="1"/>
  <c r="E256" i="1" s="1"/>
  <c r="F256" i="1" s="1"/>
  <c r="D346" i="1"/>
  <c r="E346" i="1" s="1"/>
  <c r="F346" i="1" s="1"/>
  <c r="D29" i="1"/>
  <c r="E29" i="1" s="1"/>
  <c r="F29" i="1" s="1"/>
  <c r="D60" i="1"/>
  <c r="E60" i="1" s="1"/>
  <c r="F60" i="1" s="1"/>
  <c r="D92" i="1"/>
  <c r="E92" i="1" s="1"/>
  <c r="F92" i="1" s="1"/>
  <c r="D132" i="1"/>
  <c r="E132" i="1" s="1"/>
  <c r="F132" i="1" s="1"/>
  <c r="D180" i="1"/>
  <c r="E180" i="1" s="1"/>
  <c r="F180" i="1" s="1"/>
  <c r="D236" i="1"/>
  <c r="E236" i="1" s="1"/>
  <c r="F236" i="1" s="1"/>
  <c r="D316" i="1"/>
  <c r="E316" i="1" s="1"/>
  <c r="F316" i="1" s="1"/>
  <c r="D505" i="1"/>
  <c r="E505" i="1" s="1"/>
  <c r="F505" i="1" s="1"/>
  <c r="D30" i="1"/>
  <c r="E30" i="1" s="1"/>
  <c r="F30" i="1" s="1"/>
  <c r="D63" i="1"/>
  <c r="E63" i="1" s="1"/>
  <c r="F63" i="1" s="1"/>
  <c r="D95" i="1"/>
  <c r="E95" i="1" s="1"/>
  <c r="F95" i="1" s="1"/>
  <c r="D139" i="1"/>
  <c r="E139" i="1" s="1"/>
  <c r="F139" i="1" s="1"/>
  <c r="D171" i="1"/>
  <c r="E171" i="1" s="1"/>
  <c r="F171" i="1" s="1"/>
  <c r="D203" i="1"/>
  <c r="E203" i="1" s="1"/>
  <c r="F203" i="1" s="1"/>
  <c r="D238" i="1"/>
  <c r="E238" i="1" s="1"/>
  <c r="F238" i="1" s="1"/>
  <c r="D264" i="1"/>
  <c r="E264" i="1" s="1"/>
  <c r="F264" i="1" s="1"/>
  <c r="D283" i="1"/>
  <c r="E283" i="1" s="1"/>
  <c r="F283" i="1" s="1"/>
  <c r="D332" i="1"/>
  <c r="E332" i="1" s="1"/>
  <c r="F332" i="1" s="1"/>
  <c r="D441" i="1"/>
  <c r="E441" i="1" s="1"/>
  <c r="F441" i="1" s="1"/>
  <c r="D510" i="1"/>
  <c r="E510" i="1" s="1"/>
  <c r="F510" i="1" s="1"/>
  <c r="D21" i="1"/>
  <c r="E21" i="1" s="1"/>
  <c r="F21" i="1" s="1"/>
  <c r="D49" i="1"/>
  <c r="E49" i="1" s="1"/>
  <c r="F49" i="1" s="1"/>
  <c r="D81" i="1"/>
  <c r="E81" i="1" s="1"/>
  <c r="F81" i="1" s="1"/>
  <c r="D116" i="1"/>
  <c r="E116" i="1" s="1"/>
  <c r="F116" i="1" s="1"/>
  <c r="D164" i="1"/>
  <c r="E164" i="1" s="1"/>
  <c r="F164" i="1" s="1"/>
  <c r="D211" i="1"/>
  <c r="E211" i="1" s="1"/>
  <c r="F211" i="1" s="1"/>
  <c r="D280" i="1"/>
  <c r="E280" i="1" s="1"/>
  <c r="F280" i="1" s="1"/>
  <c r="D410" i="1"/>
  <c r="E410" i="1" s="1"/>
  <c r="F410" i="1" s="1"/>
  <c r="D14" i="1"/>
  <c r="E14" i="1" s="1"/>
  <c r="F14" i="1" s="1"/>
  <c r="D22" i="1"/>
  <c r="E22" i="1" s="1"/>
  <c r="F22" i="1" s="1"/>
  <c r="D40" i="1"/>
  <c r="E40" i="1" s="1"/>
  <c r="F40" i="1" s="1"/>
  <c r="D51" i="1"/>
  <c r="E51" i="1" s="1"/>
  <c r="F51" i="1" s="1"/>
  <c r="D72" i="1"/>
  <c r="E72" i="1" s="1"/>
  <c r="F72" i="1" s="1"/>
  <c r="D83" i="1"/>
  <c r="E83" i="1" s="1"/>
  <c r="F83" i="1" s="1"/>
  <c r="D104" i="1"/>
  <c r="E104" i="1" s="1"/>
  <c r="F104" i="1" s="1"/>
  <c r="D123" i="1"/>
  <c r="E123" i="1" s="1"/>
  <c r="F123" i="1" s="1"/>
  <c r="D155" i="1"/>
  <c r="E155" i="1" s="1"/>
  <c r="F155" i="1" s="1"/>
  <c r="D187" i="1"/>
  <c r="E187" i="1" s="1"/>
  <c r="F187" i="1" s="1"/>
  <c r="D218" i="1"/>
  <c r="E218" i="1" s="1"/>
  <c r="F218" i="1" s="1"/>
  <c r="D351" i="1"/>
  <c r="E351" i="1" s="1"/>
  <c r="F351" i="1" s="1"/>
  <c r="D9" i="1"/>
  <c r="E9" i="1" s="1"/>
  <c r="F9" i="1" s="1"/>
  <c r="D17" i="1"/>
  <c r="E17" i="1" s="1"/>
  <c r="F17" i="1" s="1"/>
  <c r="D25" i="1"/>
  <c r="E25" i="1" s="1"/>
  <c r="F25" i="1" s="1"/>
  <c r="D33" i="1"/>
  <c r="E33" i="1" s="1"/>
  <c r="F33" i="1" s="1"/>
  <c r="D44" i="1"/>
  <c r="E44" i="1" s="1"/>
  <c r="F44" i="1" s="1"/>
  <c r="D53" i="1"/>
  <c r="E53" i="1" s="1"/>
  <c r="F53" i="1" s="1"/>
  <c r="D65" i="1"/>
  <c r="E65" i="1" s="1"/>
  <c r="F65" i="1" s="1"/>
  <c r="D76" i="1"/>
  <c r="E76" i="1" s="1"/>
  <c r="F76" i="1" s="1"/>
  <c r="D85" i="1"/>
  <c r="E85" i="1" s="1"/>
  <c r="F85" i="1" s="1"/>
  <c r="D97" i="1"/>
  <c r="E97" i="1" s="1"/>
  <c r="F97" i="1" s="1"/>
  <c r="D108" i="1"/>
  <c r="E108" i="1" s="1"/>
  <c r="F108" i="1" s="1"/>
  <c r="D124" i="1"/>
  <c r="E124" i="1" s="1"/>
  <c r="F124" i="1" s="1"/>
  <c r="D140" i="1"/>
  <c r="E140" i="1" s="1"/>
  <c r="F140" i="1" s="1"/>
  <c r="D156" i="1"/>
  <c r="E156" i="1" s="1"/>
  <c r="F156" i="1" s="1"/>
  <c r="D172" i="1"/>
  <c r="E172" i="1" s="1"/>
  <c r="F172" i="1" s="1"/>
  <c r="D188" i="1"/>
  <c r="E188" i="1" s="1"/>
  <c r="F188" i="1" s="1"/>
  <c r="D204" i="1"/>
  <c r="E204" i="1" s="1"/>
  <c r="F204" i="1" s="1"/>
  <c r="D224" i="1"/>
  <c r="E224" i="1" s="1"/>
  <c r="F224" i="1" s="1"/>
  <c r="D243" i="1"/>
  <c r="E243" i="1" s="1"/>
  <c r="F243" i="1" s="1"/>
  <c r="D275" i="1"/>
  <c r="E275" i="1" s="1"/>
  <c r="F275" i="1" s="1"/>
  <c r="D294" i="1"/>
  <c r="E294" i="1" s="1"/>
  <c r="F294" i="1" s="1"/>
  <c r="D339" i="1"/>
  <c r="E339" i="1" s="1"/>
  <c r="F339" i="1" s="1"/>
  <c r="D358" i="1"/>
  <c r="E358" i="1" s="1"/>
  <c r="F358" i="1" s="1"/>
  <c r="D453" i="1"/>
  <c r="E453" i="1" s="1"/>
  <c r="F453" i="1" s="1"/>
  <c r="D8" i="1"/>
  <c r="E8" i="1" s="1"/>
  <c r="F8" i="1" s="1"/>
  <c r="D12" i="1"/>
  <c r="E12" i="1" s="1"/>
  <c r="F12" i="1" s="1"/>
  <c r="D16" i="1"/>
  <c r="E16" i="1" s="1"/>
  <c r="F16" i="1" s="1"/>
  <c r="D20" i="1"/>
  <c r="E20" i="1" s="1"/>
  <c r="F20" i="1" s="1"/>
  <c r="D24" i="1"/>
  <c r="E24" i="1" s="1"/>
  <c r="F24" i="1" s="1"/>
  <c r="D28" i="1"/>
  <c r="E28" i="1" s="1"/>
  <c r="F28" i="1" s="1"/>
  <c r="D32" i="1"/>
  <c r="E32" i="1" s="1"/>
  <c r="F32" i="1" s="1"/>
  <c r="D39" i="1"/>
  <c r="E39" i="1" s="1"/>
  <c r="F39" i="1" s="1"/>
  <c r="D41" i="1"/>
  <c r="E41" i="1" s="1"/>
  <c r="F41" i="1" s="1"/>
  <c r="D48" i="1"/>
  <c r="E48" i="1" s="1"/>
  <c r="F48" i="1" s="1"/>
  <c r="D55" i="1"/>
  <c r="E55" i="1" s="1"/>
  <c r="F55" i="1" s="1"/>
  <c r="D57" i="1"/>
  <c r="E57" i="1" s="1"/>
  <c r="F57" i="1" s="1"/>
  <c r="D64" i="1"/>
  <c r="E64" i="1" s="1"/>
  <c r="F64" i="1" s="1"/>
  <c r="D71" i="1"/>
  <c r="E71" i="1" s="1"/>
  <c r="F71" i="1" s="1"/>
  <c r="D73" i="1"/>
  <c r="E73" i="1" s="1"/>
  <c r="F73" i="1" s="1"/>
  <c r="D80" i="1"/>
  <c r="E80" i="1" s="1"/>
  <c r="F80" i="1" s="1"/>
  <c r="D87" i="1"/>
  <c r="E87" i="1" s="1"/>
  <c r="F87" i="1" s="1"/>
  <c r="D89" i="1"/>
  <c r="E89" i="1" s="1"/>
  <c r="F89" i="1" s="1"/>
  <c r="D96" i="1"/>
  <c r="E96" i="1" s="1"/>
  <c r="F96" i="1" s="1"/>
  <c r="D103" i="1"/>
  <c r="E103" i="1" s="1"/>
  <c r="F103" i="1" s="1"/>
  <c r="D105" i="1"/>
  <c r="E105" i="1" s="1"/>
  <c r="F105" i="1" s="1"/>
  <c r="D111" i="1"/>
  <c r="E111" i="1" s="1"/>
  <c r="F111" i="1" s="1"/>
  <c r="D119" i="1"/>
  <c r="E119" i="1" s="1"/>
  <c r="F119" i="1" s="1"/>
  <c r="D127" i="1"/>
  <c r="E127" i="1" s="1"/>
  <c r="F127" i="1" s="1"/>
  <c r="D135" i="1"/>
  <c r="E135" i="1" s="1"/>
  <c r="F135" i="1" s="1"/>
  <c r="D143" i="1"/>
  <c r="E143" i="1" s="1"/>
  <c r="F143" i="1" s="1"/>
  <c r="D151" i="1"/>
  <c r="E151" i="1" s="1"/>
  <c r="F151" i="1" s="1"/>
  <c r="D159" i="1"/>
  <c r="E159" i="1" s="1"/>
  <c r="F159" i="1" s="1"/>
  <c r="D167" i="1"/>
  <c r="E167" i="1" s="1"/>
  <c r="F167" i="1" s="1"/>
  <c r="D175" i="1"/>
  <c r="E175" i="1" s="1"/>
  <c r="F175" i="1" s="1"/>
  <c r="D183" i="1"/>
  <c r="E183" i="1" s="1"/>
  <c r="F183" i="1" s="1"/>
  <c r="D191" i="1"/>
  <c r="E191" i="1" s="1"/>
  <c r="F191" i="1" s="1"/>
  <c r="D199" i="1"/>
  <c r="E199" i="1" s="1"/>
  <c r="F199" i="1" s="1"/>
  <c r="D208" i="1"/>
  <c r="E208" i="1" s="1"/>
  <c r="F208" i="1" s="1"/>
  <c r="D215" i="1"/>
  <c r="E215" i="1" s="1"/>
  <c r="F215" i="1" s="1"/>
  <c r="D222" i="1"/>
  <c r="E222" i="1" s="1"/>
  <c r="F222" i="1" s="1"/>
  <c r="D240" i="1"/>
  <c r="E240" i="1" s="1"/>
  <c r="F240" i="1" s="1"/>
  <c r="D247" i="1"/>
  <c r="E247" i="1" s="1"/>
  <c r="F247" i="1" s="1"/>
  <c r="D254" i="1"/>
  <c r="E254" i="1" s="1"/>
  <c r="F254" i="1" s="1"/>
  <c r="D266" i="1"/>
  <c r="E266" i="1" s="1"/>
  <c r="F266" i="1" s="1"/>
  <c r="D271" i="1"/>
  <c r="E271" i="1" s="1"/>
  <c r="F271" i="1" s="1"/>
  <c r="D276" i="1"/>
  <c r="E276" i="1" s="1"/>
  <c r="F276" i="1" s="1"/>
  <c r="D290" i="1"/>
  <c r="E290" i="1" s="1"/>
  <c r="F290" i="1" s="1"/>
  <c r="D319" i="1"/>
  <c r="E319" i="1" s="1"/>
  <c r="F319" i="1" s="1"/>
  <c r="D326" i="1"/>
  <c r="E326" i="1" s="1"/>
  <c r="F326" i="1" s="1"/>
  <c r="D376" i="1"/>
  <c r="E376" i="1" s="1"/>
  <c r="F376" i="1" s="1"/>
  <c r="D383" i="1"/>
  <c r="E383" i="1" s="1"/>
  <c r="F383" i="1" s="1"/>
  <c r="D390" i="1"/>
  <c r="E390" i="1" s="1"/>
  <c r="F390" i="1" s="1"/>
  <c r="D405" i="1"/>
  <c r="E405" i="1" s="1"/>
  <c r="F405" i="1" s="1"/>
  <c r="D443" i="1"/>
  <c r="E443" i="1" s="1"/>
  <c r="F443" i="1" s="1"/>
  <c r="D512" i="1"/>
  <c r="E512" i="1" s="1"/>
  <c r="F512" i="1" s="1"/>
  <c r="D508" i="1"/>
  <c r="E508" i="1" s="1"/>
  <c r="F508" i="1" s="1"/>
  <c r="D504" i="1"/>
  <c r="E504" i="1" s="1"/>
  <c r="F504" i="1" s="1"/>
  <c r="D500" i="1"/>
  <c r="E500" i="1" s="1"/>
  <c r="F500" i="1" s="1"/>
  <c r="D496" i="1"/>
  <c r="E496" i="1" s="1"/>
  <c r="F496" i="1" s="1"/>
  <c r="D492" i="1"/>
  <c r="E492" i="1" s="1"/>
  <c r="F492" i="1" s="1"/>
  <c r="D488" i="1"/>
  <c r="E488" i="1" s="1"/>
  <c r="F488" i="1" s="1"/>
  <c r="D484" i="1"/>
  <c r="E484" i="1" s="1"/>
  <c r="F484" i="1" s="1"/>
  <c r="D480" i="1"/>
  <c r="E480" i="1" s="1"/>
  <c r="F480" i="1" s="1"/>
  <c r="D476" i="1"/>
  <c r="E476" i="1" s="1"/>
  <c r="F476" i="1" s="1"/>
  <c r="D472" i="1"/>
  <c r="E472" i="1" s="1"/>
  <c r="F472" i="1" s="1"/>
  <c r="D468" i="1"/>
  <c r="E468" i="1" s="1"/>
  <c r="F468" i="1" s="1"/>
  <c r="D464" i="1"/>
  <c r="E464" i="1" s="1"/>
  <c r="F464" i="1" s="1"/>
  <c r="D460" i="1"/>
  <c r="E460" i="1" s="1"/>
  <c r="F460" i="1" s="1"/>
  <c r="D456" i="1"/>
  <c r="E456" i="1" s="1"/>
  <c r="F456" i="1" s="1"/>
  <c r="D452" i="1"/>
  <c r="E452" i="1" s="1"/>
  <c r="F452" i="1" s="1"/>
  <c r="D448" i="1"/>
  <c r="E448" i="1" s="1"/>
  <c r="F448" i="1" s="1"/>
  <c r="D444" i="1"/>
  <c r="E444" i="1" s="1"/>
  <c r="F444" i="1" s="1"/>
  <c r="D440" i="1"/>
  <c r="E440" i="1" s="1"/>
  <c r="F440" i="1" s="1"/>
  <c r="D436" i="1"/>
  <c r="E436" i="1" s="1"/>
  <c r="F436" i="1" s="1"/>
  <c r="D432" i="1"/>
  <c r="E432" i="1" s="1"/>
  <c r="F432" i="1" s="1"/>
  <c r="D428" i="1"/>
  <c r="E428" i="1" s="1"/>
  <c r="F428" i="1" s="1"/>
  <c r="D424" i="1"/>
  <c r="E424" i="1" s="1"/>
  <c r="F424" i="1" s="1"/>
  <c r="D420" i="1"/>
  <c r="E420" i="1" s="1"/>
  <c r="F420" i="1" s="1"/>
  <c r="D416" i="1"/>
  <c r="E416" i="1" s="1"/>
  <c r="F416" i="1" s="1"/>
  <c r="D412" i="1"/>
  <c r="E412" i="1" s="1"/>
  <c r="F412" i="1" s="1"/>
  <c r="D408" i="1"/>
  <c r="E408" i="1" s="1"/>
  <c r="F408" i="1" s="1"/>
  <c r="D404" i="1"/>
  <c r="E404" i="1" s="1"/>
  <c r="F404" i="1" s="1"/>
  <c r="D513" i="1"/>
  <c r="E513" i="1" s="1"/>
  <c r="F513" i="1" s="1"/>
  <c r="D506" i="1"/>
  <c r="E506" i="1" s="1"/>
  <c r="F506" i="1" s="1"/>
  <c r="D499" i="1"/>
  <c r="E499" i="1" s="1"/>
  <c r="F499" i="1" s="1"/>
  <c r="D497" i="1"/>
  <c r="E497" i="1" s="1"/>
  <c r="F497" i="1" s="1"/>
  <c r="D490" i="1"/>
  <c r="E490" i="1" s="1"/>
  <c r="F490" i="1" s="1"/>
  <c r="D483" i="1"/>
  <c r="E483" i="1" s="1"/>
  <c r="F483" i="1" s="1"/>
  <c r="D481" i="1"/>
  <c r="E481" i="1" s="1"/>
  <c r="F481" i="1" s="1"/>
  <c r="D474" i="1"/>
  <c r="E474" i="1" s="1"/>
  <c r="F474" i="1" s="1"/>
  <c r="D467" i="1"/>
  <c r="E467" i="1" s="1"/>
  <c r="F467" i="1" s="1"/>
  <c r="D465" i="1"/>
  <c r="E465" i="1" s="1"/>
  <c r="F465" i="1" s="1"/>
  <c r="D458" i="1"/>
  <c r="E458" i="1" s="1"/>
  <c r="F458" i="1" s="1"/>
  <c r="D451" i="1"/>
  <c r="E451" i="1" s="1"/>
  <c r="F451" i="1" s="1"/>
  <c r="D449" i="1"/>
  <c r="E449" i="1" s="1"/>
  <c r="F449" i="1" s="1"/>
  <c r="D511" i="1"/>
  <c r="E511" i="1" s="1"/>
  <c r="F511" i="1" s="1"/>
  <c r="D509" i="1"/>
  <c r="E509" i="1" s="1"/>
  <c r="F509" i="1" s="1"/>
  <c r="D502" i="1"/>
  <c r="E502" i="1" s="1"/>
  <c r="F502" i="1" s="1"/>
  <c r="D495" i="1"/>
  <c r="E495" i="1" s="1"/>
  <c r="F495" i="1" s="1"/>
  <c r="D493" i="1"/>
  <c r="E493" i="1" s="1"/>
  <c r="F493" i="1" s="1"/>
  <c r="D486" i="1"/>
  <c r="E486" i="1" s="1"/>
  <c r="F486" i="1" s="1"/>
  <c r="D479" i="1"/>
  <c r="E479" i="1" s="1"/>
  <c r="F479" i="1" s="1"/>
  <c r="D477" i="1"/>
  <c r="E477" i="1" s="1"/>
  <c r="F477" i="1" s="1"/>
  <c r="D470" i="1"/>
  <c r="E470" i="1" s="1"/>
  <c r="F470" i="1" s="1"/>
  <c r="D463" i="1"/>
  <c r="E463" i="1" s="1"/>
  <c r="F463" i="1" s="1"/>
  <c r="D461" i="1"/>
  <c r="E461" i="1" s="1"/>
  <c r="F461" i="1" s="1"/>
  <c r="D454" i="1"/>
  <c r="E454" i="1" s="1"/>
  <c r="F454" i="1" s="1"/>
  <c r="D447" i="1"/>
  <c r="E447" i="1" s="1"/>
  <c r="F447" i="1" s="1"/>
  <c r="D445" i="1"/>
  <c r="E445" i="1" s="1"/>
  <c r="F445" i="1" s="1"/>
  <c r="D438" i="1"/>
  <c r="E438" i="1" s="1"/>
  <c r="F438" i="1" s="1"/>
  <c r="D431" i="1"/>
  <c r="E431" i="1" s="1"/>
  <c r="F431" i="1" s="1"/>
  <c r="D429" i="1"/>
  <c r="E429" i="1" s="1"/>
  <c r="F429" i="1" s="1"/>
  <c r="D422" i="1"/>
  <c r="E422" i="1" s="1"/>
  <c r="F422" i="1" s="1"/>
  <c r="D415" i="1"/>
  <c r="E415" i="1" s="1"/>
  <c r="F415" i="1" s="1"/>
  <c r="D413" i="1"/>
  <c r="E413" i="1" s="1"/>
  <c r="F413" i="1" s="1"/>
  <c r="D406" i="1"/>
  <c r="E406" i="1" s="1"/>
  <c r="F406" i="1" s="1"/>
  <c r="D401" i="1"/>
  <c r="E401" i="1" s="1"/>
  <c r="F401" i="1" s="1"/>
  <c r="D397" i="1"/>
  <c r="E397" i="1" s="1"/>
  <c r="F397" i="1" s="1"/>
  <c r="D393" i="1"/>
  <c r="E393" i="1" s="1"/>
  <c r="F393" i="1" s="1"/>
  <c r="D389" i="1"/>
  <c r="E389" i="1" s="1"/>
  <c r="F389" i="1" s="1"/>
  <c r="D385" i="1"/>
  <c r="E385" i="1" s="1"/>
  <c r="F385" i="1" s="1"/>
  <c r="D381" i="1"/>
  <c r="E381" i="1" s="1"/>
  <c r="F381" i="1" s="1"/>
  <c r="D377" i="1"/>
  <c r="E377" i="1" s="1"/>
  <c r="F377" i="1" s="1"/>
  <c r="D373" i="1"/>
  <c r="E373" i="1" s="1"/>
  <c r="F373" i="1" s="1"/>
  <c r="D369" i="1"/>
  <c r="E369" i="1" s="1"/>
  <c r="F369" i="1" s="1"/>
  <c r="D365" i="1"/>
  <c r="E365" i="1" s="1"/>
  <c r="F365" i="1" s="1"/>
  <c r="D361" i="1"/>
  <c r="E361" i="1" s="1"/>
  <c r="F361" i="1" s="1"/>
  <c r="D357" i="1"/>
  <c r="E357" i="1" s="1"/>
  <c r="F357" i="1" s="1"/>
  <c r="D353" i="1"/>
  <c r="E353" i="1" s="1"/>
  <c r="F353" i="1" s="1"/>
  <c r="D349" i="1"/>
  <c r="E349" i="1" s="1"/>
  <c r="F349" i="1" s="1"/>
  <c r="D345" i="1"/>
  <c r="E345" i="1" s="1"/>
  <c r="F345" i="1" s="1"/>
  <c r="D341" i="1"/>
  <c r="E341" i="1" s="1"/>
  <c r="F341" i="1" s="1"/>
  <c r="D337" i="1"/>
  <c r="E337" i="1" s="1"/>
  <c r="F337" i="1" s="1"/>
  <c r="D333" i="1"/>
  <c r="E333" i="1" s="1"/>
  <c r="F333" i="1" s="1"/>
  <c r="D329" i="1"/>
  <c r="E329" i="1" s="1"/>
  <c r="F329" i="1" s="1"/>
  <c r="D325" i="1"/>
  <c r="E325" i="1" s="1"/>
  <c r="F325" i="1" s="1"/>
  <c r="D321" i="1"/>
  <c r="E321" i="1" s="1"/>
  <c r="F321" i="1" s="1"/>
  <c r="D317" i="1"/>
  <c r="E317" i="1" s="1"/>
  <c r="F317" i="1" s="1"/>
  <c r="D313" i="1"/>
  <c r="E313" i="1" s="1"/>
  <c r="F313" i="1" s="1"/>
  <c r="D309" i="1"/>
  <c r="E309" i="1" s="1"/>
  <c r="F309" i="1" s="1"/>
  <c r="D305" i="1"/>
  <c r="E305" i="1" s="1"/>
  <c r="F305" i="1" s="1"/>
  <c r="D301" i="1"/>
  <c r="E301" i="1" s="1"/>
  <c r="F301" i="1" s="1"/>
  <c r="D297" i="1"/>
  <c r="E297" i="1" s="1"/>
  <c r="F297" i="1" s="1"/>
  <c r="D293" i="1"/>
  <c r="E293" i="1" s="1"/>
  <c r="F293" i="1" s="1"/>
  <c r="D289" i="1"/>
  <c r="E289" i="1" s="1"/>
  <c r="F289" i="1" s="1"/>
  <c r="D285" i="1"/>
  <c r="E285" i="1" s="1"/>
  <c r="F285" i="1" s="1"/>
  <c r="D281" i="1"/>
  <c r="E281" i="1" s="1"/>
  <c r="F281" i="1" s="1"/>
  <c r="D277" i="1"/>
  <c r="E277" i="1" s="1"/>
  <c r="F277" i="1" s="1"/>
  <c r="D273" i="1"/>
  <c r="E273" i="1" s="1"/>
  <c r="F273" i="1" s="1"/>
  <c r="D269" i="1"/>
  <c r="E269" i="1" s="1"/>
  <c r="F269" i="1" s="1"/>
  <c r="D265" i="1"/>
  <c r="E265" i="1" s="1"/>
  <c r="F265" i="1" s="1"/>
  <c r="D261" i="1"/>
  <c r="E261" i="1" s="1"/>
  <c r="F261" i="1" s="1"/>
  <c r="D501" i="1"/>
  <c r="E501" i="1" s="1"/>
  <c r="F501" i="1" s="1"/>
  <c r="D494" i="1"/>
  <c r="E494" i="1" s="1"/>
  <c r="F494" i="1" s="1"/>
  <c r="D487" i="1"/>
  <c r="E487" i="1" s="1"/>
  <c r="F487" i="1" s="1"/>
  <c r="D469" i="1"/>
  <c r="E469" i="1" s="1"/>
  <c r="F469" i="1" s="1"/>
  <c r="D462" i="1"/>
  <c r="E462" i="1" s="1"/>
  <c r="F462" i="1" s="1"/>
  <c r="D455" i="1"/>
  <c r="E455" i="1" s="1"/>
  <c r="F455" i="1" s="1"/>
  <c r="D433" i="1"/>
  <c r="E433" i="1" s="1"/>
  <c r="F433" i="1" s="1"/>
  <c r="D426" i="1"/>
  <c r="E426" i="1" s="1"/>
  <c r="F426" i="1" s="1"/>
  <c r="D421" i="1"/>
  <c r="E421" i="1" s="1"/>
  <c r="F421" i="1" s="1"/>
  <c r="D419" i="1"/>
  <c r="E419" i="1" s="1"/>
  <c r="F419" i="1" s="1"/>
  <c r="D414" i="1"/>
  <c r="E414" i="1" s="1"/>
  <c r="F414" i="1" s="1"/>
  <c r="D409" i="1"/>
  <c r="E409" i="1" s="1"/>
  <c r="F409" i="1" s="1"/>
  <c r="D407" i="1"/>
  <c r="E407" i="1" s="1"/>
  <c r="F407" i="1" s="1"/>
  <c r="D402" i="1"/>
  <c r="E402" i="1" s="1"/>
  <c r="F402" i="1" s="1"/>
  <c r="D395" i="1"/>
  <c r="E395" i="1" s="1"/>
  <c r="F395" i="1" s="1"/>
  <c r="D388" i="1"/>
  <c r="E388" i="1" s="1"/>
  <c r="F388" i="1" s="1"/>
  <c r="D386" i="1"/>
  <c r="E386" i="1" s="1"/>
  <c r="F386" i="1" s="1"/>
  <c r="D379" i="1"/>
  <c r="E379" i="1" s="1"/>
  <c r="F379" i="1" s="1"/>
  <c r="D372" i="1"/>
  <c r="E372" i="1" s="1"/>
  <c r="F372" i="1" s="1"/>
  <c r="D370" i="1"/>
  <c r="E370" i="1" s="1"/>
  <c r="F370" i="1" s="1"/>
  <c r="D363" i="1"/>
  <c r="E363" i="1" s="1"/>
  <c r="F363" i="1" s="1"/>
  <c r="D356" i="1"/>
  <c r="E356" i="1" s="1"/>
  <c r="F356" i="1" s="1"/>
  <c r="D354" i="1"/>
  <c r="E354" i="1" s="1"/>
  <c r="F354" i="1" s="1"/>
  <c r="D347" i="1"/>
  <c r="E347" i="1" s="1"/>
  <c r="F347" i="1" s="1"/>
  <c r="D340" i="1"/>
  <c r="E340" i="1" s="1"/>
  <c r="F340" i="1" s="1"/>
  <c r="D338" i="1"/>
  <c r="E338" i="1" s="1"/>
  <c r="F338" i="1" s="1"/>
  <c r="D331" i="1"/>
  <c r="E331" i="1" s="1"/>
  <c r="F331" i="1" s="1"/>
  <c r="D324" i="1"/>
  <c r="E324" i="1" s="1"/>
  <c r="F324" i="1" s="1"/>
  <c r="D322" i="1"/>
  <c r="E322" i="1" s="1"/>
  <c r="F322" i="1" s="1"/>
  <c r="D514" i="1"/>
  <c r="E514" i="1" s="1"/>
  <c r="F514" i="1" s="1"/>
  <c r="D507" i="1"/>
  <c r="E507" i="1" s="1"/>
  <c r="F507" i="1" s="1"/>
  <c r="D489" i="1"/>
  <c r="E489" i="1" s="1"/>
  <c r="F489" i="1" s="1"/>
  <c r="D482" i="1"/>
  <c r="E482" i="1" s="1"/>
  <c r="F482" i="1" s="1"/>
  <c r="D475" i="1"/>
  <c r="E475" i="1" s="1"/>
  <c r="F475" i="1" s="1"/>
  <c r="D457" i="1"/>
  <c r="E457" i="1" s="1"/>
  <c r="F457" i="1" s="1"/>
  <c r="D450" i="1"/>
  <c r="E450" i="1" s="1"/>
  <c r="F450" i="1" s="1"/>
  <c r="D442" i="1"/>
  <c r="E442" i="1" s="1"/>
  <c r="F442" i="1" s="1"/>
  <c r="D437" i="1"/>
  <c r="E437" i="1" s="1"/>
  <c r="F437" i="1" s="1"/>
  <c r="D435" i="1"/>
  <c r="E435" i="1" s="1"/>
  <c r="F435" i="1" s="1"/>
  <c r="D430" i="1"/>
  <c r="E430" i="1" s="1"/>
  <c r="F430" i="1" s="1"/>
  <c r="D425" i="1"/>
  <c r="E425" i="1" s="1"/>
  <c r="F425" i="1" s="1"/>
  <c r="D423" i="1"/>
  <c r="E423" i="1" s="1"/>
  <c r="F423" i="1" s="1"/>
  <c r="D418" i="1"/>
  <c r="E418" i="1" s="1"/>
  <c r="F418" i="1" s="1"/>
  <c r="D411" i="1"/>
  <c r="E411" i="1" s="1"/>
  <c r="F411" i="1" s="1"/>
  <c r="D400" i="1"/>
  <c r="E400" i="1" s="1"/>
  <c r="F400" i="1" s="1"/>
  <c r="D398" i="1"/>
  <c r="E398" i="1" s="1"/>
  <c r="F398" i="1" s="1"/>
  <c r="D391" i="1"/>
  <c r="E391" i="1" s="1"/>
  <c r="F391" i="1" s="1"/>
  <c r="D384" i="1"/>
  <c r="E384" i="1" s="1"/>
  <c r="F384" i="1" s="1"/>
  <c r="D382" i="1"/>
  <c r="E382" i="1" s="1"/>
  <c r="F382" i="1" s="1"/>
  <c r="D375" i="1"/>
  <c r="E375" i="1" s="1"/>
  <c r="F375" i="1" s="1"/>
  <c r="D368" i="1"/>
  <c r="E368" i="1" s="1"/>
  <c r="F368" i="1" s="1"/>
  <c r="D366" i="1"/>
  <c r="E366" i="1" s="1"/>
  <c r="F366" i="1" s="1"/>
  <c r="D359" i="1"/>
  <c r="E359" i="1" s="1"/>
  <c r="F359" i="1" s="1"/>
  <c r="D352" i="1"/>
  <c r="E352" i="1" s="1"/>
  <c r="F352" i="1" s="1"/>
  <c r="D350" i="1"/>
  <c r="E350" i="1" s="1"/>
  <c r="F350" i="1" s="1"/>
  <c r="D343" i="1"/>
  <c r="E343" i="1" s="1"/>
  <c r="F343" i="1" s="1"/>
  <c r="D336" i="1"/>
  <c r="E336" i="1" s="1"/>
  <c r="F336" i="1" s="1"/>
  <c r="D334" i="1"/>
  <c r="E334" i="1" s="1"/>
  <c r="F334" i="1" s="1"/>
  <c r="D327" i="1"/>
  <c r="E327" i="1" s="1"/>
  <c r="F327" i="1" s="1"/>
  <c r="D320" i="1"/>
  <c r="E320" i="1" s="1"/>
  <c r="F320" i="1" s="1"/>
  <c r="D318" i="1"/>
  <c r="E318" i="1" s="1"/>
  <c r="F318" i="1" s="1"/>
  <c r="D311" i="1"/>
  <c r="E311" i="1" s="1"/>
  <c r="F311" i="1" s="1"/>
  <c r="D304" i="1"/>
  <c r="E304" i="1" s="1"/>
  <c r="F304" i="1" s="1"/>
  <c r="D302" i="1"/>
  <c r="E302" i="1" s="1"/>
  <c r="F302" i="1" s="1"/>
  <c r="D295" i="1"/>
  <c r="E295" i="1" s="1"/>
  <c r="F295" i="1" s="1"/>
  <c r="D288" i="1"/>
  <c r="E288" i="1" s="1"/>
  <c r="F288" i="1" s="1"/>
  <c r="D286" i="1"/>
  <c r="E286" i="1" s="1"/>
  <c r="F286" i="1" s="1"/>
  <c r="D279" i="1"/>
  <c r="E279" i="1" s="1"/>
  <c r="F279" i="1" s="1"/>
  <c r="D272" i="1"/>
  <c r="E272" i="1" s="1"/>
  <c r="F272" i="1" s="1"/>
  <c r="D270" i="1"/>
  <c r="E270" i="1" s="1"/>
  <c r="F270" i="1" s="1"/>
  <c r="D263" i="1"/>
  <c r="E263" i="1" s="1"/>
  <c r="F263" i="1" s="1"/>
  <c r="D257" i="1"/>
  <c r="E257" i="1" s="1"/>
  <c r="F257" i="1" s="1"/>
  <c r="D253" i="1"/>
  <c r="E253" i="1" s="1"/>
  <c r="F253" i="1" s="1"/>
  <c r="D249" i="1"/>
  <c r="E249" i="1" s="1"/>
  <c r="F249" i="1" s="1"/>
  <c r="D245" i="1"/>
  <c r="E245" i="1" s="1"/>
  <c r="F245" i="1" s="1"/>
  <c r="D241" i="1"/>
  <c r="E241" i="1" s="1"/>
  <c r="F241" i="1" s="1"/>
  <c r="D237" i="1"/>
  <c r="E237" i="1" s="1"/>
  <c r="F237" i="1" s="1"/>
  <c r="D233" i="1"/>
  <c r="E233" i="1" s="1"/>
  <c r="F233" i="1" s="1"/>
  <c r="D229" i="1"/>
  <c r="E229" i="1" s="1"/>
  <c r="F229" i="1" s="1"/>
  <c r="D225" i="1"/>
  <c r="E225" i="1" s="1"/>
  <c r="F225" i="1" s="1"/>
  <c r="D221" i="1"/>
  <c r="E221" i="1" s="1"/>
  <c r="F221" i="1" s="1"/>
  <c r="D217" i="1"/>
  <c r="E217" i="1" s="1"/>
  <c r="F217" i="1" s="1"/>
  <c r="D213" i="1"/>
  <c r="E213" i="1" s="1"/>
  <c r="F213" i="1" s="1"/>
  <c r="D209" i="1"/>
  <c r="E209" i="1" s="1"/>
  <c r="F209" i="1" s="1"/>
  <c r="D205" i="1"/>
  <c r="E205" i="1" s="1"/>
  <c r="F205" i="1" s="1"/>
  <c r="D473" i="1"/>
  <c r="E473" i="1" s="1"/>
  <c r="F473" i="1" s="1"/>
  <c r="D466" i="1"/>
  <c r="E466" i="1" s="1"/>
  <c r="F466" i="1" s="1"/>
  <c r="D459" i="1"/>
  <c r="E459" i="1" s="1"/>
  <c r="F459" i="1" s="1"/>
  <c r="D417" i="1"/>
  <c r="E417" i="1" s="1"/>
  <c r="F417" i="1" s="1"/>
  <c r="D403" i="1"/>
  <c r="E403" i="1" s="1"/>
  <c r="F403" i="1" s="1"/>
  <c r="D399" i="1"/>
  <c r="E399" i="1" s="1"/>
  <c r="F399" i="1" s="1"/>
  <c r="D392" i="1"/>
  <c r="E392" i="1" s="1"/>
  <c r="F392" i="1" s="1"/>
  <c r="D374" i="1"/>
  <c r="E374" i="1" s="1"/>
  <c r="F374" i="1" s="1"/>
  <c r="D367" i="1"/>
  <c r="E367" i="1" s="1"/>
  <c r="F367" i="1" s="1"/>
  <c r="D360" i="1"/>
  <c r="E360" i="1" s="1"/>
  <c r="F360" i="1" s="1"/>
  <c r="D342" i="1"/>
  <c r="E342" i="1" s="1"/>
  <c r="F342" i="1" s="1"/>
  <c r="D335" i="1"/>
  <c r="E335" i="1" s="1"/>
  <c r="F335" i="1" s="1"/>
  <c r="D328" i="1"/>
  <c r="E328" i="1" s="1"/>
  <c r="F328" i="1" s="1"/>
  <c r="D315" i="1"/>
  <c r="E315" i="1" s="1"/>
  <c r="F315" i="1" s="1"/>
  <c r="D310" i="1"/>
  <c r="E310" i="1" s="1"/>
  <c r="F310" i="1" s="1"/>
  <c r="D308" i="1"/>
  <c r="E308" i="1" s="1"/>
  <c r="F308" i="1" s="1"/>
  <c r="D303" i="1"/>
  <c r="E303" i="1" s="1"/>
  <c r="F303" i="1" s="1"/>
  <c r="D298" i="1"/>
  <c r="E298" i="1" s="1"/>
  <c r="F298" i="1" s="1"/>
  <c r="D296" i="1"/>
  <c r="E296" i="1" s="1"/>
  <c r="F296" i="1" s="1"/>
  <c r="D291" i="1"/>
  <c r="E291" i="1" s="1"/>
  <c r="F291" i="1" s="1"/>
  <c r="D284" i="1"/>
  <c r="E284" i="1" s="1"/>
  <c r="F284" i="1" s="1"/>
  <c r="D255" i="1"/>
  <c r="E255" i="1" s="1"/>
  <c r="F255" i="1" s="1"/>
  <c r="D248" i="1"/>
  <c r="E248" i="1" s="1"/>
  <c r="F248" i="1" s="1"/>
  <c r="D246" i="1"/>
  <c r="E246" i="1" s="1"/>
  <c r="F246" i="1" s="1"/>
  <c r="D239" i="1"/>
  <c r="E239" i="1" s="1"/>
  <c r="F239" i="1" s="1"/>
  <c r="D232" i="1"/>
  <c r="E232" i="1" s="1"/>
  <c r="F232" i="1" s="1"/>
  <c r="D230" i="1"/>
  <c r="E230" i="1" s="1"/>
  <c r="F230" i="1" s="1"/>
  <c r="D223" i="1"/>
  <c r="E223" i="1" s="1"/>
  <c r="F223" i="1" s="1"/>
  <c r="D216" i="1"/>
  <c r="E216" i="1" s="1"/>
  <c r="F216" i="1" s="1"/>
  <c r="D214" i="1"/>
  <c r="E214" i="1" s="1"/>
  <c r="F214" i="1" s="1"/>
  <c r="D207" i="1"/>
  <c r="E207" i="1" s="1"/>
  <c r="F207" i="1" s="1"/>
  <c r="D201" i="1"/>
  <c r="E201" i="1" s="1"/>
  <c r="F201" i="1" s="1"/>
  <c r="D197" i="1"/>
  <c r="E197" i="1" s="1"/>
  <c r="F197" i="1" s="1"/>
  <c r="D193" i="1"/>
  <c r="E193" i="1" s="1"/>
  <c r="F193" i="1" s="1"/>
  <c r="D189" i="1"/>
  <c r="E189" i="1" s="1"/>
  <c r="F189" i="1" s="1"/>
  <c r="D185" i="1"/>
  <c r="E185" i="1" s="1"/>
  <c r="F185" i="1" s="1"/>
  <c r="D181" i="1"/>
  <c r="E181" i="1" s="1"/>
  <c r="F181" i="1" s="1"/>
  <c r="D177" i="1"/>
  <c r="E177" i="1" s="1"/>
  <c r="F177" i="1" s="1"/>
  <c r="D173" i="1"/>
  <c r="E173" i="1" s="1"/>
  <c r="F173" i="1" s="1"/>
  <c r="D169" i="1"/>
  <c r="E169" i="1" s="1"/>
  <c r="F169" i="1" s="1"/>
  <c r="D165" i="1"/>
  <c r="E165" i="1" s="1"/>
  <c r="F165" i="1" s="1"/>
  <c r="D161" i="1"/>
  <c r="E161" i="1" s="1"/>
  <c r="F161" i="1" s="1"/>
  <c r="D157" i="1"/>
  <c r="E157" i="1" s="1"/>
  <c r="F157" i="1" s="1"/>
  <c r="D153" i="1"/>
  <c r="E153" i="1" s="1"/>
  <c r="F153" i="1" s="1"/>
  <c r="D149" i="1"/>
  <c r="E149" i="1" s="1"/>
  <c r="F149" i="1" s="1"/>
  <c r="D145" i="1"/>
  <c r="E145" i="1" s="1"/>
  <c r="F145" i="1" s="1"/>
  <c r="D141" i="1"/>
  <c r="E141" i="1" s="1"/>
  <c r="F141" i="1" s="1"/>
  <c r="D137" i="1"/>
  <c r="E137" i="1" s="1"/>
  <c r="F137" i="1" s="1"/>
  <c r="D133" i="1"/>
  <c r="E133" i="1" s="1"/>
  <c r="F133" i="1" s="1"/>
  <c r="D129" i="1"/>
  <c r="E129" i="1" s="1"/>
  <c r="F129" i="1" s="1"/>
  <c r="D125" i="1"/>
  <c r="E125" i="1" s="1"/>
  <c r="F125" i="1" s="1"/>
  <c r="D121" i="1"/>
  <c r="E121" i="1" s="1"/>
  <c r="F121" i="1" s="1"/>
  <c r="D117" i="1"/>
  <c r="E117" i="1" s="1"/>
  <c r="F117" i="1" s="1"/>
  <c r="D113" i="1"/>
  <c r="E113" i="1" s="1"/>
  <c r="F113" i="1" s="1"/>
  <c r="D109" i="1"/>
  <c r="E109" i="1" s="1"/>
  <c r="F109" i="1" s="1"/>
  <c r="D485" i="1"/>
  <c r="E485" i="1" s="1"/>
  <c r="F485" i="1" s="1"/>
  <c r="D478" i="1"/>
  <c r="E478" i="1" s="1"/>
  <c r="F478" i="1" s="1"/>
  <c r="D471" i="1"/>
  <c r="E471" i="1" s="1"/>
  <c r="F471" i="1" s="1"/>
  <c r="D439" i="1"/>
  <c r="E439" i="1" s="1"/>
  <c r="F439" i="1" s="1"/>
  <c r="D434" i="1"/>
  <c r="E434" i="1" s="1"/>
  <c r="F434" i="1" s="1"/>
  <c r="D394" i="1"/>
  <c r="E394" i="1" s="1"/>
  <c r="F394" i="1" s="1"/>
  <c r="D387" i="1"/>
  <c r="E387" i="1" s="1"/>
  <c r="F387" i="1" s="1"/>
  <c r="D380" i="1"/>
  <c r="E380" i="1" s="1"/>
  <c r="F380" i="1" s="1"/>
  <c r="D362" i="1"/>
  <c r="E362" i="1" s="1"/>
  <c r="F362" i="1" s="1"/>
  <c r="D355" i="1"/>
  <c r="E355" i="1" s="1"/>
  <c r="F355" i="1" s="1"/>
  <c r="D348" i="1"/>
  <c r="E348" i="1" s="1"/>
  <c r="F348" i="1" s="1"/>
  <c r="D330" i="1"/>
  <c r="E330" i="1" s="1"/>
  <c r="F330" i="1" s="1"/>
  <c r="D323" i="1"/>
  <c r="E323" i="1" s="1"/>
  <c r="F323" i="1" s="1"/>
  <c r="D314" i="1"/>
  <c r="E314" i="1" s="1"/>
  <c r="F314" i="1" s="1"/>
  <c r="D312" i="1"/>
  <c r="E312" i="1" s="1"/>
  <c r="F312" i="1" s="1"/>
  <c r="D307" i="1"/>
  <c r="E307" i="1" s="1"/>
  <c r="F307" i="1" s="1"/>
  <c r="D300" i="1"/>
  <c r="E300" i="1" s="1"/>
  <c r="F300" i="1" s="1"/>
  <c r="D274" i="1"/>
  <c r="E274" i="1" s="1"/>
  <c r="F274" i="1" s="1"/>
  <c r="D267" i="1"/>
  <c r="E267" i="1" s="1"/>
  <c r="F267" i="1" s="1"/>
  <c r="D262" i="1"/>
  <c r="E262" i="1" s="1"/>
  <c r="F262" i="1" s="1"/>
  <c r="D260" i="1"/>
  <c r="E260" i="1" s="1"/>
  <c r="F260" i="1" s="1"/>
  <c r="D258" i="1"/>
  <c r="E258" i="1" s="1"/>
  <c r="F258" i="1" s="1"/>
  <c r="D251" i="1"/>
  <c r="E251" i="1" s="1"/>
  <c r="F251" i="1" s="1"/>
  <c r="D244" i="1"/>
  <c r="E244" i="1" s="1"/>
  <c r="F244" i="1" s="1"/>
  <c r="D242" i="1"/>
  <c r="E242" i="1" s="1"/>
  <c r="F242" i="1" s="1"/>
  <c r="D235" i="1"/>
  <c r="E235" i="1" s="1"/>
  <c r="F235" i="1" s="1"/>
  <c r="D228" i="1"/>
  <c r="E228" i="1" s="1"/>
  <c r="F228" i="1" s="1"/>
  <c r="D226" i="1"/>
  <c r="E226" i="1" s="1"/>
  <c r="F226" i="1" s="1"/>
  <c r="D219" i="1"/>
  <c r="E219" i="1" s="1"/>
  <c r="F219" i="1" s="1"/>
  <c r="D212" i="1"/>
  <c r="E212" i="1" s="1"/>
  <c r="F212" i="1" s="1"/>
  <c r="D210" i="1"/>
  <c r="E210" i="1" s="1"/>
  <c r="F210" i="1" s="1"/>
  <c r="D202" i="1"/>
  <c r="E202" i="1" s="1"/>
  <c r="F202" i="1" s="1"/>
  <c r="D198" i="1"/>
  <c r="E198" i="1" s="1"/>
  <c r="F198" i="1" s="1"/>
  <c r="D194" i="1"/>
  <c r="E194" i="1" s="1"/>
  <c r="F194" i="1" s="1"/>
  <c r="D190" i="1"/>
  <c r="E190" i="1" s="1"/>
  <c r="F190" i="1" s="1"/>
  <c r="D186" i="1"/>
  <c r="E186" i="1" s="1"/>
  <c r="F186" i="1" s="1"/>
  <c r="D182" i="1"/>
  <c r="E182" i="1" s="1"/>
  <c r="F182" i="1" s="1"/>
  <c r="D178" i="1"/>
  <c r="E178" i="1" s="1"/>
  <c r="F178" i="1" s="1"/>
  <c r="D174" i="1"/>
  <c r="E174" i="1" s="1"/>
  <c r="F174" i="1" s="1"/>
  <c r="D170" i="1"/>
  <c r="E170" i="1" s="1"/>
  <c r="F170" i="1" s="1"/>
  <c r="D166" i="1"/>
  <c r="E166" i="1" s="1"/>
  <c r="F166" i="1" s="1"/>
  <c r="D162" i="1"/>
  <c r="E162" i="1" s="1"/>
  <c r="F162" i="1" s="1"/>
  <c r="D158" i="1"/>
  <c r="E158" i="1" s="1"/>
  <c r="F158" i="1" s="1"/>
  <c r="D154" i="1"/>
  <c r="E154" i="1" s="1"/>
  <c r="F154" i="1" s="1"/>
  <c r="D150" i="1"/>
  <c r="E150" i="1" s="1"/>
  <c r="F150" i="1" s="1"/>
  <c r="D146" i="1"/>
  <c r="E146" i="1" s="1"/>
  <c r="F146" i="1" s="1"/>
  <c r="D142" i="1"/>
  <c r="E142" i="1" s="1"/>
  <c r="F142" i="1" s="1"/>
  <c r="D138" i="1"/>
  <c r="E138" i="1" s="1"/>
  <c r="F138" i="1" s="1"/>
  <c r="D134" i="1"/>
  <c r="E134" i="1" s="1"/>
  <c r="F134" i="1" s="1"/>
  <c r="D130" i="1"/>
  <c r="E130" i="1" s="1"/>
  <c r="F130" i="1" s="1"/>
  <c r="D126" i="1"/>
  <c r="E126" i="1" s="1"/>
  <c r="F126" i="1" s="1"/>
  <c r="D122" i="1"/>
  <c r="E122" i="1" s="1"/>
  <c r="F122" i="1" s="1"/>
  <c r="D118" i="1"/>
  <c r="E118" i="1" s="1"/>
  <c r="F118" i="1" s="1"/>
  <c r="D114" i="1"/>
  <c r="E114" i="1" s="1"/>
  <c r="F114" i="1" s="1"/>
  <c r="D110" i="1"/>
  <c r="E110" i="1" s="1"/>
  <c r="F110" i="1" s="1"/>
  <c r="D106" i="1"/>
  <c r="E106" i="1" s="1"/>
  <c r="F106" i="1" s="1"/>
  <c r="D102" i="1"/>
  <c r="E102" i="1" s="1"/>
  <c r="F102" i="1" s="1"/>
  <c r="D98" i="1"/>
  <c r="E98" i="1" s="1"/>
  <c r="F98" i="1" s="1"/>
  <c r="D94" i="1"/>
  <c r="E94" i="1" s="1"/>
  <c r="F94" i="1" s="1"/>
  <c r="D90" i="1"/>
  <c r="E90" i="1" s="1"/>
  <c r="F90" i="1" s="1"/>
  <c r="D86" i="1"/>
  <c r="E86" i="1" s="1"/>
  <c r="F86" i="1" s="1"/>
  <c r="D82" i="1"/>
  <c r="E82" i="1" s="1"/>
  <c r="F82" i="1" s="1"/>
  <c r="D78" i="1"/>
  <c r="E78" i="1" s="1"/>
  <c r="F78" i="1" s="1"/>
  <c r="D74" i="1"/>
  <c r="E74" i="1" s="1"/>
  <c r="F74" i="1" s="1"/>
  <c r="D70" i="1"/>
  <c r="E70" i="1" s="1"/>
  <c r="F70" i="1" s="1"/>
  <c r="D66" i="1"/>
  <c r="E66" i="1" s="1"/>
  <c r="F66" i="1" s="1"/>
  <c r="D62" i="1"/>
  <c r="E62" i="1" s="1"/>
  <c r="F62" i="1" s="1"/>
  <c r="D58" i="1"/>
  <c r="E58" i="1" s="1"/>
  <c r="F58" i="1" s="1"/>
  <c r="D54" i="1"/>
  <c r="E54" i="1" s="1"/>
  <c r="F54" i="1" s="1"/>
  <c r="D50" i="1"/>
  <c r="E50" i="1" s="1"/>
  <c r="F50" i="1" s="1"/>
  <c r="D46" i="1"/>
  <c r="E46" i="1" s="1"/>
  <c r="F46" i="1" s="1"/>
  <c r="D42" i="1"/>
  <c r="E42" i="1" s="1"/>
  <c r="F42" i="1" s="1"/>
  <c r="D38" i="1"/>
  <c r="E38" i="1" s="1"/>
  <c r="F38" i="1" s="1"/>
  <c r="D34" i="1"/>
  <c r="E34" i="1" s="1"/>
  <c r="F34" i="1" s="1"/>
  <c r="D5" i="1"/>
  <c r="E5" i="1" s="1"/>
  <c r="F5" i="1" s="1"/>
  <c r="D6" i="1"/>
  <c r="E6" i="1" s="1"/>
  <c r="F6" i="1" s="1"/>
  <c r="D7" i="1"/>
  <c r="E7" i="1" s="1"/>
  <c r="F7" i="1" s="1"/>
  <c r="D11" i="1"/>
  <c r="E11" i="1" s="1"/>
  <c r="F11" i="1" s="1"/>
  <c r="D15" i="1"/>
  <c r="E15" i="1" s="1"/>
  <c r="F15" i="1" s="1"/>
  <c r="D19" i="1"/>
  <c r="E19" i="1" s="1"/>
  <c r="F19" i="1" s="1"/>
  <c r="D23" i="1"/>
  <c r="E23" i="1" s="1"/>
  <c r="F23" i="1" s="1"/>
  <c r="D27" i="1"/>
  <c r="E27" i="1" s="1"/>
  <c r="F27" i="1" s="1"/>
  <c r="D31" i="1"/>
  <c r="E31" i="1" s="1"/>
  <c r="F31" i="1" s="1"/>
  <c r="D36" i="1"/>
  <c r="E36" i="1" s="1"/>
  <c r="F36" i="1" s="1"/>
  <c r="D43" i="1"/>
  <c r="E43" i="1" s="1"/>
  <c r="F43" i="1" s="1"/>
  <c r="D45" i="1"/>
  <c r="E45" i="1" s="1"/>
  <c r="F45" i="1" s="1"/>
  <c r="D52" i="1"/>
  <c r="E52" i="1" s="1"/>
  <c r="F52" i="1" s="1"/>
  <c r="D59" i="1"/>
  <c r="E59" i="1" s="1"/>
  <c r="F59" i="1" s="1"/>
  <c r="D61" i="1"/>
  <c r="E61" i="1" s="1"/>
  <c r="F61" i="1" s="1"/>
  <c r="D68" i="1"/>
  <c r="E68" i="1" s="1"/>
  <c r="F68" i="1" s="1"/>
  <c r="D75" i="1"/>
  <c r="E75" i="1" s="1"/>
  <c r="F75" i="1" s="1"/>
  <c r="D77" i="1"/>
  <c r="E77" i="1" s="1"/>
  <c r="F77" i="1" s="1"/>
  <c r="D84" i="1"/>
  <c r="E84" i="1" s="1"/>
  <c r="F84" i="1" s="1"/>
  <c r="D91" i="1"/>
  <c r="E91" i="1" s="1"/>
  <c r="F91" i="1" s="1"/>
  <c r="D93" i="1"/>
  <c r="E93" i="1" s="1"/>
  <c r="F93" i="1" s="1"/>
  <c r="D100" i="1"/>
  <c r="E100" i="1" s="1"/>
  <c r="F100" i="1" s="1"/>
  <c r="D107" i="1"/>
  <c r="E107" i="1" s="1"/>
  <c r="F107" i="1" s="1"/>
  <c r="D112" i="1"/>
  <c r="E112" i="1" s="1"/>
  <c r="F112" i="1" s="1"/>
  <c r="D120" i="1"/>
  <c r="E120" i="1" s="1"/>
  <c r="F120" i="1" s="1"/>
  <c r="D128" i="1"/>
  <c r="E128" i="1" s="1"/>
  <c r="F128" i="1" s="1"/>
  <c r="D136" i="1"/>
  <c r="E136" i="1" s="1"/>
  <c r="F136" i="1" s="1"/>
  <c r="D144" i="1"/>
  <c r="E144" i="1" s="1"/>
  <c r="F144" i="1" s="1"/>
  <c r="D152" i="1"/>
  <c r="E152" i="1" s="1"/>
  <c r="F152" i="1" s="1"/>
  <c r="D160" i="1"/>
  <c r="E160" i="1" s="1"/>
  <c r="F160" i="1" s="1"/>
  <c r="D168" i="1"/>
  <c r="E168" i="1" s="1"/>
  <c r="F168" i="1" s="1"/>
  <c r="D176" i="1"/>
  <c r="E176" i="1" s="1"/>
  <c r="F176" i="1" s="1"/>
  <c r="D184" i="1"/>
  <c r="E184" i="1" s="1"/>
  <c r="F184" i="1" s="1"/>
  <c r="D192" i="1"/>
  <c r="E192" i="1" s="1"/>
  <c r="F192" i="1" s="1"/>
  <c r="D200" i="1"/>
  <c r="E200" i="1" s="1"/>
  <c r="F200" i="1" s="1"/>
  <c r="D220" i="1"/>
  <c r="E220" i="1" s="1"/>
  <c r="F220" i="1" s="1"/>
  <c r="D227" i="1"/>
  <c r="E227" i="1" s="1"/>
  <c r="F227" i="1" s="1"/>
  <c r="D234" i="1"/>
  <c r="E234" i="1" s="1"/>
  <c r="F234" i="1" s="1"/>
  <c r="D252" i="1"/>
  <c r="E252" i="1" s="1"/>
  <c r="F252" i="1" s="1"/>
  <c r="D259" i="1"/>
  <c r="E259" i="1" s="1"/>
  <c r="F259" i="1" s="1"/>
  <c r="D268" i="1"/>
  <c r="E268" i="1" s="1"/>
  <c r="F268" i="1" s="1"/>
  <c r="D282" i="1"/>
  <c r="E282" i="1" s="1"/>
  <c r="F282" i="1" s="1"/>
  <c r="D287" i="1"/>
  <c r="E287" i="1" s="1"/>
  <c r="F287" i="1" s="1"/>
  <c r="D292" i="1"/>
  <c r="E292" i="1" s="1"/>
  <c r="F292" i="1" s="1"/>
  <c r="D306" i="1"/>
  <c r="E306" i="1" s="1"/>
  <c r="F306" i="1" s="1"/>
  <c r="D364" i="1"/>
  <c r="E364" i="1" s="1"/>
  <c r="F364" i="1" s="1"/>
  <c r="D371" i="1"/>
  <c r="E371" i="1" s="1"/>
  <c r="F371" i="1" s="1"/>
  <c r="D378" i="1"/>
  <c r="E378" i="1" s="1"/>
  <c r="F378" i="1" s="1"/>
  <c r="D427" i="1"/>
  <c r="E427" i="1" s="1"/>
  <c r="F427" i="1" s="1"/>
  <c r="D446" i="1"/>
  <c r="E446" i="1" s="1"/>
  <c r="F446" i="1" s="1"/>
  <c r="D503" i="1"/>
  <c r="E503" i="1" s="1"/>
  <c r="F503" i="1" s="1"/>
  <c r="P168" i="7" l="1"/>
  <c r="Q168" i="7" s="1"/>
  <c r="O169" i="7"/>
  <c r="P144" i="7"/>
  <c r="Q144" i="7" s="1"/>
  <c r="O145" i="7"/>
  <c r="AH18" i="8"/>
  <c r="AH49" i="8"/>
  <c r="AG50" i="8"/>
  <c r="AH33" i="8"/>
  <c r="AG34" i="8"/>
  <c r="AH43" i="8"/>
  <c r="AG44" i="8"/>
  <c r="AH19" i="8"/>
  <c r="AG20" i="8"/>
  <c r="AH58" i="8"/>
  <c r="AH48" i="8"/>
  <c r="AH59" i="8"/>
  <c r="AG60" i="8"/>
  <c r="Q7" i="4"/>
  <c r="Q6" i="4"/>
  <c r="O2" i="7"/>
  <c r="P2" i="7" s="1"/>
  <c r="M24" i="7"/>
  <c r="O24" i="7" s="1"/>
  <c r="P169" i="7" l="1"/>
  <c r="Q169" i="7" s="1"/>
  <c r="O170" i="7"/>
  <c r="P145" i="7"/>
  <c r="Q145" i="7" s="1"/>
  <c r="O146" i="7"/>
  <c r="M46" i="7"/>
  <c r="M68" i="7" s="1"/>
  <c r="H238" i="8"/>
  <c r="H242" i="8"/>
  <c r="H240" i="8"/>
  <c r="H239" i="8"/>
  <c r="H241" i="8"/>
  <c r="H194" i="8"/>
  <c r="H198" i="8"/>
  <c r="H195" i="8"/>
  <c r="H197" i="8"/>
  <c r="H196" i="8"/>
  <c r="H69" i="8"/>
  <c r="H67" i="8"/>
  <c r="H71" i="8"/>
  <c r="H68" i="8"/>
  <c r="H70" i="8"/>
  <c r="H202" i="8"/>
  <c r="H199" i="8"/>
  <c r="H201" i="8"/>
  <c r="H200" i="8"/>
  <c r="H203" i="8"/>
  <c r="AH60" i="8"/>
  <c r="AG61" i="8"/>
  <c r="AH20" i="8"/>
  <c r="AG21" i="8"/>
  <c r="AH44" i="8"/>
  <c r="AG45" i="8"/>
  <c r="AH50" i="8"/>
  <c r="AG51" i="8"/>
  <c r="AH34" i="8"/>
  <c r="AG35" i="8"/>
  <c r="X2" i="7"/>
  <c r="O68" i="7"/>
  <c r="M90" i="7"/>
  <c r="O46" i="7"/>
  <c r="O47" i="7" s="1"/>
  <c r="O69" i="7"/>
  <c r="P68" i="7"/>
  <c r="P24" i="7"/>
  <c r="O25" i="7"/>
  <c r="P170" i="7" l="1"/>
  <c r="Q170" i="7" s="1"/>
  <c r="O171" i="7"/>
  <c r="P146" i="7"/>
  <c r="Q146" i="7" s="1"/>
  <c r="O147" i="7"/>
  <c r="G68" i="21"/>
  <c r="G69" i="21"/>
  <c r="G72" i="21"/>
  <c r="G71" i="21"/>
  <c r="G70" i="21"/>
  <c r="G197" i="21"/>
  <c r="G198" i="21"/>
  <c r="G195" i="21"/>
  <c r="G196" i="21"/>
  <c r="G199" i="21"/>
  <c r="G204" i="21"/>
  <c r="G202" i="21"/>
  <c r="G200" i="21"/>
  <c r="G201" i="21"/>
  <c r="G203" i="21"/>
  <c r="G241" i="21"/>
  <c r="G242" i="21"/>
  <c r="G240" i="21"/>
  <c r="G239" i="21"/>
  <c r="G243" i="21"/>
  <c r="H132" i="8"/>
  <c r="H131" i="8"/>
  <c r="H134" i="8"/>
  <c r="H133" i="8"/>
  <c r="H206" i="8"/>
  <c r="H208" i="8"/>
  <c r="H207" i="8"/>
  <c r="H204" i="8"/>
  <c r="H205" i="8"/>
  <c r="H73" i="8"/>
  <c r="H75" i="8"/>
  <c r="H76" i="8"/>
  <c r="H74" i="8"/>
  <c r="H72" i="8"/>
  <c r="H178" i="8"/>
  <c r="H176" i="8"/>
  <c r="H175" i="8"/>
  <c r="H177" i="8"/>
  <c r="H246" i="8"/>
  <c r="H244" i="8"/>
  <c r="H243" i="8"/>
  <c r="H247" i="8"/>
  <c r="H245" i="8"/>
  <c r="AH45" i="8"/>
  <c r="AG46" i="8"/>
  <c r="AH61" i="8"/>
  <c r="AG62" i="8"/>
  <c r="AH62" i="8" s="1"/>
  <c r="AH35" i="8"/>
  <c r="AG36" i="8"/>
  <c r="AH51" i="8"/>
  <c r="AG52" i="8"/>
  <c r="AH52" i="8" s="1"/>
  <c r="AH21" i="8"/>
  <c r="AG22" i="8"/>
  <c r="AH22" i="8" s="1"/>
  <c r="X3" i="7"/>
  <c r="O48" i="7"/>
  <c r="P47" i="7"/>
  <c r="O90" i="7"/>
  <c r="M112" i="7"/>
  <c r="O112" i="7" s="1"/>
  <c r="P46" i="7"/>
  <c r="O26" i="7"/>
  <c r="P25" i="7"/>
  <c r="O70" i="7"/>
  <c r="P69" i="7"/>
  <c r="P171" i="7" l="1"/>
  <c r="Q171" i="7" s="1"/>
  <c r="O172" i="7"/>
  <c r="P147" i="7"/>
  <c r="Q147" i="7" s="1"/>
  <c r="O148" i="7"/>
  <c r="G207" i="21"/>
  <c r="G205" i="21"/>
  <c r="G206" i="21"/>
  <c r="G208" i="21"/>
  <c r="G209" i="21"/>
  <c r="G77" i="21"/>
  <c r="G76" i="21"/>
  <c r="G75" i="21"/>
  <c r="G73" i="21"/>
  <c r="G74" i="21"/>
  <c r="G135" i="21"/>
  <c r="G133" i="21"/>
  <c r="G132" i="21"/>
  <c r="G134" i="21"/>
  <c r="G248" i="21"/>
  <c r="G245" i="21"/>
  <c r="G247" i="21"/>
  <c r="G246" i="21"/>
  <c r="G244" i="21"/>
  <c r="G179" i="21"/>
  <c r="G178" i="21"/>
  <c r="G176" i="21"/>
  <c r="G177" i="21"/>
  <c r="H210" i="8"/>
  <c r="H209" i="8"/>
  <c r="H211" i="8"/>
  <c r="H213" i="8"/>
  <c r="H212" i="8"/>
  <c r="H136" i="8"/>
  <c r="H135" i="8"/>
  <c r="H139" i="8"/>
  <c r="H138" i="8"/>
  <c r="H137" i="8"/>
  <c r="H182" i="8"/>
  <c r="H183" i="8"/>
  <c r="H179" i="8"/>
  <c r="H181" i="8"/>
  <c r="H180" i="8"/>
  <c r="H77" i="8"/>
  <c r="H79" i="8"/>
  <c r="H80" i="8"/>
  <c r="H81" i="8"/>
  <c r="H78" i="8"/>
  <c r="H250" i="8"/>
  <c r="H248" i="8"/>
  <c r="H252" i="8"/>
  <c r="H251" i="8"/>
  <c r="H249" i="8"/>
  <c r="H214" i="8"/>
  <c r="H215" i="8"/>
  <c r="H216" i="8"/>
  <c r="H83" i="8"/>
  <c r="H87" i="8"/>
  <c r="H82" i="8"/>
  <c r="H84" i="8"/>
  <c r="H86" i="8"/>
  <c r="H85" i="8"/>
  <c r="H254" i="8"/>
  <c r="H256" i="8"/>
  <c r="H255" i="8"/>
  <c r="H257" i="8"/>
  <c r="H253" i="8"/>
  <c r="AH36" i="8"/>
  <c r="AG37" i="8"/>
  <c r="AH37" i="8" s="1"/>
  <c r="AH46" i="8"/>
  <c r="AG47" i="8"/>
  <c r="AH47" i="8" s="1"/>
  <c r="X23" i="7"/>
  <c r="O113" i="7"/>
  <c r="P112" i="7"/>
  <c r="O91" i="7"/>
  <c r="P90" i="7"/>
  <c r="O49" i="7"/>
  <c r="P48" i="7"/>
  <c r="O71" i="7"/>
  <c r="P70" i="7"/>
  <c r="O27" i="7"/>
  <c r="P26" i="7"/>
  <c r="P172" i="7" l="1"/>
  <c r="Q172" i="7" s="1"/>
  <c r="O173" i="7"/>
  <c r="P148" i="7"/>
  <c r="Q148" i="7" s="1"/>
  <c r="O149" i="7"/>
  <c r="G181" i="21"/>
  <c r="G182" i="21"/>
  <c r="G184" i="21"/>
  <c r="G180" i="21"/>
  <c r="G183" i="21"/>
  <c r="G81" i="21"/>
  <c r="G82" i="21"/>
  <c r="G80" i="21"/>
  <c r="G78" i="21"/>
  <c r="G79" i="21"/>
  <c r="G254" i="21"/>
  <c r="G258" i="21"/>
  <c r="G255" i="21"/>
  <c r="G257" i="21"/>
  <c r="G256" i="21"/>
  <c r="G86" i="21"/>
  <c r="G88" i="21"/>
  <c r="G87" i="21"/>
  <c r="G85" i="21"/>
  <c r="G84" i="21"/>
  <c r="G83" i="21"/>
  <c r="G139" i="21"/>
  <c r="G140" i="21"/>
  <c r="G138" i="21"/>
  <c r="G136" i="21"/>
  <c r="G137" i="21"/>
  <c r="G216" i="21"/>
  <c r="G217" i="21"/>
  <c r="G215" i="21"/>
  <c r="G253" i="21"/>
  <c r="G252" i="21"/>
  <c r="G250" i="21"/>
  <c r="G251" i="21"/>
  <c r="G249" i="21"/>
  <c r="G213" i="21"/>
  <c r="G214" i="21"/>
  <c r="G211" i="21"/>
  <c r="G212" i="21"/>
  <c r="G210" i="21"/>
  <c r="H140" i="8"/>
  <c r="H144" i="8"/>
  <c r="H143" i="8"/>
  <c r="H142" i="8"/>
  <c r="H141" i="8"/>
  <c r="H190" i="8"/>
  <c r="H192" i="8"/>
  <c r="H191" i="8"/>
  <c r="H193" i="8"/>
  <c r="H189" i="8"/>
  <c r="H186" i="8"/>
  <c r="H185" i="8"/>
  <c r="H184" i="8"/>
  <c r="H188" i="8"/>
  <c r="H187" i="8"/>
  <c r="H148" i="8"/>
  <c r="H147" i="8"/>
  <c r="H151" i="8"/>
  <c r="H146" i="8"/>
  <c r="H150" i="8"/>
  <c r="H145" i="8"/>
  <c r="H149" i="8"/>
  <c r="O50" i="7"/>
  <c r="P49" i="7"/>
  <c r="O114" i="7"/>
  <c r="P113" i="7"/>
  <c r="O92" i="7"/>
  <c r="P91" i="7"/>
  <c r="O28" i="7"/>
  <c r="P27" i="7"/>
  <c r="O72" i="7"/>
  <c r="P71" i="7"/>
  <c r="A12" i="7"/>
  <c r="C12" i="7" s="1"/>
  <c r="D12" i="7" s="1"/>
  <c r="I12" i="7" s="1"/>
  <c r="C7" i="7"/>
  <c r="C8" i="7" s="1"/>
  <c r="P173" i="7" l="1"/>
  <c r="Q173" i="7" s="1"/>
  <c r="O174" i="7"/>
  <c r="P149" i="7"/>
  <c r="Q149" i="7" s="1"/>
  <c r="O150" i="7"/>
  <c r="G150" i="21"/>
  <c r="G147" i="21"/>
  <c r="G152" i="21"/>
  <c r="G149" i="21"/>
  <c r="G146" i="21"/>
  <c r="G151" i="21"/>
  <c r="G148" i="21"/>
  <c r="G188" i="21"/>
  <c r="G186" i="21"/>
  <c r="G185" i="21"/>
  <c r="G189" i="21"/>
  <c r="G187" i="21"/>
  <c r="G142" i="21"/>
  <c r="G145" i="21"/>
  <c r="G141" i="21"/>
  <c r="G144" i="21"/>
  <c r="G143" i="21"/>
  <c r="G191" i="21"/>
  <c r="G194" i="21"/>
  <c r="G190" i="21"/>
  <c r="G192" i="21"/>
  <c r="G193" i="21"/>
  <c r="O93" i="7"/>
  <c r="P92" i="7"/>
  <c r="O115" i="7"/>
  <c r="P114" i="7"/>
  <c r="O51" i="7"/>
  <c r="P50" i="7"/>
  <c r="O73" i="7"/>
  <c r="P72" i="7"/>
  <c r="O29" i="7"/>
  <c r="P28" i="7"/>
  <c r="D8" i="7"/>
  <c r="I8" i="7" s="1"/>
  <c r="C9" i="7"/>
  <c r="D9" i="7" s="1"/>
  <c r="I9" i="7" s="1"/>
  <c r="D7" i="7"/>
  <c r="I7" i="7" s="1"/>
  <c r="C13" i="7"/>
  <c r="C14" i="7" s="1"/>
  <c r="C15" i="7" s="1"/>
  <c r="A17" i="7"/>
  <c r="A22" i="7" s="1"/>
  <c r="A27" i="7" s="1"/>
  <c r="A32" i="7" s="1"/>
  <c r="C32" i="7" s="1"/>
  <c r="O6" i="4"/>
  <c r="P174" i="7" l="1"/>
  <c r="Q174" i="7" s="1"/>
  <c r="O175" i="7"/>
  <c r="P150" i="7"/>
  <c r="Q150" i="7" s="1"/>
  <c r="O151" i="7"/>
  <c r="C17" i="7"/>
  <c r="C27" i="7"/>
  <c r="D27" i="7" s="1"/>
  <c r="I27" i="7" s="1"/>
  <c r="C22" i="7"/>
  <c r="C10" i="7"/>
  <c r="D10" i="7" s="1"/>
  <c r="I10" i="7" s="1"/>
  <c r="O52" i="7"/>
  <c r="P51" i="7"/>
  <c r="O116" i="7"/>
  <c r="P115" i="7"/>
  <c r="O94" i="7"/>
  <c r="P93" i="7"/>
  <c r="O30" i="7"/>
  <c r="P29" i="7"/>
  <c r="O74" i="7"/>
  <c r="P73" i="7"/>
  <c r="D13" i="7"/>
  <c r="I13" i="7" s="1"/>
  <c r="D14" i="7"/>
  <c r="I14" i="7" s="1"/>
  <c r="C11" i="7"/>
  <c r="D11" i="7" s="1"/>
  <c r="I11" i="7" s="1"/>
  <c r="C23" i="7"/>
  <c r="D22" i="7"/>
  <c r="I22" i="7" s="1"/>
  <c r="C18" i="7"/>
  <c r="D17" i="7"/>
  <c r="I17" i="7" s="1"/>
  <c r="C16" i="7"/>
  <c r="D16" i="7" s="1"/>
  <c r="I16" i="7" s="1"/>
  <c r="D15" i="7"/>
  <c r="I15" i="7" s="1"/>
  <c r="C28" i="7"/>
  <c r="D32" i="7"/>
  <c r="I32" i="7" s="1"/>
  <c r="C33" i="7"/>
  <c r="P175" i="7" l="1"/>
  <c r="Q175" i="7" s="1"/>
  <c r="O176" i="7"/>
  <c r="P151" i="7"/>
  <c r="Q151" i="7" s="1"/>
  <c r="O152" i="7"/>
  <c r="P116" i="7"/>
  <c r="O117" i="7"/>
  <c r="O53" i="7"/>
  <c r="P52" i="7"/>
  <c r="O95" i="7"/>
  <c r="P94" i="7"/>
  <c r="O75" i="7"/>
  <c r="P74" i="7"/>
  <c r="O31" i="7"/>
  <c r="P30" i="7"/>
  <c r="D23" i="7"/>
  <c r="I23" i="7" s="1"/>
  <c r="C24" i="7"/>
  <c r="D33" i="7"/>
  <c r="I33" i="7" s="1"/>
  <c r="C34" i="7"/>
  <c r="D28" i="7"/>
  <c r="I28" i="7" s="1"/>
  <c r="C29" i="7"/>
  <c r="C19" i="7"/>
  <c r="D18" i="7"/>
  <c r="I18" i="7" s="1"/>
  <c r="P176" i="7" l="1"/>
  <c r="Q176" i="7" s="1"/>
  <c r="O177" i="7"/>
  <c r="P177" i="7" s="1"/>
  <c r="Q177" i="7" s="1"/>
  <c r="P152" i="7"/>
  <c r="Q152" i="7" s="1"/>
  <c r="O153" i="7"/>
  <c r="O96" i="7"/>
  <c r="P95" i="7"/>
  <c r="O54" i="7"/>
  <c r="P53" i="7"/>
  <c r="P117" i="7"/>
  <c r="O118" i="7"/>
  <c r="O32" i="7"/>
  <c r="P31" i="7"/>
  <c r="O76" i="7"/>
  <c r="P75" i="7"/>
  <c r="D34" i="7"/>
  <c r="I34" i="7" s="1"/>
  <c r="C35" i="7"/>
  <c r="C20" i="7"/>
  <c r="D19" i="7"/>
  <c r="I19" i="7" s="1"/>
  <c r="D29" i="7"/>
  <c r="I29" i="7" s="1"/>
  <c r="C30" i="7"/>
  <c r="D24" i="7"/>
  <c r="I24" i="7" s="1"/>
  <c r="C25" i="7"/>
  <c r="S156" i="7" l="1"/>
  <c r="P153" i="7"/>
  <c r="Q153" i="7" s="1"/>
  <c r="O154" i="7"/>
  <c r="O119" i="7"/>
  <c r="P118" i="7"/>
  <c r="O97" i="7"/>
  <c r="P96" i="7"/>
  <c r="O55" i="7"/>
  <c r="P54" i="7"/>
  <c r="O77" i="7"/>
  <c r="P76" i="7"/>
  <c r="O33" i="7"/>
  <c r="P32" i="7"/>
  <c r="D30" i="7"/>
  <c r="I30" i="7" s="1"/>
  <c r="C31" i="7"/>
  <c r="D31" i="7" s="1"/>
  <c r="I31" i="7" s="1"/>
  <c r="D25" i="7"/>
  <c r="I25" i="7" s="1"/>
  <c r="C26" i="7"/>
  <c r="D26" i="7" s="1"/>
  <c r="I26" i="7" s="1"/>
  <c r="D35" i="7"/>
  <c r="I35" i="7" s="1"/>
  <c r="C36" i="7"/>
  <c r="D36" i="7" s="1"/>
  <c r="I36" i="7" s="1"/>
  <c r="C21" i="7"/>
  <c r="D21" i="7" s="1"/>
  <c r="I21" i="7" s="1"/>
  <c r="D20" i="7"/>
  <c r="I20" i="7" s="1"/>
  <c r="O7" i="4"/>
  <c r="P154" i="7" l="1"/>
  <c r="Q154" i="7" s="1"/>
  <c r="O155" i="7"/>
  <c r="P155" i="7" s="1"/>
  <c r="Q155" i="7" s="1"/>
  <c r="E6" i="7"/>
  <c r="E3" i="7"/>
  <c r="E2" i="7"/>
  <c r="E4" i="7"/>
  <c r="E5" i="7"/>
  <c r="O56" i="7"/>
  <c r="P55" i="7"/>
  <c r="O98" i="7"/>
  <c r="P97" i="7"/>
  <c r="O120" i="7"/>
  <c r="P119" i="7"/>
  <c r="O34" i="7"/>
  <c r="P33" i="7"/>
  <c r="O78" i="7"/>
  <c r="P77" i="7"/>
  <c r="S134" i="7" l="1"/>
  <c r="G2" i="7"/>
  <c r="F5" i="7" s="1"/>
  <c r="O121" i="7"/>
  <c r="P120" i="7"/>
  <c r="O57" i="7"/>
  <c r="P56" i="7"/>
  <c r="O99" i="7"/>
  <c r="P98" i="7"/>
  <c r="O79" i="7"/>
  <c r="P78" i="7"/>
  <c r="O35" i="7"/>
  <c r="P34" i="7"/>
  <c r="F3" i="7" l="1"/>
  <c r="F4" i="7"/>
  <c r="F2" i="7"/>
  <c r="F6" i="7"/>
  <c r="O100" i="7"/>
  <c r="P99" i="7"/>
  <c r="O58" i="7"/>
  <c r="P57" i="7"/>
  <c r="O122" i="7"/>
  <c r="P121" i="7"/>
  <c r="O36" i="7"/>
  <c r="P35" i="7"/>
  <c r="O80" i="7"/>
  <c r="P79" i="7"/>
  <c r="O123" i="7" l="1"/>
  <c r="P122" i="7"/>
  <c r="O101" i="7"/>
  <c r="P100" i="7"/>
  <c r="O59" i="7"/>
  <c r="P58" i="7"/>
  <c r="O81" i="7"/>
  <c r="P80" i="7"/>
  <c r="O37" i="7"/>
  <c r="P36" i="7"/>
  <c r="O60" i="7" l="1"/>
  <c r="P59" i="7"/>
  <c r="O102" i="7"/>
  <c r="P101" i="7"/>
  <c r="O124" i="7"/>
  <c r="P123" i="7"/>
  <c r="O38" i="7"/>
  <c r="P37" i="7"/>
  <c r="O82" i="7"/>
  <c r="P81" i="7"/>
  <c r="O125" i="7" l="1"/>
  <c r="P124" i="7"/>
  <c r="O61" i="7"/>
  <c r="P60" i="7"/>
  <c r="O103" i="7"/>
  <c r="P102" i="7"/>
  <c r="O83" i="7"/>
  <c r="P82" i="7"/>
  <c r="O39" i="7"/>
  <c r="P38" i="7"/>
  <c r="O104" i="7" l="1"/>
  <c r="P103" i="7"/>
  <c r="O62" i="7"/>
  <c r="P61" i="7"/>
  <c r="O126" i="7"/>
  <c r="P125" i="7"/>
  <c r="O40" i="7"/>
  <c r="P39" i="7"/>
  <c r="O84" i="7"/>
  <c r="P83" i="7"/>
  <c r="O127" i="7" l="1"/>
  <c r="P126" i="7"/>
  <c r="O105" i="7"/>
  <c r="P104" i="7"/>
  <c r="O63" i="7"/>
  <c r="P62" i="7"/>
  <c r="O85" i="7"/>
  <c r="P84" i="7"/>
  <c r="O41" i="7"/>
  <c r="P40" i="7"/>
  <c r="O64" i="7" l="1"/>
  <c r="P63" i="7"/>
  <c r="O106" i="7"/>
  <c r="P105" i="7"/>
  <c r="O128" i="7"/>
  <c r="P127" i="7"/>
  <c r="O42" i="7"/>
  <c r="P41" i="7"/>
  <c r="O86" i="7"/>
  <c r="P85" i="7"/>
  <c r="O129" i="7" l="1"/>
  <c r="P128" i="7"/>
  <c r="O65" i="7"/>
  <c r="P64" i="7"/>
  <c r="O107" i="7"/>
  <c r="P106" i="7"/>
  <c r="O43" i="7"/>
  <c r="P42" i="7"/>
  <c r="O87" i="7"/>
  <c r="P86" i="7"/>
  <c r="O108" i="7" l="1"/>
  <c r="P107" i="7"/>
  <c r="O66" i="7"/>
  <c r="P65" i="7"/>
  <c r="O130" i="7"/>
  <c r="P129" i="7"/>
  <c r="O88" i="7"/>
  <c r="P87" i="7"/>
  <c r="O44" i="7"/>
  <c r="P43" i="7"/>
  <c r="O131" i="7" l="1"/>
  <c r="P130" i="7"/>
  <c r="O109" i="7"/>
  <c r="P108" i="7"/>
  <c r="O67" i="7"/>
  <c r="P67" i="7" s="1"/>
  <c r="P66" i="7"/>
  <c r="O45" i="7"/>
  <c r="P45" i="7" s="1"/>
  <c r="P44" i="7"/>
  <c r="O89" i="7"/>
  <c r="P89" i="7" s="1"/>
  <c r="P88" i="7"/>
  <c r="O110" i="7" l="1"/>
  <c r="P109" i="7"/>
  <c r="O132" i="7"/>
  <c r="P131" i="7"/>
  <c r="O133" i="7" l="1"/>
  <c r="P133" i="7" s="1"/>
  <c r="P132" i="7"/>
  <c r="O111" i="7"/>
  <c r="P111" i="7" s="1"/>
  <c r="P110" i="7"/>
  <c r="O3" i="7" l="1"/>
  <c r="O4" i="7" l="1"/>
  <c r="P3" i="7"/>
  <c r="O5" i="7" l="1"/>
  <c r="P4" i="7"/>
  <c r="O6" i="7" l="1"/>
  <c r="P5" i="7"/>
  <c r="O7" i="7" l="1"/>
  <c r="P6" i="7"/>
  <c r="O8" i="7" l="1"/>
  <c r="P7" i="7"/>
  <c r="O9" i="7" l="1"/>
  <c r="P8" i="7"/>
  <c r="O10" i="7" l="1"/>
  <c r="P9" i="7"/>
  <c r="O11" i="7" l="1"/>
  <c r="P10" i="7"/>
  <c r="O12" i="7" l="1"/>
  <c r="P11" i="7"/>
  <c r="O13" i="7" l="1"/>
  <c r="P12" i="7"/>
  <c r="O14" i="7" l="1"/>
  <c r="P13" i="7"/>
  <c r="O15" i="7" l="1"/>
  <c r="P14" i="7"/>
  <c r="O16" i="7" l="1"/>
  <c r="P15" i="7"/>
  <c r="O17" i="7" l="1"/>
  <c r="P16" i="7"/>
  <c r="O18" i="7" l="1"/>
  <c r="P17" i="7"/>
  <c r="O19" i="7" l="1"/>
  <c r="P18" i="7"/>
  <c r="O20" i="7" l="1"/>
  <c r="P19" i="7"/>
  <c r="O21" i="7" l="1"/>
  <c r="P20" i="7"/>
  <c r="O22" i="7" l="1"/>
  <c r="P21" i="7"/>
  <c r="O23" i="7" l="1"/>
  <c r="P23" i="7" s="1"/>
  <c r="P22" i="7"/>
  <c r="X18" i="7"/>
  <c r="X17" i="7"/>
  <c r="X16" i="7"/>
  <c r="X15" i="7"/>
  <c r="X14" i="7"/>
  <c r="X13" i="7"/>
  <c r="X12" i="7"/>
  <c r="X11" i="7"/>
  <c r="X10" i="7"/>
  <c r="X9" i="7"/>
  <c r="X8" i="7"/>
  <c r="X7" i="7"/>
  <c r="X6" i="7"/>
  <c r="X5" i="7"/>
  <c r="X21" i="7"/>
  <c r="X4" i="7"/>
  <c r="X19" i="7"/>
  <c r="X20" i="7"/>
  <c r="X22" i="7"/>
  <c r="Q23" i="7" l="1"/>
  <c r="Q24" i="7"/>
  <c r="E10" i="7"/>
  <c r="Q35" i="7" l="1"/>
  <c r="Q42" i="7"/>
  <c r="E20" i="7"/>
  <c r="Q91" i="7"/>
  <c r="Q31" i="7"/>
  <c r="Q38" i="7"/>
  <c r="Q43" i="7"/>
  <c r="Q79" i="7"/>
  <c r="Q125" i="7"/>
  <c r="Q45" i="7"/>
  <c r="E9" i="7"/>
  <c r="Q12" i="7"/>
  <c r="Q127" i="7"/>
  <c r="Q59" i="7"/>
  <c r="Q102" i="7"/>
  <c r="Q129" i="7"/>
  <c r="Q14" i="7"/>
  <c r="Q107" i="7"/>
  <c r="Q103" i="7"/>
  <c r="Q52" i="7"/>
  <c r="Q98" i="7"/>
  <c r="Q62" i="7"/>
  <c r="Q3" i="7"/>
  <c r="E26" i="7"/>
  <c r="Q92" i="7"/>
  <c r="Q46" i="7"/>
  <c r="Q114" i="7"/>
  <c r="Q50" i="7"/>
  <c r="Q27" i="7"/>
  <c r="Q65" i="7"/>
  <c r="Q13" i="7"/>
  <c r="Q121" i="7"/>
  <c r="E17" i="7"/>
  <c r="E29" i="7"/>
  <c r="Q115" i="7"/>
  <c r="Q74" i="7"/>
  <c r="Q93" i="7"/>
  <c r="Q53" i="7"/>
  <c r="Q26" i="7"/>
  <c r="Q104" i="7"/>
  <c r="Q126" i="7"/>
  <c r="Q18" i="7"/>
  <c r="Q49" i="7"/>
  <c r="Q36" i="7"/>
  <c r="Q87" i="7"/>
  <c r="Q124" i="7"/>
  <c r="E12" i="7"/>
  <c r="E23" i="7"/>
  <c r="Q83" i="7"/>
  <c r="Q4" i="7"/>
  <c r="Q48" i="7"/>
  <c r="Q57" i="7"/>
  <c r="Q72" i="7"/>
  <c r="E16" i="7"/>
  <c r="Q118" i="7"/>
  <c r="Q119" i="7"/>
  <c r="Q80" i="7"/>
  <c r="Q21" i="7"/>
  <c r="Q112" i="7"/>
  <c r="Q117" i="7"/>
  <c r="Q94" i="7"/>
  <c r="Q76" i="7"/>
  <c r="Q69" i="7"/>
  <c r="Q81" i="7"/>
  <c r="Q47" i="7"/>
  <c r="Q9" i="7"/>
  <c r="Q17" i="7"/>
  <c r="Q64" i="7"/>
  <c r="Q75" i="7"/>
  <c r="E8" i="7"/>
  <c r="Q86" i="7"/>
  <c r="Q110" i="7"/>
  <c r="Q39" i="7"/>
  <c r="Q130" i="7"/>
  <c r="E31" i="7"/>
  <c r="Q97" i="7"/>
  <c r="Q68" i="7"/>
  <c r="Q60" i="7"/>
  <c r="E35" i="7"/>
  <c r="E21" i="7"/>
  <c r="Q123" i="7"/>
  <c r="Q55" i="7"/>
  <c r="Q120" i="7"/>
  <c r="Q111" i="7"/>
  <c r="E25" i="7"/>
  <c r="Q28" i="7"/>
  <c r="E33" i="7"/>
  <c r="E7" i="7"/>
  <c r="Q116" i="7"/>
  <c r="E28" i="7"/>
  <c r="Q8" i="7"/>
  <c r="Q58" i="7"/>
  <c r="Q100" i="7"/>
  <c r="Q33" i="7"/>
  <c r="Q85" i="7"/>
  <c r="Q63" i="7"/>
  <c r="Q95" i="7"/>
  <c r="Q5" i="7"/>
  <c r="Q105" i="7"/>
  <c r="E18" i="7"/>
  <c r="Q44" i="7"/>
  <c r="Q20" i="7"/>
  <c r="Q10" i="7"/>
  <c r="Q29" i="7"/>
  <c r="Q106" i="7"/>
  <c r="Q88" i="7"/>
  <c r="Q54" i="7"/>
  <c r="Q108" i="7"/>
  <c r="Q122" i="7"/>
  <c r="Q113" i="7"/>
  <c r="Q131" i="7"/>
  <c r="E34" i="7"/>
  <c r="Q19" i="7"/>
  <c r="E15" i="7"/>
  <c r="Q11" i="7"/>
  <c r="Q40" i="7"/>
  <c r="Q56" i="7"/>
  <c r="E11" i="7"/>
  <c r="E22" i="7"/>
  <c r="Q99" i="7"/>
  <c r="Q109" i="7"/>
  <c r="Q77" i="7"/>
  <c r="Q51" i="7"/>
  <c r="Q96" i="7"/>
  <c r="Q22" i="7"/>
  <c r="E32" i="7"/>
  <c r="Q128" i="7"/>
  <c r="Q70" i="7"/>
  <c r="E36" i="7"/>
  <c r="Q16" i="7"/>
  <c r="Q89" i="7"/>
  <c r="E13" i="7"/>
  <c r="Q73" i="7"/>
  <c r="Q90" i="7"/>
  <c r="Q66" i="7"/>
  <c r="E27" i="7"/>
  <c r="E24" i="7"/>
  <c r="Q34" i="7"/>
  <c r="Q67" i="7"/>
  <c r="Q133" i="7"/>
  <c r="Q132" i="7"/>
  <c r="Q6" i="7"/>
  <c r="Q84" i="7"/>
  <c r="Q101" i="7"/>
  <c r="Q71" i="7"/>
  <c r="Q30" i="7"/>
  <c r="Q32" i="7"/>
  <c r="E14" i="7"/>
  <c r="E19" i="7"/>
  <c r="E30" i="7"/>
  <c r="Q78" i="7"/>
  <c r="Q7" i="7"/>
  <c r="Q82" i="7"/>
  <c r="Q25" i="7"/>
  <c r="Q61" i="7"/>
  <c r="Q15" i="7"/>
  <c r="Q2" i="7"/>
  <c r="Q41" i="7"/>
  <c r="Q37" i="7"/>
  <c r="G7" i="7" l="1"/>
  <c r="G12" i="7"/>
  <c r="F12" i="7" s="1"/>
  <c r="G17" i="7"/>
  <c r="F20" i="7" s="1"/>
  <c r="S112" i="7"/>
  <c r="G32" i="7"/>
  <c r="S90" i="7"/>
  <c r="R92" i="7" s="1"/>
  <c r="G27" i="7"/>
  <c r="F30" i="7" s="1"/>
  <c r="S46" i="7"/>
  <c r="R65" i="7" s="1"/>
  <c r="S68" i="7"/>
  <c r="R79" i="7" s="1"/>
  <c r="G22" i="7"/>
  <c r="F25" i="7" s="1"/>
  <c r="S24" i="7"/>
  <c r="R34" i="7" s="1"/>
  <c r="S2" i="7"/>
  <c r="R2" i="7" s="1"/>
  <c r="R156" i="7" l="1"/>
  <c r="R158" i="7"/>
  <c r="R157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7" i="7"/>
  <c r="R176" i="7"/>
  <c r="R126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5" i="7"/>
  <c r="R154" i="7"/>
  <c r="F43" i="7"/>
  <c r="F42" i="7"/>
  <c r="F44" i="7"/>
  <c r="F46" i="7"/>
  <c r="F45" i="7"/>
  <c r="F35" i="7"/>
  <c r="F37" i="7"/>
  <c r="F38" i="7"/>
  <c r="F39" i="7"/>
  <c r="F41" i="7"/>
  <c r="F40" i="7"/>
  <c r="F7" i="7"/>
  <c r="R78" i="7"/>
  <c r="R96" i="7"/>
  <c r="F9" i="7"/>
  <c r="F10" i="7"/>
  <c r="R95" i="7"/>
  <c r="F18" i="7"/>
  <c r="R93" i="7"/>
  <c r="F14" i="7"/>
  <c r="R91" i="7"/>
  <c r="R90" i="7"/>
  <c r="F15" i="7"/>
  <c r="F16" i="7"/>
  <c r="F13" i="7"/>
  <c r="R105" i="7"/>
  <c r="R102" i="7"/>
  <c r="F17" i="7"/>
  <c r="F36" i="7"/>
  <c r="F11" i="7"/>
  <c r="F8" i="7"/>
  <c r="F19" i="7"/>
  <c r="F21" i="7"/>
  <c r="R122" i="7"/>
  <c r="R127" i="7"/>
  <c r="R131" i="7"/>
  <c r="R133" i="7"/>
  <c r="R123" i="7"/>
  <c r="R121" i="7"/>
  <c r="R119" i="7"/>
  <c r="R116" i="7"/>
  <c r="R112" i="7"/>
  <c r="R129" i="7"/>
  <c r="R114" i="7"/>
  <c r="R125" i="7"/>
  <c r="R118" i="7"/>
  <c r="R130" i="7"/>
  <c r="R115" i="7"/>
  <c r="R128" i="7"/>
  <c r="R124" i="7"/>
  <c r="R117" i="7"/>
  <c r="R120" i="7"/>
  <c r="R132" i="7"/>
  <c r="R113" i="7"/>
  <c r="F34" i="7"/>
  <c r="R98" i="7"/>
  <c r="R108" i="7"/>
  <c r="R111" i="7"/>
  <c r="R109" i="7"/>
  <c r="R101" i="7"/>
  <c r="R100" i="7"/>
  <c r="R97" i="7"/>
  <c r="R99" i="7"/>
  <c r="R107" i="7"/>
  <c r="R94" i="7"/>
  <c r="R106" i="7"/>
  <c r="R104" i="7"/>
  <c r="R103" i="7"/>
  <c r="R110" i="7"/>
  <c r="F32" i="7"/>
  <c r="F33" i="7"/>
  <c r="F24" i="7"/>
  <c r="F29" i="7"/>
  <c r="F28" i="7"/>
  <c r="F31" i="7"/>
  <c r="F27" i="7"/>
  <c r="R57" i="7"/>
  <c r="R66" i="7"/>
  <c r="R61" i="7"/>
  <c r="R49" i="7"/>
  <c r="R62" i="7"/>
  <c r="R58" i="7"/>
  <c r="R64" i="7"/>
  <c r="R46" i="7"/>
  <c r="R59" i="7"/>
  <c r="R56" i="7"/>
  <c r="R67" i="7"/>
  <c r="R51" i="7"/>
  <c r="R54" i="7"/>
  <c r="R53" i="7"/>
  <c r="R48" i="7"/>
  <c r="R47" i="7"/>
  <c r="R52" i="7"/>
  <c r="R50" i="7"/>
  <c r="R60" i="7"/>
  <c r="R63" i="7"/>
  <c r="R55" i="7"/>
  <c r="F26" i="7"/>
  <c r="F23" i="7"/>
  <c r="F22" i="7"/>
  <c r="R82" i="7"/>
  <c r="R37" i="7"/>
  <c r="R24" i="7"/>
  <c r="R69" i="7"/>
  <c r="R81" i="7"/>
  <c r="R71" i="7"/>
  <c r="R45" i="7"/>
  <c r="R83" i="7"/>
  <c r="R70" i="7"/>
  <c r="R84" i="7"/>
  <c r="R72" i="7"/>
  <c r="R75" i="7"/>
  <c r="R80" i="7"/>
  <c r="R87" i="7"/>
  <c r="R29" i="7"/>
  <c r="R88" i="7"/>
  <c r="R73" i="7"/>
  <c r="R86" i="7"/>
  <c r="R76" i="7"/>
  <c r="R74" i="7"/>
  <c r="R68" i="7"/>
  <c r="R85" i="7"/>
  <c r="R89" i="7"/>
  <c r="R77" i="7"/>
  <c r="R42" i="7"/>
  <c r="R28" i="7"/>
  <c r="R15" i="7"/>
  <c r="R43" i="7"/>
  <c r="R26" i="7"/>
  <c r="R39" i="7"/>
  <c r="R32" i="7"/>
  <c r="R25" i="7"/>
  <c r="R36" i="7"/>
  <c r="R40" i="7"/>
  <c r="R35" i="7"/>
  <c r="R27" i="7"/>
  <c r="R30" i="7"/>
  <c r="R41" i="7"/>
  <c r="R33" i="7"/>
  <c r="R44" i="7"/>
  <c r="R38" i="7"/>
  <c r="R31" i="7"/>
  <c r="R4" i="7"/>
  <c r="R6" i="7"/>
  <c r="R12" i="7"/>
  <c r="R8" i="7"/>
  <c r="R10" i="7"/>
  <c r="R11" i="7"/>
  <c r="R13" i="7"/>
  <c r="R22" i="7"/>
  <c r="R17" i="7"/>
  <c r="R7" i="7"/>
  <c r="R18" i="7"/>
  <c r="R3" i="7"/>
  <c r="R21" i="7"/>
  <c r="R23" i="7"/>
  <c r="R19" i="7"/>
  <c r="R14" i="7"/>
  <c r="R16" i="7"/>
  <c r="R9" i="7"/>
  <c r="R5" i="7"/>
  <c r="R20" i="7"/>
  <c r="T156" i="7" l="1"/>
  <c r="T134" i="7"/>
  <c r="H42" i="7"/>
  <c r="H37" i="7"/>
  <c r="H2" i="7"/>
  <c r="H17" i="7"/>
  <c r="H12" i="7"/>
  <c r="H7" i="7"/>
  <c r="T112" i="7"/>
  <c r="T90" i="7"/>
  <c r="H32" i="7"/>
  <c r="H27" i="7"/>
  <c r="H22" i="7"/>
  <c r="T46" i="7"/>
  <c r="T68" i="7"/>
  <c r="T24" i="7"/>
  <c r="T2" i="7"/>
  <c r="Q8" i="4" l="1"/>
  <c r="AA4" i="8"/>
  <c r="AA9" i="8"/>
  <c r="AA11" i="8"/>
  <c r="AA6" i="8"/>
  <c r="AA5" i="8"/>
  <c r="AA7" i="8"/>
  <c r="AA8" i="8"/>
  <c r="AA12" i="8"/>
  <c r="AA10" i="8"/>
  <c r="AB5" i="8"/>
  <c r="AB3" i="8"/>
  <c r="AB12" i="8"/>
  <c r="AB9" i="8"/>
  <c r="AB7" i="8"/>
  <c r="AB6" i="8"/>
  <c r="AB4" i="8"/>
  <c r="AB8" i="8"/>
  <c r="AB10" i="8"/>
  <c r="AA3" i="8"/>
  <c r="AB11" i="8"/>
  <c r="G197" i="8" l="1"/>
  <c r="G201" i="8"/>
  <c r="G205" i="8"/>
  <c r="G209" i="8"/>
  <c r="G213" i="8"/>
  <c r="G194" i="8"/>
  <c r="G196" i="8"/>
  <c r="G203" i="8"/>
  <c r="G210" i="8"/>
  <c r="G212" i="8"/>
  <c r="G195" i="8"/>
  <c r="G202" i="8"/>
  <c r="G204" i="8"/>
  <c r="G211" i="8"/>
  <c r="G199" i="8"/>
  <c r="G206" i="8"/>
  <c r="G208" i="8"/>
  <c r="G215" i="8"/>
  <c r="G200" i="8"/>
  <c r="G207" i="8"/>
  <c r="G214" i="8"/>
  <c r="G216" i="8"/>
  <c r="G198" i="8"/>
  <c r="G68" i="8"/>
  <c r="G72" i="8"/>
  <c r="G76" i="8"/>
  <c r="G70" i="8"/>
  <c r="G74" i="8"/>
  <c r="G78" i="8"/>
  <c r="G82" i="8"/>
  <c r="G86" i="8"/>
  <c r="G71" i="8"/>
  <c r="AF42" i="8" s="1"/>
  <c r="AG38" i="8" s="1"/>
  <c r="G84" i="8"/>
  <c r="G69" i="8"/>
  <c r="G77" i="8"/>
  <c r="G79" i="8"/>
  <c r="G81" i="8"/>
  <c r="G67" i="8"/>
  <c r="G75" i="8"/>
  <c r="G83" i="8"/>
  <c r="G85" i="8"/>
  <c r="G80" i="8"/>
  <c r="G87" i="8"/>
  <c r="G73" i="8"/>
  <c r="G3" i="8"/>
  <c r="G4" i="8"/>
  <c r="G8" i="8"/>
  <c r="G12" i="8"/>
  <c r="G16" i="8"/>
  <c r="G20" i="8"/>
  <c r="G6" i="8"/>
  <c r="G10" i="8"/>
  <c r="G14" i="8"/>
  <c r="G18" i="8"/>
  <c r="G22" i="8"/>
  <c r="G7" i="8"/>
  <c r="G15" i="8"/>
  <c r="G23" i="8"/>
  <c r="G5" i="8"/>
  <c r="G13" i="8"/>
  <c r="G21" i="8"/>
  <c r="G11" i="8"/>
  <c r="G19" i="8"/>
  <c r="G17" i="8"/>
  <c r="G9" i="8"/>
  <c r="G110" i="8"/>
  <c r="G114" i="8"/>
  <c r="G116" i="8"/>
  <c r="G119" i="8"/>
  <c r="G123" i="8"/>
  <c r="G127" i="8"/>
  <c r="G111" i="8"/>
  <c r="G113" i="8"/>
  <c r="G118" i="8"/>
  <c r="G122" i="8"/>
  <c r="G126" i="8"/>
  <c r="G130" i="8"/>
  <c r="G115" i="8"/>
  <c r="G117" i="8"/>
  <c r="G121" i="8"/>
  <c r="G125" i="8"/>
  <c r="G129" i="8"/>
  <c r="G128" i="8"/>
  <c r="G112" i="8"/>
  <c r="G124" i="8"/>
  <c r="G120" i="8"/>
  <c r="G177" i="8"/>
  <c r="G181" i="8"/>
  <c r="G185" i="8"/>
  <c r="G189" i="8"/>
  <c r="G193" i="8"/>
  <c r="G178" i="8"/>
  <c r="G180" i="8"/>
  <c r="G187" i="8"/>
  <c r="G179" i="8"/>
  <c r="G186" i="8"/>
  <c r="G188" i="8"/>
  <c r="G176" i="8"/>
  <c r="G183" i="8"/>
  <c r="G190" i="8"/>
  <c r="G192" i="8"/>
  <c r="G175" i="8"/>
  <c r="G182" i="8"/>
  <c r="G184" i="8"/>
  <c r="G191" i="8"/>
  <c r="G90" i="8"/>
  <c r="G94" i="8"/>
  <c r="G98" i="8"/>
  <c r="G102" i="8"/>
  <c r="G106" i="8"/>
  <c r="G91" i="8"/>
  <c r="G93" i="8"/>
  <c r="G100" i="8"/>
  <c r="G107" i="8"/>
  <c r="G109" i="8"/>
  <c r="G88" i="8"/>
  <c r="G95" i="8"/>
  <c r="G97" i="8"/>
  <c r="G104" i="8"/>
  <c r="G92" i="8"/>
  <c r="G99" i="8"/>
  <c r="G101" i="8"/>
  <c r="G108" i="8"/>
  <c r="G89" i="8"/>
  <c r="G96" i="8"/>
  <c r="G103" i="8"/>
  <c r="G105" i="8"/>
  <c r="G131" i="8"/>
  <c r="G135" i="8"/>
  <c r="G139" i="8"/>
  <c r="G143" i="8"/>
  <c r="G147" i="8"/>
  <c r="G151" i="8"/>
  <c r="G134" i="8"/>
  <c r="G138" i="8"/>
  <c r="G142" i="8"/>
  <c r="G146" i="8"/>
  <c r="G150" i="8"/>
  <c r="G133" i="8"/>
  <c r="G137" i="8"/>
  <c r="G141" i="8"/>
  <c r="G145" i="8"/>
  <c r="G149" i="8"/>
  <c r="G132" i="8"/>
  <c r="G148" i="8"/>
  <c r="G140" i="8"/>
  <c r="G136" i="8"/>
  <c r="G144" i="8"/>
  <c r="G155" i="8"/>
  <c r="G159" i="8"/>
  <c r="G163" i="8"/>
  <c r="G154" i="8"/>
  <c r="G158" i="8"/>
  <c r="G162" i="8"/>
  <c r="G153" i="8"/>
  <c r="G157" i="8"/>
  <c r="G161" i="8"/>
  <c r="G165" i="8"/>
  <c r="G169" i="8"/>
  <c r="G173" i="8"/>
  <c r="G164" i="8"/>
  <c r="G171" i="8"/>
  <c r="G160" i="8"/>
  <c r="G166" i="8"/>
  <c r="G168" i="8"/>
  <c r="G156" i="8"/>
  <c r="G170" i="8"/>
  <c r="G172" i="8"/>
  <c r="G152" i="8"/>
  <c r="G167" i="8"/>
  <c r="G174" i="8"/>
  <c r="G48" i="8"/>
  <c r="G52" i="8"/>
  <c r="G56" i="8"/>
  <c r="G60" i="8"/>
  <c r="G64" i="8"/>
  <c r="G46" i="8"/>
  <c r="G50" i="8"/>
  <c r="G54" i="8"/>
  <c r="G58" i="8"/>
  <c r="G62" i="8"/>
  <c r="G66" i="8"/>
  <c r="G47" i="8"/>
  <c r="G55" i="8"/>
  <c r="G63" i="8"/>
  <c r="G45" i="8"/>
  <c r="G53" i="8"/>
  <c r="G61" i="8"/>
  <c r="G51" i="8"/>
  <c r="G59" i="8"/>
  <c r="G49" i="8"/>
  <c r="G65" i="8"/>
  <c r="G57" i="8"/>
  <c r="G24" i="8"/>
  <c r="G28" i="8"/>
  <c r="G32" i="8"/>
  <c r="G36" i="8"/>
  <c r="G40" i="8"/>
  <c r="G44" i="8"/>
  <c r="G26" i="8"/>
  <c r="G30" i="8"/>
  <c r="G34" i="8"/>
  <c r="G38" i="8"/>
  <c r="G42" i="8"/>
  <c r="G31" i="8"/>
  <c r="G39" i="8"/>
  <c r="G29" i="8"/>
  <c r="G37" i="8"/>
  <c r="AF24" i="8" s="1"/>
  <c r="G27" i="8"/>
  <c r="G35" i="8"/>
  <c r="G43" i="8"/>
  <c r="G41" i="8"/>
  <c r="G33" i="8"/>
  <c r="G25" i="8"/>
  <c r="AG13" i="8"/>
  <c r="AG14" i="8" s="1"/>
  <c r="F37" i="21" l="1"/>
  <c r="F79" i="21"/>
  <c r="F14" i="21"/>
  <c r="F101" i="21"/>
  <c r="F207" i="21"/>
  <c r="F142" i="21"/>
  <c r="F165" i="21"/>
  <c r="F185" i="21"/>
  <c r="F249" i="21"/>
  <c r="F13" i="21"/>
  <c r="F57" i="21"/>
  <c r="F36" i="21"/>
  <c r="F78" i="21"/>
  <c r="F141" i="21"/>
  <c r="F100" i="21"/>
  <c r="F206" i="21"/>
  <c r="F229" i="21"/>
  <c r="F164" i="21"/>
  <c r="F41" i="21"/>
  <c r="F83" i="21"/>
  <c r="F18" i="21"/>
  <c r="F62" i="21"/>
  <c r="F105" i="21"/>
  <c r="F211" i="21"/>
  <c r="F146" i="21"/>
  <c r="F169" i="21"/>
  <c r="F233" i="21"/>
  <c r="F73" i="21"/>
  <c r="F8" i="21"/>
  <c r="F52" i="21"/>
  <c r="F31" i="21"/>
  <c r="F95" i="21"/>
  <c r="F136" i="21"/>
  <c r="F159" i="21"/>
  <c r="F201" i="21"/>
  <c r="F224" i="21"/>
  <c r="F53" i="21"/>
  <c r="F76" i="21"/>
  <c r="F11" i="21"/>
  <c r="F139" i="21"/>
  <c r="F118" i="21"/>
  <c r="F182" i="21"/>
  <c r="F225" i="21"/>
  <c r="F204" i="21"/>
  <c r="F246" i="21"/>
  <c r="F65" i="21"/>
  <c r="F44" i="21"/>
  <c r="F130" i="21"/>
  <c r="F194" i="21"/>
  <c r="F172" i="21"/>
  <c r="F236" i="21"/>
  <c r="F257" i="21"/>
  <c r="F51" i="21"/>
  <c r="F30" i="21"/>
  <c r="F94" i="21"/>
  <c r="F116" i="21"/>
  <c r="F223" i="21"/>
  <c r="F158" i="21"/>
  <c r="F200" i="21"/>
  <c r="F60" i="21"/>
  <c r="F39" i="21"/>
  <c r="F103" i="21"/>
  <c r="F125" i="21"/>
  <c r="F167" i="21"/>
  <c r="F189" i="21"/>
  <c r="F232" i="21"/>
  <c r="F253" i="21"/>
  <c r="F45" i="21"/>
  <c r="F66" i="21"/>
  <c r="F131" i="21"/>
  <c r="F108" i="21"/>
  <c r="F215" i="21"/>
  <c r="F173" i="21"/>
  <c r="F237" i="21"/>
  <c r="F29" i="21"/>
  <c r="F50" i="21"/>
  <c r="F115" i="21"/>
  <c r="F93" i="21"/>
  <c r="F179" i="21"/>
  <c r="F222" i="21"/>
  <c r="F157" i="21"/>
  <c r="F243" i="21"/>
  <c r="F20" i="21"/>
  <c r="F107" i="21"/>
  <c r="F127" i="21"/>
  <c r="F85" i="21"/>
  <c r="F148" i="21"/>
  <c r="F191" i="21"/>
  <c r="F213" i="21"/>
  <c r="F48" i="21"/>
  <c r="F71" i="21"/>
  <c r="F6" i="21"/>
  <c r="F134" i="21"/>
  <c r="F113" i="21"/>
  <c r="F199" i="21"/>
  <c r="F177" i="21"/>
  <c r="F241" i="21"/>
  <c r="F220" i="21"/>
  <c r="F23" i="21"/>
  <c r="F67" i="21"/>
  <c r="F109" i="21"/>
  <c r="F88" i="21"/>
  <c r="F151" i="21"/>
  <c r="F174" i="21"/>
  <c r="F216" i="21"/>
  <c r="F238" i="21"/>
  <c r="F49" i="21"/>
  <c r="F28" i="21"/>
  <c r="F72" i="21"/>
  <c r="F7" i="21"/>
  <c r="F135" i="21"/>
  <c r="F114" i="21"/>
  <c r="F178" i="21"/>
  <c r="F221" i="21"/>
  <c r="F156" i="21"/>
  <c r="F242" i="21"/>
  <c r="F9" i="21"/>
  <c r="F32" i="21"/>
  <c r="F74" i="21"/>
  <c r="F137" i="21"/>
  <c r="F96" i="21"/>
  <c r="F202" i="21"/>
  <c r="F160" i="21"/>
  <c r="F180" i="21"/>
  <c r="F244" i="21"/>
  <c r="F68" i="21"/>
  <c r="F47" i="21"/>
  <c r="F26" i="21"/>
  <c r="F90" i="21"/>
  <c r="F132" i="21"/>
  <c r="F219" i="21"/>
  <c r="F154" i="21"/>
  <c r="F196" i="21"/>
  <c r="F61" i="21"/>
  <c r="F40" i="21"/>
  <c r="F126" i="21"/>
  <c r="F104" i="21"/>
  <c r="F210" i="21"/>
  <c r="F168" i="21"/>
  <c r="F56" i="21"/>
  <c r="F35" i="21"/>
  <c r="F99" i="21"/>
  <c r="F121" i="21"/>
  <c r="F163" i="21"/>
  <c r="F205" i="21"/>
  <c r="F228" i="21"/>
  <c r="F25" i="21"/>
  <c r="F46" i="21"/>
  <c r="F111" i="21"/>
  <c r="F195" i="21"/>
  <c r="F218" i="21"/>
  <c r="F153" i="21"/>
  <c r="F89" i="21"/>
  <c r="F33" i="21"/>
  <c r="F77" i="21"/>
  <c r="F12" i="21"/>
  <c r="F54" i="21"/>
  <c r="F119" i="21"/>
  <c r="F140" i="21"/>
  <c r="F183" i="21"/>
  <c r="F226" i="21"/>
  <c r="F161" i="21"/>
  <c r="F247" i="21"/>
  <c r="F24" i="21"/>
  <c r="F110" i="21"/>
  <c r="F175" i="21"/>
  <c r="F217" i="21"/>
  <c r="F152" i="21"/>
  <c r="F258" i="21"/>
  <c r="F84" i="21"/>
  <c r="F19" i="21"/>
  <c r="F42" i="21"/>
  <c r="F147" i="21"/>
  <c r="F106" i="21"/>
  <c r="F170" i="21"/>
  <c r="F190" i="21"/>
  <c r="F212" i="21"/>
  <c r="F254" i="21"/>
  <c r="F21" i="21"/>
  <c r="F63" i="21"/>
  <c r="F86" i="21"/>
  <c r="F128" i="21"/>
  <c r="F149" i="21"/>
  <c r="F214" i="21"/>
  <c r="F192" i="21"/>
  <c r="F255" i="21"/>
  <c r="F234" i="21"/>
  <c r="F5" i="21"/>
  <c r="F70" i="21"/>
  <c r="F92" i="21"/>
  <c r="F112" i="21"/>
  <c r="F198" i="21"/>
  <c r="F176" i="21"/>
  <c r="F240" i="21"/>
  <c r="F55" i="21"/>
  <c r="F34" i="21"/>
  <c r="F98" i="21"/>
  <c r="F120" i="21"/>
  <c r="F227" i="21"/>
  <c r="F162" i="21"/>
  <c r="F184" i="21"/>
  <c r="F248" i="21"/>
  <c r="F75" i="21"/>
  <c r="F10" i="21"/>
  <c r="F97" i="21"/>
  <c r="F117" i="21"/>
  <c r="F203" i="21"/>
  <c r="F138" i="21"/>
  <c r="F181" i="21"/>
  <c r="F245" i="21"/>
  <c r="F64" i="21"/>
  <c r="F43" i="21"/>
  <c r="F87" i="21"/>
  <c r="F22" i="21"/>
  <c r="F129" i="21"/>
  <c r="F171" i="21"/>
  <c r="F150" i="21"/>
  <c r="F193" i="21"/>
  <c r="F256" i="21"/>
  <c r="F235" i="21"/>
  <c r="F16" i="21"/>
  <c r="F58" i="21"/>
  <c r="F123" i="21"/>
  <c r="F81" i="21"/>
  <c r="F144" i="21"/>
  <c r="F187" i="21"/>
  <c r="F209" i="21"/>
  <c r="F230" i="21"/>
  <c r="F251" i="21"/>
  <c r="F80" i="21"/>
  <c r="F15" i="21"/>
  <c r="F143" i="21"/>
  <c r="F102" i="21"/>
  <c r="F122" i="21"/>
  <c r="F186" i="21"/>
  <c r="F208" i="21"/>
  <c r="F250" i="21"/>
  <c r="F17" i="21"/>
  <c r="F59" i="21"/>
  <c r="F38" i="21"/>
  <c r="F82" i="21"/>
  <c r="F145" i="21"/>
  <c r="F124" i="21"/>
  <c r="F231" i="21"/>
  <c r="F166" i="21"/>
  <c r="F188" i="21"/>
  <c r="F252" i="21"/>
  <c r="F4" i="21"/>
  <c r="F69" i="21"/>
  <c r="F27" i="21"/>
  <c r="F91" i="21"/>
  <c r="F133" i="21"/>
  <c r="F155" i="21"/>
  <c r="F197" i="21"/>
  <c r="F239" i="21"/>
  <c r="AG39" i="8"/>
  <c r="AH38" i="8"/>
  <c r="AG23" i="8"/>
  <c r="AB13" i="8"/>
  <c r="AA13" i="8"/>
  <c r="AH14" i="8"/>
  <c r="AG15" i="8"/>
  <c r="AG3" i="8"/>
  <c r="AG4" i="8" s="1"/>
  <c r="AG5" i="8" s="1"/>
  <c r="AG8" i="8"/>
  <c r="AG9" i="8" s="1"/>
  <c r="AG10" i="8" s="1"/>
  <c r="AG11" i="8" s="1"/>
  <c r="AG12" i="8" s="1"/>
  <c r="AH12" i="8" s="1"/>
  <c r="AH13" i="8"/>
  <c r="H43" i="8" l="1"/>
  <c r="H44" i="8"/>
  <c r="H42" i="8"/>
  <c r="H45" i="8"/>
  <c r="H46" i="8"/>
  <c r="H49" i="8"/>
  <c r="H47" i="8"/>
  <c r="H51" i="8"/>
  <c r="H50" i="8"/>
  <c r="H48" i="8"/>
  <c r="AG24" i="8"/>
  <c r="AH23" i="8"/>
  <c r="G217" i="8"/>
  <c r="G221" i="8"/>
  <c r="G225" i="8"/>
  <c r="G219" i="8"/>
  <c r="G226" i="8"/>
  <c r="G229" i="8"/>
  <c r="G233" i="8"/>
  <c r="G237" i="8"/>
  <c r="G218" i="8"/>
  <c r="G220" i="8"/>
  <c r="G227" i="8"/>
  <c r="G231" i="8"/>
  <c r="G235" i="8"/>
  <c r="G222" i="8"/>
  <c r="G224" i="8"/>
  <c r="G230" i="8"/>
  <c r="G234" i="8"/>
  <c r="G228" i="8"/>
  <c r="G223" i="8"/>
  <c r="G232" i="8"/>
  <c r="G236" i="8"/>
  <c r="H152" i="8"/>
  <c r="H154" i="8"/>
  <c r="H153" i="8"/>
  <c r="AH39" i="8"/>
  <c r="AG40" i="8"/>
  <c r="AH3" i="8"/>
  <c r="AH5" i="8"/>
  <c r="AG6" i="8"/>
  <c r="AH9" i="8"/>
  <c r="AH11" i="8"/>
  <c r="AH4" i="8"/>
  <c r="AH15" i="8"/>
  <c r="AG16" i="8"/>
  <c r="AH8" i="8"/>
  <c r="AH10" i="8"/>
  <c r="G46" i="21" l="1"/>
  <c r="G47" i="21"/>
  <c r="G52" i="21"/>
  <c r="G49" i="21"/>
  <c r="G51" i="21"/>
  <c r="G48" i="21"/>
  <c r="G50" i="21"/>
  <c r="G44" i="21"/>
  <c r="G43" i="21"/>
  <c r="G45" i="21"/>
  <c r="G153" i="21"/>
  <c r="G155" i="21"/>
  <c r="G154" i="21"/>
  <c r="H33" i="8"/>
  <c r="H35" i="8"/>
  <c r="H36" i="8"/>
  <c r="H34" i="8"/>
  <c r="H32" i="8"/>
  <c r="H9" i="8"/>
  <c r="H7" i="8"/>
  <c r="H11" i="8"/>
  <c r="H10" i="8"/>
  <c r="H8" i="8"/>
  <c r="H91" i="8"/>
  <c r="H89" i="8"/>
  <c r="H88" i="8"/>
  <c r="H90" i="8"/>
  <c r="AG25" i="8"/>
  <c r="AH24" i="8"/>
  <c r="H25" i="8"/>
  <c r="H26" i="8"/>
  <c r="H24" i="8"/>
  <c r="H3" i="8"/>
  <c r="H5" i="8"/>
  <c r="H4" i="8"/>
  <c r="H6" i="8"/>
  <c r="H37" i="8"/>
  <c r="H41" i="8"/>
  <c r="H39" i="8"/>
  <c r="H40" i="8"/>
  <c r="H38" i="8"/>
  <c r="H29" i="8"/>
  <c r="H27" i="8"/>
  <c r="H31" i="8"/>
  <c r="H28" i="8"/>
  <c r="H30" i="8"/>
  <c r="AH40" i="8"/>
  <c r="AG41" i="8"/>
  <c r="H53" i="8"/>
  <c r="H55" i="8"/>
  <c r="H52" i="8"/>
  <c r="H56" i="8"/>
  <c r="H54" i="8"/>
  <c r="H156" i="8"/>
  <c r="H155" i="8"/>
  <c r="H159" i="8"/>
  <c r="H158" i="8"/>
  <c r="H157" i="8"/>
  <c r="AG17" i="8"/>
  <c r="AH17" i="8" s="1"/>
  <c r="AH16" i="8"/>
  <c r="AH6" i="8"/>
  <c r="AG7" i="8"/>
  <c r="AH7" i="8" s="1"/>
  <c r="G27" i="21" l="1"/>
  <c r="G25" i="21"/>
  <c r="G26" i="21"/>
  <c r="G12" i="21"/>
  <c r="G8" i="21"/>
  <c r="G11" i="21"/>
  <c r="G9" i="21"/>
  <c r="G10" i="21"/>
  <c r="G158" i="21"/>
  <c r="G157" i="21"/>
  <c r="G160" i="21"/>
  <c r="G156" i="21"/>
  <c r="G159" i="21"/>
  <c r="G53" i="21"/>
  <c r="G56" i="21"/>
  <c r="G55" i="21"/>
  <c r="G57" i="21"/>
  <c r="G54" i="21"/>
  <c r="G29" i="21"/>
  <c r="G32" i="21"/>
  <c r="G28" i="21"/>
  <c r="G30" i="21"/>
  <c r="G31" i="21"/>
  <c r="G92" i="21"/>
  <c r="G91" i="21"/>
  <c r="G90" i="21"/>
  <c r="G89" i="21"/>
  <c r="G36" i="21"/>
  <c r="G37" i="21"/>
  <c r="G33" i="21"/>
  <c r="G35" i="21"/>
  <c r="G34" i="21"/>
  <c r="G40" i="21"/>
  <c r="G39" i="21"/>
  <c r="G41" i="21"/>
  <c r="G42" i="21"/>
  <c r="G38" i="21"/>
  <c r="G4" i="21"/>
  <c r="G5" i="21"/>
  <c r="G7" i="21"/>
  <c r="G6" i="21"/>
  <c r="H95" i="8"/>
  <c r="H96" i="8"/>
  <c r="H93" i="8"/>
  <c r="H94" i="8"/>
  <c r="H92" i="8"/>
  <c r="H13" i="8"/>
  <c r="H15" i="8"/>
  <c r="H12" i="8"/>
  <c r="H16" i="8"/>
  <c r="H14" i="8"/>
  <c r="H57" i="8"/>
  <c r="H61" i="8"/>
  <c r="H59" i="8"/>
  <c r="H60" i="8"/>
  <c r="H58" i="8"/>
  <c r="AG42" i="8"/>
  <c r="AH42" i="8" s="1"/>
  <c r="AH41" i="8"/>
  <c r="AG26" i="8"/>
  <c r="AH25" i="8"/>
  <c r="H17" i="8"/>
  <c r="H21" i="8"/>
  <c r="H19" i="8"/>
  <c r="H23" i="8"/>
  <c r="H20" i="8"/>
  <c r="H18" i="8"/>
  <c r="H22" i="8"/>
  <c r="H65" i="8"/>
  <c r="H63" i="8"/>
  <c r="H66" i="8"/>
  <c r="H64" i="8"/>
  <c r="H62" i="8"/>
  <c r="H160" i="8"/>
  <c r="H163" i="8"/>
  <c r="H162" i="8"/>
  <c r="H161" i="8"/>
  <c r="H164" i="8"/>
  <c r="AA14" i="8"/>
  <c r="AB14" i="8"/>
  <c r="G20" i="21" l="1"/>
  <c r="G21" i="21"/>
  <c r="G19" i="21"/>
  <c r="G24" i="21"/>
  <c r="G23" i="21"/>
  <c r="G22" i="21"/>
  <c r="G18" i="21"/>
  <c r="G65" i="21"/>
  <c r="G67" i="21"/>
  <c r="G64" i="21"/>
  <c r="G63" i="21"/>
  <c r="G66" i="21"/>
  <c r="G61" i="21"/>
  <c r="G60" i="21"/>
  <c r="G62" i="21"/>
  <c r="G59" i="21"/>
  <c r="G58" i="21"/>
  <c r="G96" i="21"/>
  <c r="G95" i="21"/>
  <c r="G94" i="21"/>
  <c r="G97" i="21"/>
  <c r="G93" i="21"/>
  <c r="G165" i="21"/>
  <c r="G161" i="21"/>
  <c r="G164" i="21"/>
  <c r="G163" i="21"/>
  <c r="G162" i="21"/>
  <c r="G17" i="21"/>
  <c r="G13" i="21"/>
  <c r="G16" i="21"/>
  <c r="G14" i="21"/>
  <c r="G15" i="21"/>
  <c r="H170" i="8"/>
  <c r="H174" i="8"/>
  <c r="H171" i="8"/>
  <c r="H172" i="8"/>
  <c r="H173" i="8"/>
  <c r="H99" i="8"/>
  <c r="H98" i="8"/>
  <c r="H100" i="8"/>
  <c r="H97" i="8"/>
  <c r="H101" i="8"/>
  <c r="AH26" i="8"/>
  <c r="AG27" i="8"/>
  <c r="AH27" i="8" s="1"/>
  <c r="G241" i="8"/>
  <c r="G245" i="8"/>
  <c r="G249" i="8"/>
  <c r="G253" i="8"/>
  <c r="AF32" i="8" s="1"/>
  <c r="AG28" i="8" s="1"/>
  <c r="G257" i="8"/>
  <c r="AF55" i="8" s="1"/>
  <c r="G239" i="8"/>
  <c r="G243" i="8"/>
  <c r="G247" i="8"/>
  <c r="G251" i="8"/>
  <c r="G255" i="8"/>
  <c r="G238" i="8"/>
  <c r="G242" i="8"/>
  <c r="G246" i="8"/>
  <c r="G250" i="8"/>
  <c r="G254" i="8"/>
  <c r="G244" i="8"/>
  <c r="G240" i="8"/>
  <c r="G256" i="8"/>
  <c r="G252" i="8"/>
  <c r="G248" i="8"/>
  <c r="H166" i="8"/>
  <c r="H167" i="8"/>
  <c r="H169" i="8"/>
  <c r="H168" i="8"/>
  <c r="H165" i="8"/>
  <c r="AB15" i="8"/>
  <c r="AC12" i="8" s="1"/>
  <c r="G170" i="21" l="1"/>
  <c r="G166" i="21"/>
  <c r="G169" i="21"/>
  <c r="G168" i="21"/>
  <c r="G167" i="21"/>
  <c r="G101" i="21"/>
  <c r="G100" i="21"/>
  <c r="G99" i="21"/>
  <c r="G102" i="21"/>
  <c r="G98" i="21"/>
  <c r="G172" i="21"/>
  <c r="G175" i="21"/>
  <c r="G173" i="21"/>
  <c r="G174" i="21"/>
  <c r="G171" i="21"/>
  <c r="AG29" i="8"/>
  <c r="AH28" i="8"/>
  <c r="H110" i="8" s="1"/>
  <c r="G111" i="21" s="1"/>
  <c r="H107" i="8"/>
  <c r="H109" i="8"/>
  <c r="H108" i="8"/>
  <c r="H103" i="8"/>
  <c r="H105" i="8"/>
  <c r="H102" i="8"/>
  <c r="H104" i="8"/>
  <c r="H106" i="8"/>
  <c r="I195" i="8"/>
  <c r="I199" i="8"/>
  <c r="I203" i="8"/>
  <c r="I207" i="8"/>
  <c r="I211" i="8"/>
  <c r="I215" i="8"/>
  <c r="I197" i="8"/>
  <c r="I204" i="8"/>
  <c r="I206" i="8"/>
  <c r="I213" i="8"/>
  <c r="I196" i="8"/>
  <c r="I198" i="8"/>
  <c r="I205" i="8"/>
  <c r="I212" i="8"/>
  <c r="I214" i="8"/>
  <c r="I200" i="8"/>
  <c r="I202" i="8"/>
  <c r="I209" i="8"/>
  <c r="I216" i="8"/>
  <c r="I194" i="8"/>
  <c r="I201" i="8"/>
  <c r="I208" i="8"/>
  <c r="I210" i="8"/>
  <c r="AG53" i="8"/>
  <c r="AC10" i="8"/>
  <c r="AC3" i="8"/>
  <c r="AC11" i="8"/>
  <c r="AC9" i="8"/>
  <c r="AC7" i="8"/>
  <c r="AC5" i="8"/>
  <c r="AC13" i="8"/>
  <c r="AC6" i="8"/>
  <c r="AC8" i="8"/>
  <c r="AC4" i="8"/>
  <c r="AC14" i="8"/>
  <c r="G105" i="21" l="1"/>
  <c r="G104" i="21"/>
  <c r="G107" i="21"/>
  <c r="G103" i="21"/>
  <c r="G106" i="21"/>
  <c r="G108" i="21"/>
  <c r="G110" i="21"/>
  <c r="G109" i="21"/>
  <c r="H197" i="21"/>
  <c r="J197" i="21" s="1"/>
  <c r="K197" i="21" s="1"/>
  <c r="H201" i="21"/>
  <c r="J201" i="21" s="1"/>
  <c r="K201" i="21" s="1"/>
  <c r="H205" i="21"/>
  <c r="J205" i="21" s="1"/>
  <c r="K205" i="21" s="1"/>
  <c r="H209" i="21"/>
  <c r="J209" i="21" s="1"/>
  <c r="K209" i="21" s="1"/>
  <c r="H213" i="21"/>
  <c r="J213" i="21" s="1"/>
  <c r="K213" i="21" s="1"/>
  <c r="H217" i="21"/>
  <c r="J217" i="21" s="1"/>
  <c r="K217" i="21" s="1"/>
  <c r="H196" i="21"/>
  <c r="J196" i="21" s="1"/>
  <c r="K196" i="21" s="1"/>
  <c r="H200" i="21"/>
  <c r="J200" i="21" s="1"/>
  <c r="K200" i="21" s="1"/>
  <c r="H204" i="21"/>
  <c r="J204" i="21" s="1"/>
  <c r="K204" i="21" s="1"/>
  <c r="H208" i="21"/>
  <c r="J208" i="21" s="1"/>
  <c r="K208" i="21" s="1"/>
  <c r="H212" i="21"/>
  <c r="J212" i="21" s="1"/>
  <c r="K212" i="21" s="1"/>
  <c r="H216" i="21"/>
  <c r="J216" i="21" s="1"/>
  <c r="K216" i="21" s="1"/>
  <c r="H195" i="21"/>
  <c r="J195" i="21" s="1"/>
  <c r="K195" i="21" s="1"/>
  <c r="H199" i="21"/>
  <c r="J199" i="21" s="1"/>
  <c r="K199" i="21" s="1"/>
  <c r="H203" i="21"/>
  <c r="J203" i="21" s="1"/>
  <c r="K203" i="21" s="1"/>
  <c r="H207" i="21"/>
  <c r="J207" i="21" s="1"/>
  <c r="K207" i="21" s="1"/>
  <c r="H211" i="21"/>
  <c r="J211" i="21" s="1"/>
  <c r="K211" i="21" s="1"/>
  <c r="H215" i="21"/>
  <c r="J215" i="21" s="1"/>
  <c r="K215" i="21" s="1"/>
  <c r="H198" i="21"/>
  <c r="J198" i="21" s="1"/>
  <c r="K198" i="21" s="1"/>
  <c r="H202" i="21"/>
  <c r="J202" i="21" s="1"/>
  <c r="K202" i="21" s="1"/>
  <c r="H206" i="21"/>
  <c r="J206" i="21" s="1"/>
  <c r="K206" i="21" s="1"/>
  <c r="H210" i="21"/>
  <c r="J210" i="21" s="1"/>
  <c r="K210" i="21" s="1"/>
  <c r="H214" i="21"/>
  <c r="J214" i="21" s="1"/>
  <c r="K214" i="21" s="1"/>
  <c r="I112" i="8"/>
  <c r="I116" i="8"/>
  <c r="I110" i="8"/>
  <c r="I117" i="8"/>
  <c r="I121" i="8"/>
  <c r="I125" i="8"/>
  <c r="I129" i="8"/>
  <c r="I114" i="8"/>
  <c r="I120" i="8"/>
  <c r="I124" i="8"/>
  <c r="I128" i="8"/>
  <c r="I111" i="8"/>
  <c r="I119" i="8"/>
  <c r="I123" i="8"/>
  <c r="I127" i="8"/>
  <c r="I115" i="8"/>
  <c r="I126" i="8"/>
  <c r="I118" i="8"/>
  <c r="I113" i="8"/>
  <c r="I130" i="8"/>
  <c r="I122" i="8"/>
  <c r="I153" i="8"/>
  <c r="I157" i="8"/>
  <c r="I161" i="8"/>
  <c r="I152" i="8"/>
  <c r="I156" i="8"/>
  <c r="I160" i="8"/>
  <c r="I155" i="8"/>
  <c r="I159" i="8"/>
  <c r="I163" i="8"/>
  <c r="I167" i="8"/>
  <c r="I171" i="8"/>
  <c r="I158" i="8"/>
  <c r="I165" i="8"/>
  <c r="I172" i="8"/>
  <c r="I174" i="8"/>
  <c r="I154" i="8"/>
  <c r="I164" i="8"/>
  <c r="I166" i="8"/>
  <c r="I173" i="8"/>
  <c r="I162" i="8"/>
  <c r="I168" i="8"/>
  <c r="I170" i="8"/>
  <c r="I169" i="8"/>
  <c r="I239" i="8"/>
  <c r="I243" i="8"/>
  <c r="I247" i="8"/>
  <c r="I251" i="8"/>
  <c r="I255" i="8"/>
  <c r="I241" i="8"/>
  <c r="I245" i="8"/>
  <c r="I249" i="8"/>
  <c r="I253" i="8"/>
  <c r="I257" i="8"/>
  <c r="I240" i="8"/>
  <c r="I244" i="8"/>
  <c r="I248" i="8"/>
  <c r="I252" i="8"/>
  <c r="I256" i="8"/>
  <c r="I238" i="8"/>
  <c r="I254" i="8"/>
  <c r="I250" i="8"/>
  <c r="I246" i="8"/>
  <c r="I242" i="8"/>
  <c r="I175" i="8"/>
  <c r="I179" i="8"/>
  <c r="I183" i="8"/>
  <c r="I187" i="8"/>
  <c r="I191" i="8"/>
  <c r="I181" i="8"/>
  <c r="I188" i="8"/>
  <c r="I190" i="8"/>
  <c r="I180" i="8"/>
  <c r="I182" i="8"/>
  <c r="I189" i="8"/>
  <c r="I177" i="8"/>
  <c r="I184" i="8"/>
  <c r="I186" i="8"/>
  <c r="I193" i="8"/>
  <c r="I176" i="8"/>
  <c r="I178" i="8"/>
  <c r="I185" i="8"/>
  <c r="I192" i="8"/>
  <c r="I88" i="8"/>
  <c r="I92" i="8"/>
  <c r="I96" i="8"/>
  <c r="I100" i="8"/>
  <c r="I104" i="8"/>
  <c r="I108" i="8"/>
  <c r="I94" i="8"/>
  <c r="I101" i="8"/>
  <c r="I103" i="8"/>
  <c r="I89" i="8"/>
  <c r="I91" i="8"/>
  <c r="I98" i="8"/>
  <c r="I105" i="8"/>
  <c r="I107" i="8"/>
  <c r="I93" i="8"/>
  <c r="I95" i="8"/>
  <c r="I102" i="8"/>
  <c r="I109" i="8"/>
  <c r="I90" i="8"/>
  <c r="I97" i="8"/>
  <c r="I99" i="8"/>
  <c r="I106" i="8"/>
  <c r="I70" i="8"/>
  <c r="I74" i="8"/>
  <c r="I68" i="8"/>
  <c r="I72" i="8"/>
  <c r="I76" i="8"/>
  <c r="I80" i="8"/>
  <c r="I84" i="8"/>
  <c r="I73" i="8"/>
  <c r="I78" i="8"/>
  <c r="I85" i="8"/>
  <c r="I87" i="8"/>
  <c r="I71" i="8"/>
  <c r="I82" i="8"/>
  <c r="I69" i="8"/>
  <c r="I77" i="8"/>
  <c r="I79" i="8"/>
  <c r="I86" i="8"/>
  <c r="I75" i="8"/>
  <c r="I83" i="8"/>
  <c r="I67" i="8"/>
  <c r="I81" i="8"/>
  <c r="I133" i="8"/>
  <c r="I137" i="8"/>
  <c r="I141" i="8"/>
  <c r="I145" i="8"/>
  <c r="I149" i="8"/>
  <c r="I132" i="8"/>
  <c r="I136" i="8"/>
  <c r="I140" i="8"/>
  <c r="I144" i="8"/>
  <c r="I148" i="8"/>
  <c r="I131" i="8"/>
  <c r="I135" i="8"/>
  <c r="I139" i="8"/>
  <c r="I143" i="8"/>
  <c r="I147" i="8"/>
  <c r="I151" i="8"/>
  <c r="I142" i="8"/>
  <c r="I138" i="8"/>
  <c r="I134" i="8"/>
  <c r="I150" i="8"/>
  <c r="I146" i="8"/>
  <c r="AH53" i="8"/>
  <c r="AG54" i="8"/>
  <c r="I219" i="8"/>
  <c r="I223" i="8"/>
  <c r="I220" i="8"/>
  <c r="I222" i="8"/>
  <c r="I227" i="8"/>
  <c r="I231" i="8"/>
  <c r="I235" i="8"/>
  <c r="I221" i="8"/>
  <c r="I229" i="8"/>
  <c r="I233" i="8"/>
  <c r="I237" i="8"/>
  <c r="I218" i="8"/>
  <c r="I225" i="8"/>
  <c r="I228" i="8"/>
  <c r="I232" i="8"/>
  <c r="I236" i="8"/>
  <c r="I234" i="8"/>
  <c r="I217" i="8"/>
  <c r="I224" i="8"/>
  <c r="I230" i="8"/>
  <c r="I226" i="8"/>
  <c r="I26" i="8"/>
  <c r="I30" i="8"/>
  <c r="I34" i="8"/>
  <c r="I38" i="8"/>
  <c r="I42" i="8"/>
  <c r="I24" i="8"/>
  <c r="I28" i="8"/>
  <c r="I32" i="8"/>
  <c r="I36" i="8"/>
  <c r="I40" i="8"/>
  <c r="I44" i="8"/>
  <c r="I25" i="8"/>
  <c r="I33" i="8"/>
  <c r="I41" i="8"/>
  <c r="I31" i="8"/>
  <c r="I39" i="8"/>
  <c r="I29" i="8"/>
  <c r="I37" i="8"/>
  <c r="I27" i="8"/>
  <c r="I43" i="8"/>
  <c r="I35" i="8"/>
  <c r="I46" i="8"/>
  <c r="I50" i="8"/>
  <c r="I54" i="8"/>
  <c r="I58" i="8"/>
  <c r="I62" i="8"/>
  <c r="I66" i="8"/>
  <c r="I48" i="8"/>
  <c r="I52" i="8"/>
  <c r="I56" i="8"/>
  <c r="I60" i="8"/>
  <c r="I64" i="8"/>
  <c r="I49" i="8"/>
  <c r="I57" i="8"/>
  <c r="I65" i="8"/>
  <c r="I47" i="8"/>
  <c r="I55" i="8"/>
  <c r="I63" i="8"/>
  <c r="I45" i="8"/>
  <c r="I53" i="8"/>
  <c r="I61" i="8"/>
  <c r="I59" i="8"/>
  <c r="I51" i="8"/>
  <c r="I3" i="8"/>
  <c r="I6" i="8"/>
  <c r="I10" i="8"/>
  <c r="I14" i="8"/>
  <c r="I18" i="8"/>
  <c r="I22" i="8"/>
  <c r="I4" i="8"/>
  <c r="I8" i="8"/>
  <c r="I12" i="8"/>
  <c r="I16" i="8"/>
  <c r="I20" i="8"/>
  <c r="I9" i="8"/>
  <c r="I17" i="8"/>
  <c r="I7" i="8"/>
  <c r="I15" i="8"/>
  <c r="I23" i="8"/>
  <c r="I5" i="8"/>
  <c r="I13" i="8"/>
  <c r="I21" i="8"/>
  <c r="I19" i="8"/>
  <c r="I11" i="8"/>
  <c r="AH29" i="8"/>
  <c r="AG30" i="8"/>
  <c r="AC15" i="8"/>
  <c r="L202" i="21" l="1"/>
  <c r="M202" i="21"/>
  <c r="L207" i="21"/>
  <c r="M207" i="21"/>
  <c r="L216" i="21"/>
  <c r="M216" i="21"/>
  <c r="L200" i="21"/>
  <c r="M200" i="21"/>
  <c r="L209" i="21"/>
  <c r="M209" i="21"/>
  <c r="L214" i="21"/>
  <c r="M214" i="21"/>
  <c r="L198" i="21"/>
  <c r="M198" i="21"/>
  <c r="L203" i="21"/>
  <c r="M203" i="21"/>
  <c r="L212" i="21"/>
  <c r="M212" i="21"/>
  <c r="L196" i="21"/>
  <c r="M196" i="21"/>
  <c r="L205" i="21"/>
  <c r="M205" i="21"/>
  <c r="L210" i="21"/>
  <c r="M210" i="21"/>
  <c r="L215" i="21"/>
  <c r="M215" i="21"/>
  <c r="L199" i="21"/>
  <c r="M199" i="21"/>
  <c r="L208" i="21"/>
  <c r="M208" i="21"/>
  <c r="L217" i="21"/>
  <c r="M217" i="21"/>
  <c r="L201" i="21"/>
  <c r="M201" i="21"/>
  <c r="L206" i="21"/>
  <c r="M206" i="21"/>
  <c r="L211" i="21"/>
  <c r="M211" i="21"/>
  <c r="L195" i="21"/>
  <c r="M195" i="21"/>
  <c r="L204" i="21"/>
  <c r="M204" i="21"/>
  <c r="L213" i="21"/>
  <c r="M213" i="21"/>
  <c r="L197" i="21"/>
  <c r="M197" i="21"/>
  <c r="H47" i="21"/>
  <c r="J47" i="21" s="1"/>
  <c r="K47" i="21" s="1"/>
  <c r="H51" i="21"/>
  <c r="J51" i="21" s="1"/>
  <c r="K51" i="21" s="1"/>
  <c r="H55" i="21"/>
  <c r="J55" i="21" s="1"/>
  <c r="K55" i="21" s="1"/>
  <c r="H59" i="21"/>
  <c r="J59" i="21" s="1"/>
  <c r="K59" i="21" s="1"/>
  <c r="H63" i="21"/>
  <c r="J63" i="21" s="1"/>
  <c r="K63" i="21" s="1"/>
  <c r="H67" i="21"/>
  <c r="J67" i="21" s="1"/>
  <c r="K67" i="21" s="1"/>
  <c r="H46" i="21"/>
  <c r="J46" i="21" s="1"/>
  <c r="K46" i="21" s="1"/>
  <c r="H50" i="21"/>
  <c r="J50" i="21" s="1"/>
  <c r="K50" i="21" s="1"/>
  <c r="H54" i="21"/>
  <c r="J54" i="21" s="1"/>
  <c r="K54" i="21" s="1"/>
  <c r="H58" i="21"/>
  <c r="J58" i="21" s="1"/>
  <c r="K58" i="21" s="1"/>
  <c r="H62" i="21"/>
  <c r="J62" i="21" s="1"/>
  <c r="K62" i="21" s="1"/>
  <c r="H66" i="21"/>
  <c r="J66" i="21" s="1"/>
  <c r="K66" i="21" s="1"/>
  <c r="H49" i="21"/>
  <c r="J49" i="21" s="1"/>
  <c r="K49" i="21" s="1"/>
  <c r="H53" i="21"/>
  <c r="J53" i="21" s="1"/>
  <c r="K53" i="21" s="1"/>
  <c r="H57" i="21"/>
  <c r="J57" i="21" s="1"/>
  <c r="K57" i="21" s="1"/>
  <c r="H61" i="21"/>
  <c r="J61" i="21" s="1"/>
  <c r="K61" i="21" s="1"/>
  <c r="H65" i="21"/>
  <c r="J65" i="21" s="1"/>
  <c r="K65" i="21" s="1"/>
  <c r="H48" i="21"/>
  <c r="J48" i="21" s="1"/>
  <c r="K48" i="21" s="1"/>
  <c r="H52" i="21"/>
  <c r="J52" i="21" s="1"/>
  <c r="K52" i="21" s="1"/>
  <c r="H56" i="21"/>
  <c r="J56" i="21" s="1"/>
  <c r="K56" i="21" s="1"/>
  <c r="H60" i="21"/>
  <c r="J60" i="21" s="1"/>
  <c r="K60" i="21" s="1"/>
  <c r="H64" i="21"/>
  <c r="J64" i="21" s="1"/>
  <c r="K64" i="21" s="1"/>
  <c r="H133" i="21"/>
  <c r="J133" i="21" s="1"/>
  <c r="K133" i="21" s="1"/>
  <c r="M133" i="21" s="1"/>
  <c r="H137" i="21"/>
  <c r="J137" i="21" s="1"/>
  <c r="K137" i="21" s="1"/>
  <c r="H141" i="21"/>
  <c r="J141" i="21" s="1"/>
  <c r="K141" i="21" s="1"/>
  <c r="H145" i="21"/>
  <c r="J145" i="21" s="1"/>
  <c r="K145" i="21" s="1"/>
  <c r="H149" i="21"/>
  <c r="J149" i="21" s="1"/>
  <c r="K149" i="21" s="1"/>
  <c r="H132" i="21"/>
  <c r="J132" i="21" s="1"/>
  <c r="K132" i="21" s="1"/>
  <c r="H135" i="21"/>
  <c r="J135" i="21" s="1"/>
  <c r="K135" i="21" s="1"/>
  <c r="H139" i="21"/>
  <c r="J139" i="21" s="1"/>
  <c r="K139" i="21" s="1"/>
  <c r="H143" i="21"/>
  <c r="J143" i="21" s="1"/>
  <c r="K143" i="21" s="1"/>
  <c r="H134" i="21"/>
  <c r="J134" i="21" s="1"/>
  <c r="K134" i="21" s="1"/>
  <c r="H138" i="21"/>
  <c r="J138" i="21" s="1"/>
  <c r="K138" i="21" s="1"/>
  <c r="H142" i="21"/>
  <c r="J142" i="21" s="1"/>
  <c r="K142" i="21" s="1"/>
  <c r="H146" i="21"/>
  <c r="J146" i="21" s="1"/>
  <c r="K146" i="21" s="1"/>
  <c r="H150" i="21"/>
  <c r="J150" i="21" s="1"/>
  <c r="K150" i="21" s="1"/>
  <c r="H148" i="21"/>
  <c r="J148" i="21" s="1"/>
  <c r="K148" i="21" s="1"/>
  <c r="H136" i="21"/>
  <c r="J136" i="21" s="1"/>
  <c r="K136" i="21" s="1"/>
  <c r="H140" i="21"/>
  <c r="J140" i="21" s="1"/>
  <c r="K140" i="21" s="1"/>
  <c r="H144" i="21"/>
  <c r="J144" i="21" s="1"/>
  <c r="K144" i="21" s="1"/>
  <c r="H152" i="21"/>
  <c r="J152" i="21" s="1"/>
  <c r="K152" i="21" s="1"/>
  <c r="H151" i="21"/>
  <c r="J151" i="21" s="1"/>
  <c r="K151" i="21" s="1"/>
  <c r="H147" i="21"/>
  <c r="J147" i="21" s="1"/>
  <c r="K147" i="21" s="1"/>
  <c r="H71" i="21"/>
  <c r="J71" i="21" s="1"/>
  <c r="K71" i="21" s="1"/>
  <c r="H75" i="21"/>
  <c r="J75" i="21" s="1"/>
  <c r="K75" i="21" s="1"/>
  <c r="H79" i="21"/>
  <c r="J79" i="21" s="1"/>
  <c r="K79" i="21" s="1"/>
  <c r="H70" i="21"/>
  <c r="J70" i="21" s="1"/>
  <c r="K70" i="21" s="1"/>
  <c r="H74" i="21"/>
  <c r="J74" i="21" s="1"/>
  <c r="K74" i="21" s="1"/>
  <c r="H78" i="21"/>
  <c r="J78" i="21" s="1"/>
  <c r="K78" i="21" s="1"/>
  <c r="H82" i="21"/>
  <c r="J82" i="21" s="1"/>
  <c r="K82" i="21" s="1"/>
  <c r="H86" i="21"/>
  <c r="J86" i="21" s="1"/>
  <c r="K86" i="21" s="1"/>
  <c r="H69" i="21"/>
  <c r="J69" i="21" s="1"/>
  <c r="K69" i="21" s="1"/>
  <c r="H73" i="21"/>
  <c r="J73" i="21" s="1"/>
  <c r="K73" i="21" s="1"/>
  <c r="H77" i="21"/>
  <c r="J77" i="21" s="1"/>
  <c r="K77" i="21" s="1"/>
  <c r="H81" i="21"/>
  <c r="J81" i="21" s="1"/>
  <c r="K81" i="21" s="1"/>
  <c r="H85" i="21"/>
  <c r="J85" i="21" s="1"/>
  <c r="K85" i="21" s="1"/>
  <c r="H68" i="21"/>
  <c r="J68" i="21" s="1"/>
  <c r="K68" i="21" s="1"/>
  <c r="H72" i="21"/>
  <c r="J72" i="21" s="1"/>
  <c r="K72" i="21" s="1"/>
  <c r="M72" i="21" s="1"/>
  <c r="H76" i="21"/>
  <c r="J76" i="21" s="1"/>
  <c r="K76" i="21" s="1"/>
  <c r="H80" i="21"/>
  <c r="J80" i="21" s="1"/>
  <c r="K80" i="21" s="1"/>
  <c r="H84" i="21"/>
  <c r="J84" i="21" s="1"/>
  <c r="K84" i="21" s="1"/>
  <c r="H88" i="21"/>
  <c r="J88" i="21" s="1"/>
  <c r="K88" i="21" s="1"/>
  <c r="H83" i="21"/>
  <c r="J83" i="21" s="1"/>
  <c r="K83" i="21" s="1"/>
  <c r="H87" i="21"/>
  <c r="J87" i="21" s="1"/>
  <c r="K87" i="21" s="1"/>
  <c r="H177" i="21"/>
  <c r="J177" i="21" s="1"/>
  <c r="K177" i="21" s="1"/>
  <c r="H181" i="21"/>
  <c r="J181" i="21" s="1"/>
  <c r="K181" i="21" s="1"/>
  <c r="H185" i="21"/>
  <c r="J185" i="21" s="1"/>
  <c r="K185" i="21" s="1"/>
  <c r="H189" i="21"/>
  <c r="J189" i="21" s="1"/>
  <c r="K189" i="21" s="1"/>
  <c r="H193" i="21"/>
  <c r="J193" i="21" s="1"/>
  <c r="K193" i="21" s="1"/>
  <c r="H176" i="21"/>
  <c r="J176" i="21" s="1"/>
  <c r="K176" i="21" s="1"/>
  <c r="H180" i="21"/>
  <c r="J180" i="21" s="1"/>
  <c r="K180" i="21" s="1"/>
  <c r="H184" i="21"/>
  <c r="J184" i="21" s="1"/>
  <c r="K184" i="21" s="1"/>
  <c r="H188" i="21"/>
  <c r="J188" i="21" s="1"/>
  <c r="K188" i="21" s="1"/>
  <c r="H192" i="21"/>
  <c r="J192" i="21" s="1"/>
  <c r="K192" i="21" s="1"/>
  <c r="H179" i="21"/>
  <c r="J179" i="21" s="1"/>
  <c r="K179" i="21" s="1"/>
  <c r="H183" i="21"/>
  <c r="J183" i="21" s="1"/>
  <c r="K183" i="21" s="1"/>
  <c r="H187" i="21"/>
  <c r="J187" i="21" s="1"/>
  <c r="K187" i="21" s="1"/>
  <c r="H191" i="21"/>
  <c r="J191" i="21" s="1"/>
  <c r="K191" i="21" s="1"/>
  <c r="H178" i="21"/>
  <c r="J178" i="21" s="1"/>
  <c r="K178" i="21" s="1"/>
  <c r="H182" i="21"/>
  <c r="J182" i="21" s="1"/>
  <c r="K182" i="21" s="1"/>
  <c r="H186" i="21"/>
  <c r="J186" i="21" s="1"/>
  <c r="K186" i="21" s="1"/>
  <c r="H190" i="21"/>
  <c r="J190" i="21" s="1"/>
  <c r="K190" i="21" s="1"/>
  <c r="H194" i="21"/>
  <c r="J194" i="21" s="1"/>
  <c r="K194" i="21" s="1"/>
  <c r="H153" i="21"/>
  <c r="J153" i="21" s="1"/>
  <c r="K153" i="21" s="1"/>
  <c r="H157" i="21"/>
  <c r="J157" i="21" s="1"/>
  <c r="K157" i="21" s="1"/>
  <c r="H161" i="21"/>
  <c r="J161" i="21" s="1"/>
  <c r="K161" i="21" s="1"/>
  <c r="H165" i="21"/>
  <c r="J165" i="21" s="1"/>
  <c r="K165" i="21" s="1"/>
  <c r="H169" i="21"/>
  <c r="J169" i="21" s="1"/>
  <c r="K169" i="21" s="1"/>
  <c r="H173" i="21"/>
  <c r="J173" i="21" s="1"/>
  <c r="K173" i="21" s="1"/>
  <c r="H156" i="21"/>
  <c r="J156" i="21" s="1"/>
  <c r="K156" i="21" s="1"/>
  <c r="H160" i="21"/>
  <c r="J160" i="21" s="1"/>
  <c r="K160" i="21" s="1"/>
  <c r="H164" i="21"/>
  <c r="J164" i="21" s="1"/>
  <c r="K164" i="21" s="1"/>
  <c r="H168" i="21"/>
  <c r="J168" i="21" s="1"/>
  <c r="K168" i="21" s="1"/>
  <c r="H172" i="21"/>
  <c r="J172" i="21" s="1"/>
  <c r="K172" i="21" s="1"/>
  <c r="H155" i="21"/>
  <c r="J155" i="21" s="1"/>
  <c r="K155" i="21" s="1"/>
  <c r="M155" i="21" s="1"/>
  <c r="H159" i="21"/>
  <c r="J159" i="21" s="1"/>
  <c r="K159" i="21" s="1"/>
  <c r="H163" i="21"/>
  <c r="J163" i="21" s="1"/>
  <c r="K163" i="21" s="1"/>
  <c r="H167" i="21"/>
  <c r="J167" i="21" s="1"/>
  <c r="K167" i="21" s="1"/>
  <c r="H171" i="21"/>
  <c r="J171" i="21" s="1"/>
  <c r="K171" i="21" s="1"/>
  <c r="H175" i="21"/>
  <c r="J175" i="21" s="1"/>
  <c r="K175" i="21" s="1"/>
  <c r="H154" i="21"/>
  <c r="J154" i="21" s="1"/>
  <c r="K154" i="21" s="1"/>
  <c r="H158" i="21"/>
  <c r="J158" i="21" s="1"/>
  <c r="K158" i="21" s="1"/>
  <c r="H162" i="21"/>
  <c r="J162" i="21" s="1"/>
  <c r="K162" i="21" s="1"/>
  <c r="H166" i="21"/>
  <c r="J166" i="21" s="1"/>
  <c r="K166" i="21" s="1"/>
  <c r="H170" i="21"/>
  <c r="J170" i="21" s="1"/>
  <c r="K170" i="21" s="1"/>
  <c r="H174" i="21"/>
  <c r="J174" i="21" s="1"/>
  <c r="K174" i="21" s="1"/>
  <c r="H27" i="21"/>
  <c r="J27" i="21" s="1"/>
  <c r="K27" i="21" s="1"/>
  <c r="H31" i="21"/>
  <c r="J31" i="21" s="1"/>
  <c r="K31" i="21" s="1"/>
  <c r="H35" i="21"/>
  <c r="J35" i="21" s="1"/>
  <c r="K35" i="21" s="1"/>
  <c r="H39" i="21"/>
  <c r="J39" i="21" s="1"/>
  <c r="K39" i="21" s="1"/>
  <c r="H43" i="21"/>
  <c r="J43" i="21" s="1"/>
  <c r="K43" i="21" s="1"/>
  <c r="H26" i="21"/>
  <c r="J26" i="21" s="1"/>
  <c r="K26" i="21" s="1"/>
  <c r="H30" i="21"/>
  <c r="J30" i="21" s="1"/>
  <c r="K30" i="21" s="1"/>
  <c r="H34" i="21"/>
  <c r="J34" i="21" s="1"/>
  <c r="K34" i="21" s="1"/>
  <c r="H38" i="21"/>
  <c r="J38" i="21" s="1"/>
  <c r="K38" i="21" s="1"/>
  <c r="M38" i="21" s="1"/>
  <c r="H42" i="21"/>
  <c r="J42" i="21" s="1"/>
  <c r="K42" i="21" s="1"/>
  <c r="H25" i="21"/>
  <c r="J25" i="21" s="1"/>
  <c r="K25" i="21" s="1"/>
  <c r="H29" i="21"/>
  <c r="J29" i="21" s="1"/>
  <c r="K29" i="21" s="1"/>
  <c r="H33" i="21"/>
  <c r="J33" i="21" s="1"/>
  <c r="K33" i="21" s="1"/>
  <c r="H37" i="21"/>
  <c r="J37" i="21" s="1"/>
  <c r="K37" i="21" s="1"/>
  <c r="H41" i="21"/>
  <c r="J41" i="21" s="1"/>
  <c r="K41" i="21" s="1"/>
  <c r="H45" i="21"/>
  <c r="J45" i="21" s="1"/>
  <c r="K45" i="21" s="1"/>
  <c r="H28" i="21"/>
  <c r="J28" i="21" s="1"/>
  <c r="K28" i="21" s="1"/>
  <c r="H32" i="21"/>
  <c r="J32" i="21" s="1"/>
  <c r="K32" i="21" s="1"/>
  <c r="H36" i="21"/>
  <c r="J36" i="21" s="1"/>
  <c r="K36" i="21" s="1"/>
  <c r="H40" i="21"/>
  <c r="J40" i="21" s="1"/>
  <c r="K40" i="21" s="1"/>
  <c r="H44" i="21"/>
  <c r="J44" i="21" s="1"/>
  <c r="K44" i="21" s="1"/>
  <c r="H89" i="21"/>
  <c r="J89" i="21" s="1"/>
  <c r="K89" i="21" s="1"/>
  <c r="H93" i="21"/>
  <c r="J93" i="21" s="1"/>
  <c r="K93" i="21" s="1"/>
  <c r="H97" i="21"/>
  <c r="J97" i="21" s="1"/>
  <c r="K97" i="21" s="1"/>
  <c r="H101" i="21"/>
  <c r="J101" i="21" s="1"/>
  <c r="K101" i="21" s="1"/>
  <c r="H105" i="21"/>
  <c r="J105" i="21" s="1"/>
  <c r="K105" i="21" s="1"/>
  <c r="H109" i="21"/>
  <c r="J109" i="21" s="1"/>
  <c r="K109" i="21" s="1"/>
  <c r="H92" i="21"/>
  <c r="J92" i="21" s="1"/>
  <c r="K92" i="21" s="1"/>
  <c r="H96" i="21"/>
  <c r="J96" i="21" s="1"/>
  <c r="K96" i="21" s="1"/>
  <c r="H100" i="21"/>
  <c r="J100" i="21" s="1"/>
  <c r="K100" i="21" s="1"/>
  <c r="H104" i="21"/>
  <c r="J104" i="21" s="1"/>
  <c r="K104" i="21" s="1"/>
  <c r="H108" i="21"/>
  <c r="J108" i="21" s="1"/>
  <c r="K108" i="21" s="1"/>
  <c r="H91" i="21"/>
  <c r="J91" i="21" s="1"/>
  <c r="K91" i="21" s="1"/>
  <c r="H95" i="21"/>
  <c r="J95" i="21" s="1"/>
  <c r="K95" i="21" s="1"/>
  <c r="H99" i="21"/>
  <c r="J99" i="21" s="1"/>
  <c r="K99" i="21" s="1"/>
  <c r="H103" i="21"/>
  <c r="J103" i="21" s="1"/>
  <c r="K103" i="21" s="1"/>
  <c r="H107" i="21"/>
  <c r="J107" i="21" s="1"/>
  <c r="K107" i="21" s="1"/>
  <c r="H90" i="21"/>
  <c r="J90" i="21" s="1"/>
  <c r="K90" i="21" s="1"/>
  <c r="H94" i="21"/>
  <c r="J94" i="21" s="1"/>
  <c r="K94" i="21" s="1"/>
  <c r="H98" i="21"/>
  <c r="J98" i="21" s="1"/>
  <c r="K98" i="21" s="1"/>
  <c r="H102" i="21"/>
  <c r="J102" i="21" s="1"/>
  <c r="K102" i="21" s="1"/>
  <c r="M102" i="21" s="1"/>
  <c r="H106" i="21"/>
  <c r="J106" i="21" s="1"/>
  <c r="K106" i="21" s="1"/>
  <c r="H110" i="21"/>
  <c r="J110" i="21" s="1"/>
  <c r="K110" i="21" s="1"/>
  <c r="H239" i="21"/>
  <c r="J239" i="21" s="1"/>
  <c r="K239" i="21" s="1"/>
  <c r="H243" i="21"/>
  <c r="J243" i="21" s="1"/>
  <c r="K243" i="21" s="1"/>
  <c r="H247" i="21"/>
  <c r="J247" i="21" s="1"/>
  <c r="K247" i="21" s="1"/>
  <c r="H250" i="21"/>
  <c r="J250" i="21" s="1"/>
  <c r="K250" i="21" s="1"/>
  <c r="H254" i="21"/>
  <c r="J254" i="21" s="1"/>
  <c r="K254" i="21" s="1"/>
  <c r="M254" i="21" s="1"/>
  <c r="H258" i="21"/>
  <c r="J258" i="21" s="1"/>
  <c r="K258" i="21" s="1"/>
  <c r="M258" i="21" s="1"/>
  <c r="H240" i="21"/>
  <c r="J240" i="21" s="1"/>
  <c r="K240" i="21" s="1"/>
  <c r="H246" i="21"/>
  <c r="J246" i="21" s="1"/>
  <c r="K246" i="21" s="1"/>
  <c r="H249" i="21"/>
  <c r="J249" i="21" s="1"/>
  <c r="K249" i="21" s="1"/>
  <c r="H253" i="21"/>
  <c r="J253" i="21" s="1"/>
  <c r="K253" i="21" s="1"/>
  <c r="H242" i="21"/>
  <c r="J242" i="21" s="1"/>
  <c r="K242" i="21" s="1"/>
  <c r="H244" i="21"/>
  <c r="J244" i="21" s="1"/>
  <c r="K244" i="21" s="1"/>
  <c r="H248" i="21"/>
  <c r="J248" i="21" s="1"/>
  <c r="K248" i="21" s="1"/>
  <c r="H252" i="21"/>
  <c r="J252" i="21" s="1"/>
  <c r="K252" i="21" s="1"/>
  <c r="H256" i="21"/>
  <c r="J256" i="21" s="1"/>
  <c r="K256" i="21" s="1"/>
  <c r="H251" i="21"/>
  <c r="J251" i="21" s="1"/>
  <c r="K251" i="21" s="1"/>
  <c r="H255" i="21"/>
  <c r="J255" i="21" s="1"/>
  <c r="K255" i="21" s="1"/>
  <c r="H241" i="21"/>
  <c r="J241" i="21" s="1"/>
  <c r="K241" i="21" s="1"/>
  <c r="H245" i="21"/>
  <c r="J245" i="21" s="1"/>
  <c r="K245" i="21" s="1"/>
  <c r="H257" i="21"/>
  <c r="J257" i="21" s="1"/>
  <c r="K257" i="21" s="1"/>
  <c r="H221" i="21"/>
  <c r="H225" i="21"/>
  <c r="H229" i="21"/>
  <c r="H220" i="21"/>
  <c r="H224" i="21"/>
  <c r="H219" i="21"/>
  <c r="H223" i="21"/>
  <c r="H227" i="21"/>
  <c r="H231" i="21"/>
  <c r="H235" i="21"/>
  <c r="H218" i="21"/>
  <c r="H222" i="21"/>
  <c r="H226" i="21"/>
  <c r="H230" i="21"/>
  <c r="H234" i="21"/>
  <c r="H238" i="21"/>
  <c r="H232" i="21"/>
  <c r="H236" i="21"/>
  <c r="H233" i="21"/>
  <c r="H237" i="21"/>
  <c r="H228" i="21"/>
  <c r="H113" i="21"/>
  <c r="H117" i="21"/>
  <c r="H121" i="21"/>
  <c r="H125" i="21"/>
  <c r="H129" i="21"/>
  <c r="H112" i="21"/>
  <c r="H116" i="21"/>
  <c r="H120" i="21"/>
  <c r="H124" i="21"/>
  <c r="H128" i="21"/>
  <c r="H111" i="21"/>
  <c r="J111" i="21" s="1"/>
  <c r="K111" i="21" s="1"/>
  <c r="H115" i="21"/>
  <c r="H119" i="21"/>
  <c r="H123" i="21"/>
  <c r="H127" i="21"/>
  <c r="H131" i="21"/>
  <c r="H114" i="21"/>
  <c r="H118" i="21"/>
  <c r="H122" i="21"/>
  <c r="H126" i="21"/>
  <c r="H130" i="21"/>
  <c r="H4" i="21"/>
  <c r="J4" i="21" s="1"/>
  <c r="K4" i="21" s="1"/>
  <c r="H7" i="21"/>
  <c r="J7" i="21" s="1"/>
  <c r="K7" i="21" s="1"/>
  <c r="H11" i="21"/>
  <c r="J11" i="21" s="1"/>
  <c r="K11" i="21" s="1"/>
  <c r="H15" i="21"/>
  <c r="J15" i="21" s="1"/>
  <c r="K15" i="21" s="1"/>
  <c r="H19" i="21"/>
  <c r="J19" i="21" s="1"/>
  <c r="K19" i="21" s="1"/>
  <c r="H23" i="21"/>
  <c r="J23" i="21" s="1"/>
  <c r="K23" i="21" s="1"/>
  <c r="H6" i="21"/>
  <c r="J6" i="21" s="1"/>
  <c r="K6" i="21" s="1"/>
  <c r="H10" i="21"/>
  <c r="J10" i="21" s="1"/>
  <c r="K10" i="21" s="1"/>
  <c r="H14" i="21"/>
  <c r="J14" i="21" s="1"/>
  <c r="K14" i="21" s="1"/>
  <c r="H18" i="21"/>
  <c r="J18" i="21" s="1"/>
  <c r="K18" i="21" s="1"/>
  <c r="H22" i="21"/>
  <c r="J22" i="21" s="1"/>
  <c r="K22" i="21" s="1"/>
  <c r="H5" i="21"/>
  <c r="J5" i="21" s="1"/>
  <c r="K5" i="21" s="1"/>
  <c r="H9" i="21"/>
  <c r="J9" i="21" s="1"/>
  <c r="K9" i="21" s="1"/>
  <c r="H13" i="21"/>
  <c r="J13" i="21" s="1"/>
  <c r="K13" i="21" s="1"/>
  <c r="M13" i="21" s="1"/>
  <c r="H17" i="21"/>
  <c r="J17" i="21" s="1"/>
  <c r="K17" i="21" s="1"/>
  <c r="H21" i="21"/>
  <c r="J21" i="21" s="1"/>
  <c r="K21" i="21" s="1"/>
  <c r="H8" i="21"/>
  <c r="J8" i="21" s="1"/>
  <c r="K8" i="21" s="1"/>
  <c r="H12" i="21"/>
  <c r="J12" i="21" s="1"/>
  <c r="K12" i="21" s="1"/>
  <c r="H16" i="21"/>
  <c r="J16" i="21" s="1"/>
  <c r="K16" i="21" s="1"/>
  <c r="H20" i="21"/>
  <c r="J20" i="21" s="1"/>
  <c r="K20" i="21" s="1"/>
  <c r="H24" i="21"/>
  <c r="J24" i="21" s="1"/>
  <c r="K24" i="21" s="1"/>
  <c r="AH30" i="8"/>
  <c r="AG31" i="8"/>
  <c r="H218" i="8"/>
  <c r="H217" i="8"/>
  <c r="H111" i="8"/>
  <c r="H115" i="8"/>
  <c r="H112" i="8"/>
  <c r="H114" i="8"/>
  <c r="H113" i="8"/>
  <c r="AG55" i="8"/>
  <c r="AH54" i="8"/>
  <c r="M103" i="21" l="1"/>
  <c r="L103" i="21"/>
  <c r="M108" i="21"/>
  <c r="L108" i="21"/>
  <c r="M110" i="21"/>
  <c r="L110" i="21"/>
  <c r="M104" i="21"/>
  <c r="L104" i="21"/>
  <c r="M109" i="21"/>
  <c r="L109" i="21"/>
  <c r="M106" i="21"/>
  <c r="L106" i="21"/>
  <c r="M105" i="21"/>
  <c r="L105" i="21"/>
  <c r="M107" i="21"/>
  <c r="L107" i="21"/>
  <c r="L16" i="21"/>
  <c r="M16" i="21"/>
  <c r="L17" i="21"/>
  <c r="M17" i="21"/>
  <c r="L22" i="21"/>
  <c r="M22" i="21"/>
  <c r="L6" i="21"/>
  <c r="M6" i="21"/>
  <c r="L11" i="21"/>
  <c r="M11" i="21"/>
  <c r="L255" i="21"/>
  <c r="M255" i="21"/>
  <c r="L248" i="21"/>
  <c r="M248" i="21"/>
  <c r="L249" i="21"/>
  <c r="M249" i="21"/>
  <c r="L254" i="21"/>
  <c r="L239" i="21"/>
  <c r="M239" i="21"/>
  <c r="M98" i="21"/>
  <c r="L98" i="21"/>
  <c r="M92" i="21"/>
  <c r="L92" i="21"/>
  <c r="M97" i="21"/>
  <c r="L97" i="21"/>
  <c r="L40" i="21"/>
  <c r="M40" i="21"/>
  <c r="L45" i="21"/>
  <c r="M45" i="21"/>
  <c r="L29" i="21"/>
  <c r="M29" i="21"/>
  <c r="L34" i="21"/>
  <c r="M34" i="21"/>
  <c r="L39" i="21"/>
  <c r="M39" i="21"/>
  <c r="L174" i="21"/>
  <c r="M174" i="21"/>
  <c r="L158" i="21"/>
  <c r="M158" i="21"/>
  <c r="L167" i="21"/>
  <c r="M167" i="21"/>
  <c r="L172" i="21"/>
  <c r="M172" i="21"/>
  <c r="L156" i="21"/>
  <c r="M156" i="21"/>
  <c r="L161" i="21"/>
  <c r="M161" i="21"/>
  <c r="L190" i="21"/>
  <c r="M190" i="21"/>
  <c r="L191" i="21"/>
  <c r="M191" i="21"/>
  <c r="L192" i="21"/>
  <c r="M192" i="21"/>
  <c r="L176" i="21"/>
  <c r="M176" i="21"/>
  <c r="L181" i="21"/>
  <c r="M181" i="21"/>
  <c r="L88" i="21"/>
  <c r="M88" i="21"/>
  <c r="L72" i="21"/>
  <c r="M77" i="21"/>
  <c r="L77" i="21"/>
  <c r="L82" i="21"/>
  <c r="M82" i="21"/>
  <c r="M79" i="21"/>
  <c r="L79" i="21"/>
  <c r="M151" i="21"/>
  <c r="L151" i="21"/>
  <c r="M136" i="21"/>
  <c r="L136" i="21"/>
  <c r="M142" i="21"/>
  <c r="L142" i="21"/>
  <c r="M139" i="21"/>
  <c r="L139" i="21"/>
  <c r="M145" i="21"/>
  <c r="L145" i="21"/>
  <c r="L64" i="21"/>
  <c r="M64" i="21"/>
  <c r="L48" i="21"/>
  <c r="M48" i="21"/>
  <c r="L53" i="21"/>
  <c r="M53" i="21"/>
  <c r="L58" i="21"/>
  <c r="M58" i="21"/>
  <c r="L67" i="21"/>
  <c r="M67" i="21"/>
  <c r="L51" i="21"/>
  <c r="M51" i="21"/>
  <c r="L12" i="21"/>
  <c r="M12" i="21"/>
  <c r="L13" i="21"/>
  <c r="L18" i="21"/>
  <c r="M18" i="21"/>
  <c r="L23" i="21"/>
  <c r="M23" i="21"/>
  <c r="L7" i="21"/>
  <c r="M7" i="21"/>
  <c r="M111" i="21"/>
  <c r="L111" i="21"/>
  <c r="L257" i="21"/>
  <c r="M257" i="21"/>
  <c r="L251" i="21"/>
  <c r="M251" i="21"/>
  <c r="L244" i="21"/>
  <c r="M244" i="21"/>
  <c r="L246" i="21"/>
  <c r="M246" i="21"/>
  <c r="L250" i="21"/>
  <c r="M250" i="21"/>
  <c r="M94" i="21"/>
  <c r="L94" i="21"/>
  <c r="M99" i="21"/>
  <c r="L99" i="21"/>
  <c r="M93" i="21"/>
  <c r="L93" i="21"/>
  <c r="L36" i="21"/>
  <c r="M36" i="21"/>
  <c r="L41" i="21"/>
  <c r="M41" i="21"/>
  <c r="L25" i="21"/>
  <c r="M25" i="21"/>
  <c r="L30" i="21"/>
  <c r="M30" i="21"/>
  <c r="L35" i="21"/>
  <c r="M35" i="21"/>
  <c r="L170" i="21"/>
  <c r="M170" i="21"/>
  <c r="L154" i="21"/>
  <c r="M154" i="21"/>
  <c r="L163" i="21"/>
  <c r="M163" i="21"/>
  <c r="L168" i="21"/>
  <c r="M168" i="21"/>
  <c r="L173" i="21"/>
  <c r="M173" i="21"/>
  <c r="L157" i="21"/>
  <c r="M157" i="21"/>
  <c r="L186" i="21"/>
  <c r="M186" i="21"/>
  <c r="L187" i="21"/>
  <c r="M187" i="21"/>
  <c r="L188" i="21"/>
  <c r="M188" i="21"/>
  <c r="L193" i="21"/>
  <c r="M193" i="21"/>
  <c r="L177" i="21"/>
  <c r="M177" i="21"/>
  <c r="L84" i="21"/>
  <c r="M84" i="21"/>
  <c r="L68" i="21"/>
  <c r="M68" i="21"/>
  <c r="M73" i="21"/>
  <c r="L73" i="21"/>
  <c r="M78" i="21"/>
  <c r="L78" i="21"/>
  <c r="M75" i="21"/>
  <c r="L75" i="21"/>
  <c r="M152" i="21"/>
  <c r="L152" i="21"/>
  <c r="M148" i="21"/>
  <c r="L148" i="21"/>
  <c r="M138" i="21"/>
  <c r="L138" i="21"/>
  <c r="M135" i="21"/>
  <c r="L135" i="21"/>
  <c r="M141" i="21"/>
  <c r="L141" i="21"/>
  <c r="L60" i="21"/>
  <c r="M60" i="21"/>
  <c r="L65" i="21"/>
  <c r="M65" i="21"/>
  <c r="L49" i="21"/>
  <c r="M49" i="21"/>
  <c r="L54" i="21"/>
  <c r="M54" i="21"/>
  <c r="L63" i="21"/>
  <c r="M63" i="21"/>
  <c r="L47" i="21"/>
  <c r="M47" i="21"/>
  <c r="L24" i="21"/>
  <c r="M24" i="21"/>
  <c r="L8" i="21"/>
  <c r="M8" i="21"/>
  <c r="L9" i="21"/>
  <c r="M9" i="21"/>
  <c r="L14" i="21"/>
  <c r="M14" i="21"/>
  <c r="L19" i="21"/>
  <c r="M19" i="21"/>
  <c r="L245" i="21"/>
  <c r="M245" i="21"/>
  <c r="L256" i="21"/>
  <c r="M256" i="21"/>
  <c r="L242" i="21"/>
  <c r="M242" i="21"/>
  <c r="L240" i="21"/>
  <c r="M240" i="21"/>
  <c r="L247" i="21"/>
  <c r="M247" i="21"/>
  <c r="M90" i="21"/>
  <c r="L90" i="21"/>
  <c r="M95" i="21"/>
  <c r="L95" i="21"/>
  <c r="M100" i="21"/>
  <c r="L100" i="21"/>
  <c r="M89" i="21"/>
  <c r="L89" i="21"/>
  <c r="L32" i="21"/>
  <c r="M32" i="21"/>
  <c r="L37" i="21"/>
  <c r="M37" i="21"/>
  <c r="L42" i="21"/>
  <c r="M42" i="21"/>
  <c r="L26" i="21"/>
  <c r="M26" i="21"/>
  <c r="L31" i="21"/>
  <c r="M31" i="21"/>
  <c r="L166" i="21"/>
  <c r="M166" i="21"/>
  <c r="L175" i="21"/>
  <c r="M175" i="21"/>
  <c r="L159" i="21"/>
  <c r="M159" i="21"/>
  <c r="L164" i="21"/>
  <c r="M164" i="21"/>
  <c r="L169" i="21"/>
  <c r="M169" i="21"/>
  <c r="M153" i="21"/>
  <c r="L153" i="21"/>
  <c r="L182" i="21"/>
  <c r="M182" i="21"/>
  <c r="L183" i="21"/>
  <c r="M183" i="21"/>
  <c r="L184" i="21"/>
  <c r="M184" i="21"/>
  <c r="L189" i="21"/>
  <c r="M189" i="21"/>
  <c r="L87" i="21"/>
  <c r="M87" i="21"/>
  <c r="M80" i="21"/>
  <c r="L80" i="21"/>
  <c r="M85" i="21"/>
  <c r="L85" i="21"/>
  <c r="L69" i="21"/>
  <c r="M69" i="21"/>
  <c r="M74" i="21"/>
  <c r="L74" i="21"/>
  <c r="L71" i="21"/>
  <c r="M71" i="21"/>
  <c r="M144" i="21"/>
  <c r="L144" i="21"/>
  <c r="M150" i="21"/>
  <c r="L150" i="21"/>
  <c r="M134" i="21"/>
  <c r="L134" i="21"/>
  <c r="M132" i="21"/>
  <c r="L132" i="21"/>
  <c r="M137" i="21"/>
  <c r="L137" i="21"/>
  <c r="L56" i="21"/>
  <c r="M56" i="21"/>
  <c r="L61" i="21"/>
  <c r="M61" i="21"/>
  <c r="L66" i="21"/>
  <c r="M66" i="21"/>
  <c r="L50" i="21"/>
  <c r="M50" i="21"/>
  <c r="L59" i="21"/>
  <c r="M59" i="21"/>
  <c r="L20" i="21"/>
  <c r="M20" i="21"/>
  <c r="L21" i="21"/>
  <c r="M21" i="21"/>
  <c r="L5" i="21"/>
  <c r="M5" i="21"/>
  <c r="L10" i="21"/>
  <c r="M10" i="21"/>
  <c r="L15" i="21"/>
  <c r="M15" i="21"/>
  <c r="L241" i="21"/>
  <c r="M241" i="21"/>
  <c r="L252" i="21"/>
  <c r="M252" i="21"/>
  <c r="L253" i="21"/>
  <c r="M253" i="21"/>
  <c r="L258" i="21"/>
  <c r="L243" i="21"/>
  <c r="M243" i="21"/>
  <c r="L102" i="21"/>
  <c r="M91" i="21"/>
  <c r="L91" i="21"/>
  <c r="M96" i="21"/>
  <c r="L96" i="21"/>
  <c r="M101" i="21"/>
  <c r="L101" i="21"/>
  <c r="L44" i="21"/>
  <c r="M44" i="21"/>
  <c r="L28" i="21"/>
  <c r="M28" i="21"/>
  <c r="L33" i="21"/>
  <c r="M33" i="21"/>
  <c r="L38" i="21"/>
  <c r="L43" i="21"/>
  <c r="M43" i="21"/>
  <c r="L27" i="21"/>
  <c r="M27" i="21"/>
  <c r="L162" i="21"/>
  <c r="M162" i="21"/>
  <c r="L171" i="21"/>
  <c r="M171" i="21"/>
  <c r="L155" i="21"/>
  <c r="L160" i="21"/>
  <c r="M160" i="21"/>
  <c r="L165" i="21"/>
  <c r="M165" i="21"/>
  <c r="L194" i="21"/>
  <c r="M194" i="21"/>
  <c r="L178" i="21"/>
  <c r="M178" i="21"/>
  <c r="L179" i="21"/>
  <c r="M179" i="21"/>
  <c r="L180" i="21"/>
  <c r="M180" i="21"/>
  <c r="L185" i="21"/>
  <c r="M185" i="21"/>
  <c r="L83" i="21"/>
  <c r="M83" i="21"/>
  <c r="M76" i="21"/>
  <c r="L76" i="21"/>
  <c r="M81" i="21"/>
  <c r="L81" i="21"/>
  <c r="L86" i="21"/>
  <c r="M86" i="21"/>
  <c r="L70" i="21"/>
  <c r="M70" i="21"/>
  <c r="M147" i="21"/>
  <c r="L147" i="21"/>
  <c r="M140" i="21"/>
  <c r="L140" i="21"/>
  <c r="M146" i="21"/>
  <c r="L146" i="21"/>
  <c r="M143" i="21"/>
  <c r="L143" i="21"/>
  <c r="M149" i="21"/>
  <c r="L149" i="21"/>
  <c r="L133" i="21"/>
  <c r="L52" i="21"/>
  <c r="M52" i="21"/>
  <c r="L57" i="21"/>
  <c r="M57" i="21"/>
  <c r="L62" i="21"/>
  <c r="M62" i="21"/>
  <c r="L46" i="21"/>
  <c r="M46" i="21"/>
  <c r="L55" i="21"/>
  <c r="M55" i="21"/>
  <c r="L4" i="21"/>
  <c r="M4" i="21"/>
  <c r="G218" i="21"/>
  <c r="J218" i="21" s="1"/>
  <c r="K218" i="21" s="1"/>
  <c r="G219" i="21"/>
  <c r="J219" i="21" s="1"/>
  <c r="K219" i="21" s="1"/>
  <c r="G112" i="21"/>
  <c r="J112" i="21" s="1"/>
  <c r="K112" i="21" s="1"/>
  <c r="G116" i="21"/>
  <c r="J116" i="21" s="1"/>
  <c r="K116" i="21" s="1"/>
  <c r="G115" i="21"/>
  <c r="J115" i="21" s="1"/>
  <c r="K115" i="21" s="1"/>
  <c r="G114" i="21"/>
  <c r="J114" i="21" s="1"/>
  <c r="K114" i="21" s="1"/>
  <c r="G113" i="21"/>
  <c r="J113" i="21" s="1"/>
  <c r="K113" i="21" s="1"/>
  <c r="AG32" i="8"/>
  <c r="AH32" i="8" s="1"/>
  <c r="AH31" i="8"/>
  <c r="H222" i="8"/>
  <c r="H223" i="8"/>
  <c r="H220" i="8"/>
  <c r="H221" i="8"/>
  <c r="H219" i="8"/>
  <c r="AG56" i="8"/>
  <c r="AH55" i="8"/>
  <c r="H120" i="8"/>
  <c r="H116" i="8"/>
  <c r="H119" i="8"/>
  <c r="H118" i="8"/>
  <c r="H117" i="8"/>
  <c r="L219" i="21" l="1"/>
  <c r="M219" i="21"/>
  <c r="M114" i="21"/>
  <c r="L114" i="21"/>
  <c r="M115" i="21"/>
  <c r="L115" i="21"/>
  <c r="L218" i="21"/>
  <c r="M218" i="21"/>
  <c r="M116" i="21"/>
  <c r="L116" i="21"/>
  <c r="M113" i="21"/>
  <c r="L113" i="21"/>
  <c r="M112" i="21"/>
  <c r="L112" i="21"/>
  <c r="G121" i="21"/>
  <c r="J121" i="21" s="1"/>
  <c r="K121" i="21" s="1"/>
  <c r="G117" i="21"/>
  <c r="J117" i="21" s="1"/>
  <c r="K117" i="21" s="1"/>
  <c r="G120" i="21"/>
  <c r="J120" i="21" s="1"/>
  <c r="K120" i="21" s="1"/>
  <c r="G119" i="21"/>
  <c r="J119" i="21" s="1"/>
  <c r="K119" i="21" s="1"/>
  <c r="G118" i="21"/>
  <c r="J118" i="21" s="1"/>
  <c r="K118" i="21" s="1"/>
  <c r="G220" i="21"/>
  <c r="J220" i="21" s="1"/>
  <c r="K220" i="21" s="1"/>
  <c r="G223" i="21"/>
  <c r="J223" i="21" s="1"/>
  <c r="K223" i="21" s="1"/>
  <c r="G221" i="21"/>
  <c r="J221" i="21" s="1"/>
  <c r="K221" i="21" s="1"/>
  <c r="G222" i="21"/>
  <c r="J222" i="21" s="1"/>
  <c r="K222" i="21" s="1"/>
  <c r="G224" i="21"/>
  <c r="J224" i="21" s="1"/>
  <c r="K224" i="21" s="1"/>
  <c r="H226" i="8"/>
  <c r="H224" i="8"/>
  <c r="H225" i="8"/>
  <c r="H228" i="8"/>
  <c r="H227" i="8"/>
  <c r="AG57" i="8"/>
  <c r="AH57" i="8" s="1"/>
  <c r="AH56" i="8"/>
  <c r="H124" i="8"/>
  <c r="H123" i="8"/>
  <c r="H122" i="8"/>
  <c r="H121" i="8"/>
  <c r="H125" i="8"/>
  <c r="H128" i="8"/>
  <c r="H127" i="8"/>
  <c r="H126" i="8"/>
  <c r="H130" i="8"/>
  <c r="H129" i="8"/>
  <c r="L222" i="21" l="1"/>
  <c r="M222" i="21"/>
  <c r="M118" i="21"/>
  <c r="L118" i="21"/>
  <c r="M121" i="21"/>
  <c r="L121" i="21"/>
  <c r="L221" i="21"/>
  <c r="M221" i="21"/>
  <c r="M119" i="21"/>
  <c r="L119" i="21"/>
  <c r="L223" i="21"/>
  <c r="M223" i="21"/>
  <c r="M120" i="21"/>
  <c r="L120" i="21"/>
  <c r="L224" i="21"/>
  <c r="M224" i="21"/>
  <c r="L220" i="21"/>
  <c r="M220" i="21"/>
  <c r="M117" i="21"/>
  <c r="L117" i="21"/>
  <c r="G124" i="21"/>
  <c r="J124" i="21" s="1"/>
  <c r="K124" i="21" s="1"/>
  <c r="G123" i="21"/>
  <c r="J123" i="21" s="1"/>
  <c r="K123" i="21" s="1"/>
  <c r="G122" i="21"/>
  <c r="J122" i="21" s="1"/>
  <c r="K122" i="21" s="1"/>
  <c r="G126" i="21"/>
  <c r="J126" i="21" s="1"/>
  <c r="K126" i="21" s="1"/>
  <c r="G125" i="21"/>
  <c r="J125" i="21" s="1"/>
  <c r="K125" i="21" s="1"/>
  <c r="G229" i="21"/>
  <c r="J229" i="21" s="1"/>
  <c r="K229" i="21" s="1"/>
  <c r="G227" i="21"/>
  <c r="J227" i="21" s="1"/>
  <c r="K227" i="21" s="1"/>
  <c r="G228" i="21"/>
  <c r="J228" i="21" s="1"/>
  <c r="K228" i="21" s="1"/>
  <c r="G226" i="21"/>
  <c r="J226" i="21" s="1"/>
  <c r="K226" i="21" s="1"/>
  <c r="G225" i="21"/>
  <c r="J225" i="21" s="1"/>
  <c r="K225" i="21" s="1"/>
  <c r="G128" i="21"/>
  <c r="J128" i="21" s="1"/>
  <c r="K128" i="21" s="1"/>
  <c r="G131" i="21"/>
  <c r="J131" i="21" s="1"/>
  <c r="K131" i="21" s="1"/>
  <c r="G127" i="21"/>
  <c r="J127" i="21" s="1"/>
  <c r="K127" i="21" s="1"/>
  <c r="G130" i="21"/>
  <c r="J130" i="21" s="1"/>
  <c r="K130" i="21" s="1"/>
  <c r="G129" i="21"/>
  <c r="J129" i="21" s="1"/>
  <c r="K129" i="21" s="1"/>
  <c r="H230" i="8"/>
  <c r="H232" i="8"/>
  <c r="H231" i="8"/>
  <c r="H229" i="8"/>
  <c r="H234" i="8"/>
  <c r="H236" i="8"/>
  <c r="H235" i="8"/>
  <c r="H233" i="8"/>
  <c r="H237" i="8"/>
  <c r="M131" i="21" l="1"/>
  <c r="L131" i="21"/>
  <c r="L228" i="21"/>
  <c r="M228" i="21"/>
  <c r="M126" i="21"/>
  <c r="L126" i="21"/>
  <c r="M129" i="21"/>
  <c r="L129" i="21"/>
  <c r="M128" i="21"/>
  <c r="L128" i="21"/>
  <c r="L227" i="21"/>
  <c r="M227" i="21"/>
  <c r="M122" i="21"/>
  <c r="L122" i="21"/>
  <c r="M130" i="21"/>
  <c r="L130" i="21"/>
  <c r="L225" i="21"/>
  <c r="M225" i="21"/>
  <c r="M229" i="21"/>
  <c r="L229" i="21"/>
  <c r="M123" i="21"/>
  <c r="L123" i="21"/>
  <c r="M127" i="21"/>
  <c r="L127" i="21"/>
  <c r="L226" i="21"/>
  <c r="M226" i="21"/>
  <c r="M125" i="21"/>
  <c r="L125" i="21"/>
  <c r="M124" i="21"/>
  <c r="L124" i="21"/>
  <c r="G235" i="21"/>
  <c r="J235" i="21" s="1"/>
  <c r="K235" i="21" s="1"/>
  <c r="G237" i="21"/>
  <c r="J237" i="21" s="1"/>
  <c r="K237" i="21" s="1"/>
  <c r="G238" i="21"/>
  <c r="J238" i="21" s="1"/>
  <c r="K238" i="21" s="1"/>
  <c r="G236" i="21"/>
  <c r="J236" i="21" s="1"/>
  <c r="K236" i="21" s="1"/>
  <c r="G234" i="21"/>
  <c r="J234" i="21" s="1"/>
  <c r="K234" i="21" s="1"/>
  <c r="G233" i="21"/>
  <c r="J233" i="21" s="1"/>
  <c r="K233" i="21" s="1"/>
  <c r="M233" i="21" s="1"/>
  <c r="G232" i="21"/>
  <c r="J232" i="21" s="1"/>
  <c r="K232" i="21" s="1"/>
  <c r="G231" i="21"/>
  <c r="J231" i="21" s="1"/>
  <c r="K231" i="21" s="1"/>
  <c r="G230" i="21"/>
  <c r="J230" i="21" s="1"/>
  <c r="K230" i="21" s="1"/>
  <c r="L234" i="21" l="1"/>
  <c r="M234" i="21"/>
  <c r="L235" i="21"/>
  <c r="M235" i="21"/>
  <c r="L231" i="21"/>
  <c r="M231" i="21"/>
  <c r="L236" i="21"/>
  <c r="M236" i="21"/>
  <c r="L230" i="21"/>
  <c r="M230" i="21"/>
  <c r="L232" i="21"/>
  <c r="M232" i="21"/>
  <c r="L238" i="21"/>
  <c r="M238" i="21"/>
  <c r="L233" i="21"/>
  <c r="M237" i="21"/>
  <c r="L237" i="21"/>
  <c r="U11" i="21" l="1"/>
  <c r="T8" i="4" l="1"/>
  <c r="T6" i="4"/>
</calcChain>
</file>

<file path=xl/sharedStrings.xml><?xml version="1.0" encoding="utf-8"?>
<sst xmlns="http://schemas.openxmlformats.org/spreadsheetml/2006/main" count="253" uniqueCount="155">
  <si>
    <t>Linear Regression Line</t>
  </si>
  <si>
    <t>Range Name</t>
  </si>
  <si>
    <t>Cells</t>
  </si>
  <si>
    <t>Estimate</t>
  </si>
  <si>
    <t>y = a + bx</t>
  </si>
  <si>
    <t>a</t>
  </si>
  <si>
    <t>J5</t>
  </si>
  <si>
    <t>a =</t>
  </si>
  <si>
    <t>b</t>
  </si>
  <si>
    <t>J6</t>
  </si>
  <si>
    <t>b =</t>
  </si>
  <si>
    <t>DependentVariable</t>
  </si>
  <si>
    <t>D5:D34</t>
  </si>
  <si>
    <t>E5:E34</t>
  </si>
  <si>
    <t>EstimationError</t>
  </si>
  <si>
    <t>F5:F34</t>
  </si>
  <si>
    <t>IndependentVariable</t>
  </si>
  <si>
    <t>C5:C34</t>
  </si>
  <si>
    <t>SquareOfError</t>
  </si>
  <si>
    <t>G5:G34</t>
  </si>
  <si>
    <t>x</t>
  </si>
  <si>
    <t>J10</t>
  </si>
  <si>
    <t>y</t>
  </si>
  <si>
    <t>J12</t>
  </si>
  <si>
    <t>Independent Variable (x)</t>
  </si>
  <si>
    <t>Dependent Variable (y)</t>
  </si>
  <si>
    <t>Estimation Error</t>
  </si>
  <si>
    <r>
      <t>(Error)</t>
    </r>
    <r>
      <rPr>
        <b/>
        <vertAlign val="superscript"/>
        <sz val="10"/>
        <rFont val="Calibri"/>
        <family val="2"/>
        <scheme val="minor"/>
      </rPr>
      <t>2</t>
    </r>
  </si>
  <si>
    <t>Date</t>
  </si>
  <si>
    <t>Day</t>
  </si>
  <si>
    <t>Volumes</t>
  </si>
  <si>
    <t>CMA</t>
  </si>
  <si>
    <t>Ratio</t>
  </si>
  <si>
    <t>Unadjusted</t>
  </si>
  <si>
    <t>Seasonal Index</t>
  </si>
  <si>
    <t>Year</t>
  </si>
  <si>
    <t>Non-normalized Seas. Index</t>
  </si>
  <si>
    <t>Normalized Seas. Index</t>
  </si>
  <si>
    <t>Monday</t>
  </si>
  <si>
    <t>Tuesday</t>
  </si>
  <si>
    <t>Wednesday</t>
  </si>
  <si>
    <t>Thursday</t>
  </si>
  <si>
    <t>Friday</t>
  </si>
  <si>
    <t>Year1</t>
  </si>
  <si>
    <t>String</t>
  </si>
  <si>
    <t>Total1</t>
  </si>
  <si>
    <t>Total2</t>
  </si>
  <si>
    <t>Intercept</t>
  </si>
  <si>
    <t>Slope</t>
  </si>
  <si>
    <t>Regression</t>
  </si>
  <si>
    <t>Average</t>
  </si>
  <si>
    <t>Outliers</t>
  </si>
  <si>
    <t>Error</t>
  </si>
  <si>
    <t>APE</t>
  </si>
  <si>
    <t>Sl. No.</t>
  </si>
  <si>
    <t>Seasonally Adjusted Data</t>
  </si>
  <si>
    <t>LES</t>
  </si>
  <si>
    <t>Reseasonalized Forecast</t>
  </si>
  <si>
    <t>RMSE</t>
  </si>
  <si>
    <t>Alpha</t>
  </si>
  <si>
    <t>MAPE</t>
  </si>
  <si>
    <t>Std Dev</t>
  </si>
  <si>
    <t>Data</t>
  </si>
  <si>
    <t>Daily</t>
  </si>
  <si>
    <t>Growth Factor</t>
  </si>
  <si>
    <t>Simple Linear Regression</t>
  </si>
  <si>
    <t>Time / Day</t>
  </si>
  <si>
    <t>Time</t>
  </si>
  <si>
    <t>Total</t>
  </si>
  <si>
    <t>Week</t>
  </si>
  <si>
    <t>Month</t>
  </si>
  <si>
    <t>Week Factor</t>
  </si>
  <si>
    <t>Month Factor</t>
  </si>
  <si>
    <t>Day Factor</t>
  </si>
  <si>
    <t>Week factor</t>
  </si>
  <si>
    <t>Y-Hat-MR</t>
  </si>
  <si>
    <t>Error^2</t>
  </si>
  <si>
    <t>Data Type</t>
  </si>
  <si>
    <t>Simple Linear Regression and Linear Exponential Smoothing</t>
  </si>
  <si>
    <t>No Seasonal Effect</t>
  </si>
  <si>
    <t>Additive Seasonal</t>
  </si>
  <si>
    <t>Multiplicative Seasonal</t>
  </si>
  <si>
    <t>Additive Trend</t>
  </si>
  <si>
    <t>No Trend Effect</t>
  </si>
  <si>
    <t>Multiplicative Trend</t>
  </si>
  <si>
    <t>Forecaster</t>
  </si>
  <si>
    <t/>
  </si>
  <si>
    <t>Seasonality</t>
  </si>
  <si>
    <t>11</t>
  </si>
  <si>
    <t>12</t>
  </si>
  <si>
    <t>13</t>
  </si>
  <si>
    <t>14</t>
  </si>
  <si>
    <t>15</t>
  </si>
  <si>
    <t>21</t>
  </si>
  <si>
    <t>22</t>
  </si>
  <si>
    <t>23</t>
  </si>
  <si>
    <t>24</t>
  </si>
  <si>
    <t>25</t>
  </si>
  <si>
    <t>31</t>
  </si>
  <si>
    <t>32</t>
  </si>
  <si>
    <t>33</t>
  </si>
  <si>
    <t>34</t>
  </si>
  <si>
    <t>35</t>
  </si>
  <si>
    <t>41</t>
  </si>
  <si>
    <t>42</t>
  </si>
  <si>
    <t>43</t>
  </si>
  <si>
    <t>44</t>
  </si>
  <si>
    <t>45</t>
  </si>
  <si>
    <t>51</t>
  </si>
  <si>
    <t>52</t>
  </si>
  <si>
    <t>53</t>
  </si>
  <si>
    <t>54</t>
  </si>
  <si>
    <t>55</t>
  </si>
  <si>
    <t>61</t>
  </si>
  <si>
    <t>62</t>
  </si>
  <si>
    <t>63</t>
  </si>
  <si>
    <t>64</t>
  </si>
  <si>
    <t>65</t>
  </si>
  <si>
    <t>71</t>
  </si>
  <si>
    <t>72</t>
  </si>
  <si>
    <t>73</t>
  </si>
  <si>
    <t>74</t>
  </si>
  <si>
    <t>75</t>
  </si>
  <si>
    <t>81</t>
  </si>
  <si>
    <t>82</t>
  </si>
  <si>
    <t>83</t>
  </si>
  <si>
    <t>84</t>
  </si>
  <si>
    <t>85</t>
  </si>
  <si>
    <t>91</t>
  </si>
  <si>
    <t>92</t>
  </si>
  <si>
    <t>93</t>
  </si>
  <si>
    <t>94</t>
  </si>
  <si>
    <t>95</t>
  </si>
  <si>
    <t>101</t>
  </si>
  <si>
    <t>102</t>
  </si>
  <si>
    <t>103</t>
  </si>
  <si>
    <t>104</t>
  </si>
  <si>
    <t>105</t>
  </si>
  <si>
    <t>111</t>
  </si>
  <si>
    <t>112</t>
  </si>
  <si>
    <t>113</t>
  </si>
  <si>
    <t>114</t>
  </si>
  <si>
    <t>115</t>
  </si>
  <si>
    <t>121</t>
  </si>
  <si>
    <t>122</t>
  </si>
  <si>
    <t>123</t>
  </si>
  <si>
    <t>124</t>
  </si>
  <si>
    <t>125</t>
  </si>
  <si>
    <t>Monthly</t>
  </si>
  <si>
    <t>Weekly</t>
  </si>
  <si>
    <t>Factor</t>
  </si>
  <si>
    <t>Multiple Regression</t>
  </si>
  <si>
    <t>Parameters</t>
  </si>
  <si>
    <t>Exponential Smoothing Models</t>
  </si>
  <si>
    <t>LES and Simple Regression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</si>
</sst>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00"/>
    <numFmt numFmtId="166" formatCode="0.0"/>
    <numFmt numFmtId="167" formatCode="[$-409]h:mm:ss\ AM/PM;@"/>
    <numFmt numFmtId="168" formatCode="[$-409]h:mm\ AM/PM;@"/>
    <numFmt numFmtId="169" formatCode="0_);[Red]\(0\)"/>
  </numFmts>
  <fonts count="29" x14ac:knownFonts="1">
    <font>
      <sz val="9"/>
      <name val="Genev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vertAlign val="superscript"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name val="Geneva"/>
    </font>
    <font>
      <b/>
      <sz val="11"/>
      <color theme="0"/>
      <name val="Calibri"/>
      <family val="2"/>
      <scheme val="minor"/>
    </font>
    <font>
      <sz val="10"/>
      <color theme="1" tint="0.249977111117893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0"/>
      <name val="Times New Roman"/>
      <family val="1"/>
    </font>
    <font>
      <b/>
      <sz val="12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2"/>
      <name val="Calibri"/>
      <family val="2"/>
      <scheme val="minor"/>
    </font>
    <font>
      <b/>
      <sz val="22"/>
      <color rgb="FF00B050"/>
      <name val="Webdings"/>
      <family val="1"/>
      <charset val="2"/>
    </font>
    <font>
      <b/>
      <sz val="11"/>
      <color theme="4" tint="0.7999816888943144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gradientFill degree="90">
        <stop position="0">
          <color rgb="FF00B0F0"/>
        </stop>
        <stop position="1">
          <color theme="4"/>
        </stop>
      </gradient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 tint="0.79998168889431442"/>
        <bgColor auto="1"/>
      </patternFill>
    </fill>
    <fill>
      <gradientFill degree="270">
        <stop position="0">
          <color theme="4" tint="-0.25098422193060094"/>
        </stop>
        <stop position="1">
          <color theme="3" tint="0.40000610370189521"/>
        </stop>
      </gradientFill>
    </fill>
  </fills>
  <borders count="2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/>
      <top/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/>
      <diagonal/>
    </border>
    <border>
      <left/>
      <right style="medium">
        <color theme="0" tint="-0.24994659260841701"/>
      </right>
      <top/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" fillId="0" borderId="0"/>
    <xf numFmtId="0" fontId="20" fillId="0" borderId="0"/>
  </cellStyleXfs>
  <cellXfs count="241">
    <xf numFmtId="0" fontId="0" fillId="0" borderId="0" xfId="0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3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left" vertical="center"/>
    </xf>
    <xf numFmtId="3" fontId="3" fillId="3" borderId="0" xfId="0" applyNumberFormat="1" applyFont="1" applyFill="1" applyBorder="1" applyAlignment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4" fontId="4" fillId="4" borderId="3" xfId="0" applyNumberFormat="1" applyFont="1" applyFill="1" applyBorder="1" applyAlignment="1">
      <alignment horizontal="center" vertical="center"/>
    </xf>
    <xf numFmtId="2" fontId="4" fillId="4" borderId="4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3" fontId="3" fillId="0" borderId="0" xfId="0" applyNumberFormat="1" applyFont="1" applyFill="1" applyBorder="1" applyAlignment="1">
      <alignment horizontal="right" vertical="center"/>
    </xf>
    <xf numFmtId="2" fontId="3" fillId="0" borderId="0" xfId="0" applyNumberFormat="1" applyFont="1" applyFill="1" applyBorder="1" applyAlignment="1">
      <alignment horizontal="right" vertical="center"/>
    </xf>
    <xf numFmtId="0" fontId="3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 wrapText="1"/>
    </xf>
    <xf numFmtId="0" fontId="6" fillId="6" borderId="0" xfId="1" applyNumberFormat="1" applyFont="1" applyFill="1" applyBorder="1" applyAlignment="1">
      <alignment vertical="center" wrapText="1"/>
    </xf>
    <xf numFmtId="0" fontId="9" fillId="0" borderId="0" xfId="0" applyFont="1" applyAlignment="1">
      <alignment horizontal="left" vertical="center"/>
    </xf>
    <xf numFmtId="9" fontId="3" fillId="0" borderId="5" xfId="3" applyFont="1" applyBorder="1" applyAlignment="1">
      <alignment horizontal="center" vertical="center"/>
    </xf>
    <xf numFmtId="0" fontId="15" fillId="0" borderId="5" xfId="2" applyNumberFormat="1" applyFont="1" applyBorder="1" applyAlignment="1">
      <alignment horizontal="left" vertical="center"/>
    </xf>
    <xf numFmtId="0" fontId="15" fillId="0" borderId="6" xfId="2" applyNumberFormat="1" applyFont="1" applyBorder="1" applyAlignment="1">
      <alignment horizontal="left" vertical="center"/>
    </xf>
    <xf numFmtId="0" fontId="15" fillId="0" borderId="7" xfId="2" applyNumberFormat="1" applyFont="1" applyBorder="1" applyAlignment="1">
      <alignment horizontal="left" vertical="center"/>
    </xf>
    <xf numFmtId="9" fontId="3" fillId="0" borderId="6" xfId="3" applyFont="1" applyBorder="1" applyAlignment="1">
      <alignment horizontal="center" vertical="center"/>
    </xf>
    <xf numFmtId="9" fontId="3" fillId="0" borderId="7" xfId="3" applyFont="1" applyBorder="1" applyAlignment="1">
      <alignment horizontal="center" vertical="center"/>
    </xf>
    <xf numFmtId="0" fontId="10" fillId="0" borderId="0" xfId="0" applyFont="1" applyFill="1" applyAlignment="1">
      <alignment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left" vertical="center"/>
    </xf>
    <xf numFmtId="9" fontId="3" fillId="0" borderId="0" xfId="4" applyFont="1" applyAlignment="1">
      <alignment horizontal="center" vertical="center"/>
    </xf>
    <xf numFmtId="9" fontId="10" fillId="0" borderId="0" xfId="4" applyFont="1" applyFill="1" applyAlignment="1">
      <alignment horizontal="center" vertical="center"/>
    </xf>
    <xf numFmtId="0" fontId="9" fillId="0" borderId="0" xfId="0" applyFont="1" applyFill="1" applyAlignment="1">
      <alignment vertical="center"/>
    </xf>
    <xf numFmtId="164" fontId="12" fillId="0" borderId="0" xfId="2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9" fontId="9" fillId="0" borderId="0" xfId="4" applyFont="1" applyAlignment="1">
      <alignment horizontal="center" vertical="center"/>
    </xf>
    <xf numFmtId="9" fontId="10" fillId="5" borderId="0" xfId="4" applyFont="1" applyFill="1" applyAlignment="1">
      <alignment horizontal="center" vertical="center"/>
    </xf>
    <xf numFmtId="1" fontId="3" fillId="0" borderId="0" xfId="0" applyNumberFormat="1" applyFont="1" applyFill="1" applyAlignment="1">
      <alignment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  <xf numFmtId="0" fontId="13" fillId="3" borderId="11" xfId="2" applyFont="1" applyFill="1" applyBorder="1" applyAlignment="1">
      <alignment horizontal="center" vertical="center"/>
    </xf>
    <xf numFmtId="164" fontId="13" fillId="3" borderId="11" xfId="2" applyNumberFormat="1" applyFont="1" applyFill="1" applyBorder="1" applyAlignment="1">
      <alignment horizontal="left" vertical="center"/>
    </xf>
    <xf numFmtId="1" fontId="13" fillId="3" borderId="11" xfId="2" applyNumberFormat="1" applyFont="1" applyFill="1" applyBorder="1" applyAlignment="1">
      <alignment horizontal="center" vertical="center"/>
    </xf>
    <xf numFmtId="1" fontId="13" fillId="3" borderId="11" xfId="1" applyNumberFormat="1" applyFont="1" applyFill="1" applyBorder="1" applyAlignment="1">
      <alignment horizontal="center" vertical="center"/>
    </xf>
    <xf numFmtId="1" fontId="4" fillId="3" borderId="11" xfId="0" applyNumberFormat="1" applyFont="1" applyFill="1" applyBorder="1" applyAlignment="1">
      <alignment horizontal="center" vertical="center"/>
    </xf>
    <xf numFmtId="1" fontId="3" fillId="3" borderId="11" xfId="0" applyNumberFormat="1" applyFont="1" applyFill="1" applyBorder="1" applyAlignment="1">
      <alignment horizontal="center" vertical="center"/>
    </xf>
    <xf numFmtId="9" fontId="3" fillId="3" borderId="11" xfId="4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1" fontId="4" fillId="2" borderId="11" xfId="0" applyNumberFormat="1" applyFont="1" applyFill="1" applyBorder="1" applyAlignment="1">
      <alignment horizontal="center" vertical="center"/>
    </xf>
    <xf numFmtId="0" fontId="12" fillId="6" borderId="11" xfId="1" applyNumberFormat="1" applyFont="1" applyFill="1" applyBorder="1" applyAlignment="1">
      <alignment horizontal="center" vertical="center" wrapText="1"/>
    </xf>
    <xf numFmtId="165" fontId="4" fillId="3" borderId="11" xfId="0" applyNumberFormat="1" applyFont="1" applyFill="1" applyBorder="1" applyAlignment="1">
      <alignment horizontal="center" vertical="center"/>
    </xf>
    <xf numFmtId="9" fontId="4" fillId="3" borderId="2" xfId="4" applyFont="1" applyFill="1" applyBorder="1" applyAlignment="1">
      <alignment horizontal="center" vertical="center"/>
    </xf>
    <xf numFmtId="166" fontId="4" fillId="3" borderId="11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2" fontId="3" fillId="3" borderId="11" xfId="0" applyNumberFormat="1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left" vertical="center"/>
    </xf>
    <xf numFmtId="167" fontId="3" fillId="0" borderId="0" xfId="0" applyNumberFormat="1" applyFont="1" applyAlignment="1">
      <alignment vertical="center"/>
    </xf>
    <xf numFmtId="168" fontId="13" fillId="3" borderId="11" xfId="2" applyNumberFormat="1" applyFont="1" applyFill="1" applyBorder="1" applyAlignment="1">
      <alignment horizontal="left" vertical="center"/>
    </xf>
    <xf numFmtId="167" fontId="6" fillId="6" borderId="0" xfId="1" applyNumberFormat="1" applyFont="1" applyFill="1" applyBorder="1" applyAlignment="1">
      <alignment vertical="center" wrapText="1"/>
    </xf>
    <xf numFmtId="167" fontId="15" fillId="0" borderId="5" xfId="2" applyNumberFormat="1" applyFont="1" applyBorder="1" applyAlignment="1">
      <alignment horizontal="left" vertical="center"/>
    </xf>
    <xf numFmtId="167" fontId="15" fillId="0" borderId="6" xfId="2" applyNumberFormat="1" applyFont="1" applyBorder="1" applyAlignment="1">
      <alignment horizontal="left" vertical="center"/>
    </xf>
    <xf numFmtId="167" fontId="15" fillId="0" borderId="7" xfId="2" applyNumberFormat="1" applyFont="1" applyBorder="1" applyAlignment="1">
      <alignment horizontal="left" vertical="center"/>
    </xf>
    <xf numFmtId="1" fontId="15" fillId="0" borderId="5" xfId="2" applyNumberFormat="1" applyFont="1" applyBorder="1" applyAlignment="1">
      <alignment horizontal="center" vertical="center"/>
    </xf>
    <xf numFmtId="1" fontId="15" fillId="0" borderId="6" xfId="2" applyNumberFormat="1" applyFont="1" applyBorder="1" applyAlignment="1">
      <alignment horizontal="center" vertical="center"/>
    </xf>
    <xf numFmtId="1" fontId="15" fillId="0" borderId="7" xfId="2" applyNumberFormat="1" applyFont="1" applyBorder="1" applyAlignment="1">
      <alignment horizontal="center" vertical="center"/>
    </xf>
    <xf numFmtId="9" fontId="4" fillId="3" borderId="2" xfId="4" applyNumberFormat="1" applyFont="1" applyFill="1" applyBorder="1" applyAlignment="1">
      <alignment horizontal="center" vertical="center"/>
    </xf>
    <xf numFmtId="0" fontId="18" fillId="5" borderId="0" xfId="0" applyFont="1" applyFill="1" applyAlignment="1">
      <alignment horizontal="left" vertical="center"/>
    </xf>
    <xf numFmtId="0" fontId="18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center" vertical="center"/>
    </xf>
    <xf numFmtId="9" fontId="6" fillId="5" borderId="0" xfId="4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9" fillId="0" borderId="0" xfId="0" applyFont="1" applyFill="1" applyBorder="1" applyAlignment="1">
      <alignment horizontal="left" vertical="center"/>
    </xf>
    <xf numFmtId="2" fontId="19" fillId="0" borderId="0" xfId="0" applyNumberFormat="1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16" xfId="0" applyBorder="1" applyAlignment="1">
      <alignment wrapText="1"/>
    </xf>
    <xf numFmtId="0" fontId="0" fillId="0" borderId="0" xfId="0" applyBorder="1" applyAlignment="1">
      <alignment wrapText="1"/>
    </xf>
    <xf numFmtId="0" fontId="21" fillId="0" borderId="0" xfId="0" applyFont="1" applyBorder="1" applyAlignment="1">
      <alignment vertical="center" wrapText="1"/>
    </xf>
    <xf numFmtId="0" fontId="0" fillId="0" borderId="16" xfId="0" quotePrefix="1" applyBorder="1" applyAlignment="1">
      <alignment wrapText="1"/>
    </xf>
    <xf numFmtId="0" fontId="3" fillId="0" borderId="0" xfId="0" applyFont="1" applyAlignment="1">
      <alignment vertical="center" wrapText="1"/>
    </xf>
    <xf numFmtId="164" fontId="3" fillId="0" borderId="0" xfId="0" applyNumberFormat="1" applyFont="1" applyAlignment="1">
      <alignment horizontal="left" vertical="center" wrapText="1"/>
    </xf>
    <xf numFmtId="0" fontId="3" fillId="0" borderId="13" xfId="0" applyFont="1" applyBorder="1" applyAlignment="1">
      <alignment vertical="center" wrapText="1"/>
    </xf>
    <xf numFmtId="2" fontId="3" fillId="0" borderId="13" xfId="0" applyNumberFormat="1" applyFont="1" applyBorder="1" applyAlignment="1">
      <alignment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vertical="center"/>
    </xf>
    <xf numFmtId="0" fontId="22" fillId="7" borderId="13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1" fontId="3" fillId="0" borderId="13" xfId="0" applyNumberFormat="1" applyFont="1" applyBorder="1" applyAlignment="1">
      <alignment vertical="center" wrapText="1"/>
    </xf>
    <xf numFmtId="0" fontId="4" fillId="3" borderId="13" xfId="0" applyFont="1" applyFill="1" applyBorder="1" applyAlignment="1">
      <alignment vertical="center" wrapText="1"/>
    </xf>
    <xf numFmtId="1" fontId="3" fillId="0" borderId="13" xfId="0" applyNumberFormat="1" applyFont="1" applyBorder="1" applyAlignment="1">
      <alignment horizontal="right" vertical="center"/>
    </xf>
    <xf numFmtId="1" fontId="3" fillId="0" borderId="13" xfId="0" applyNumberFormat="1" applyFont="1" applyBorder="1" applyAlignment="1">
      <alignment horizontal="right" vertical="center" wrapText="1"/>
    </xf>
    <xf numFmtId="2" fontId="3" fillId="0" borderId="13" xfId="0" applyNumberFormat="1" applyFont="1" applyBorder="1" applyAlignment="1">
      <alignment horizontal="right" vertical="center" wrapText="1"/>
    </xf>
    <xf numFmtId="0" fontId="3" fillId="0" borderId="0" xfId="0" applyFont="1" applyAlignment="1">
      <alignment horizontal="right" vertical="center" wrapText="1"/>
    </xf>
    <xf numFmtId="164" fontId="3" fillId="0" borderId="0" xfId="0" applyNumberFormat="1" applyFont="1" applyAlignment="1">
      <alignment horizontal="right" vertical="center" wrapText="1"/>
    </xf>
    <xf numFmtId="0" fontId="3" fillId="0" borderId="13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Border="1" applyAlignment="1">
      <alignment vertical="center"/>
    </xf>
    <xf numFmtId="0" fontId="9" fillId="5" borderId="0" xfId="0" applyFont="1" applyFill="1" applyAlignment="1">
      <alignment vertical="center"/>
    </xf>
    <xf numFmtId="164" fontId="12" fillId="6" borderId="13" xfId="2" applyNumberFormat="1" applyFont="1" applyFill="1" applyBorder="1" applyAlignment="1">
      <alignment horizontal="center" vertical="center" wrapText="1"/>
    </xf>
    <xf numFmtId="0" fontId="12" fillId="6" borderId="13" xfId="1" applyNumberFormat="1" applyFont="1" applyFill="1" applyBorder="1" applyAlignment="1">
      <alignment horizontal="center" vertical="center" wrapText="1"/>
    </xf>
    <xf numFmtId="169" fontId="3" fillId="3" borderId="11" xfId="0" applyNumberFormat="1" applyFont="1" applyFill="1" applyBorder="1"/>
    <xf numFmtId="1" fontId="3" fillId="3" borderId="11" xfId="0" applyNumberFormat="1" applyFont="1" applyFill="1" applyBorder="1"/>
    <xf numFmtId="9" fontId="3" fillId="3" borderId="11" xfId="4" applyFont="1" applyFill="1" applyBorder="1"/>
    <xf numFmtId="164" fontId="3" fillId="4" borderId="11" xfId="0" applyNumberFormat="1" applyFont="1" applyFill="1" applyBorder="1" applyAlignment="1">
      <alignment horizontal="left" vertical="center" wrapText="1"/>
    </xf>
    <xf numFmtId="0" fontId="3" fillId="4" borderId="11" xfId="0" applyNumberFormat="1" applyFont="1" applyFill="1" applyBorder="1" applyAlignment="1">
      <alignment horizontal="right" vertical="center" wrapText="1"/>
    </xf>
    <xf numFmtId="1" fontId="4" fillId="3" borderId="11" xfId="0" applyNumberFormat="1" applyFont="1" applyFill="1" applyBorder="1" applyAlignment="1">
      <alignment vertical="center"/>
    </xf>
    <xf numFmtId="164" fontId="12" fillId="6" borderId="21" xfId="2" applyNumberFormat="1" applyFont="1" applyFill="1" applyBorder="1" applyAlignment="1">
      <alignment vertical="center" wrapText="1"/>
    </xf>
    <xf numFmtId="164" fontId="12" fillId="6" borderId="6" xfId="2" applyNumberFormat="1" applyFont="1" applyFill="1" applyBorder="1" applyAlignment="1">
      <alignment vertical="center" wrapText="1"/>
    </xf>
    <xf numFmtId="164" fontId="12" fillId="6" borderId="22" xfId="2" applyNumberFormat="1" applyFont="1" applyFill="1" applyBorder="1" applyAlignment="1">
      <alignment vertical="center" wrapText="1"/>
    </xf>
    <xf numFmtId="0" fontId="24" fillId="0" borderId="1" xfId="0" applyFont="1" applyBorder="1" applyAlignment="1">
      <alignment horizontal="right" vertical="center" wrapText="1"/>
    </xf>
    <xf numFmtId="164" fontId="3" fillId="0" borderId="1" xfId="0" applyNumberFormat="1" applyFont="1" applyBorder="1" applyAlignment="1">
      <alignment horizontal="right" vertical="center" wrapText="1"/>
    </xf>
    <xf numFmtId="2" fontId="24" fillId="0" borderId="1" xfId="0" applyNumberFormat="1" applyFont="1" applyBorder="1" applyAlignment="1">
      <alignment horizontal="right" vertical="center" wrapText="1"/>
    </xf>
    <xf numFmtId="0" fontId="24" fillId="0" borderId="11" xfId="0" applyFont="1" applyBorder="1" applyAlignment="1">
      <alignment horizontal="right" vertical="center" wrapText="1"/>
    </xf>
    <xf numFmtId="164" fontId="3" fillId="0" borderId="11" xfId="0" applyNumberFormat="1" applyFont="1" applyBorder="1" applyAlignment="1">
      <alignment horizontal="right" vertical="center" wrapText="1"/>
    </xf>
    <xf numFmtId="2" fontId="24" fillId="0" borderId="11" xfId="0" applyNumberFormat="1" applyFont="1" applyBorder="1" applyAlignment="1">
      <alignment horizontal="right" vertical="center" wrapText="1"/>
    </xf>
    <xf numFmtId="164" fontId="3" fillId="0" borderId="11" xfId="0" applyNumberFormat="1" applyFont="1" applyBorder="1" applyAlignment="1">
      <alignment horizontal="left" vertical="center" wrapText="1"/>
    </xf>
    <xf numFmtId="0" fontId="3" fillId="0" borderId="11" xfId="0" applyFont="1" applyBorder="1" applyAlignment="1">
      <alignment horizontal="right" vertical="center" wrapText="1"/>
    </xf>
    <xf numFmtId="0" fontId="25" fillId="3" borderId="11" xfId="0" applyFont="1" applyFill="1" applyBorder="1" applyAlignment="1">
      <alignment horizontal="left" vertical="center"/>
    </xf>
    <xf numFmtId="2" fontId="25" fillId="3" borderId="11" xfId="0" applyNumberFormat="1" applyFont="1" applyFill="1" applyBorder="1" applyAlignment="1">
      <alignment vertical="center"/>
    </xf>
    <xf numFmtId="0" fontId="25" fillId="3" borderId="2" xfId="0" applyFont="1" applyFill="1" applyBorder="1" applyAlignment="1">
      <alignment horizontal="left" vertical="center"/>
    </xf>
    <xf numFmtId="9" fontId="25" fillId="3" borderId="2" xfId="4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0" borderId="0" xfId="0" applyNumberFormat="1" applyFont="1" applyBorder="1" applyAlignment="1">
      <alignment vertical="center"/>
    </xf>
    <xf numFmtId="0" fontId="0" fillId="8" borderId="0" xfId="0" applyFill="1" applyAlignment="1">
      <alignment wrapText="1"/>
    </xf>
    <xf numFmtId="0" fontId="0" fillId="0" borderId="0" xfId="0" applyFill="1" applyAlignment="1">
      <alignment wrapText="1"/>
    </xf>
    <xf numFmtId="0" fontId="21" fillId="0" borderId="9" xfId="0" applyFont="1" applyBorder="1" applyAlignment="1">
      <alignment vertical="center" wrapText="1"/>
    </xf>
    <xf numFmtId="0" fontId="21" fillId="0" borderId="8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21" fillId="0" borderId="26" xfId="0" applyFont="1" applyBorder="1" applyAlignment="1">
      <alignment vertical="center" wrapText="1"/>
    </xf>
    <xf numFmtId="0" fontId="0" fillId="0" borderId="9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0" xfId="0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24" xfId="0" applyFill="1" applyBorder="1" applyAlignment="1">
      <alignment wrapText="1"/>
    </xf>
    <xf numFmtId="0" fontId="0" fillId="0" borderId="5" xfId="0" applyFill="1" applyBorder="1" applyAlignment="1">
      <alignment wrapText="1"/>
    </xf>
    <xf numFmtId="0" fontId="0" fillId="0" borderId="26" xfId="0" applyFill="1" applyBorder="1" applyAlignment="1">
      <alignment wrapText="1"/>
    </xf>
    <xf numFmtId="0" fontId="0" fillId="0" borderId="23" xfId="0" applyBorder="1" applyAlignment="1">
      <alignment wrapText="1"/>
    </xf>
    <xf numFmtId="0" fontId="0" fillId="0" borderId="8" xfId="0" applyFill="1" applyBorder="1" applyAlignment="1">
      <alignment wrapText="1"/>
    </xf>
    <xf numFmtId="0" fontId="0" fillId="0" borderId="25" xfId="0" applyFill="1" applyBorder="1" applyAlignment="1">
      <alignment wrapText="1"/>
    </xf>
    <xf numFmtId="0" fontId="0" fillId="0" borderId="17" xfId="0" applyFill="1" applyBorder="1" applyAlignment="1">
      <alignment wrapText="1"/>
    </xf>
    <xf numFmtId="0" fontId="0" fillId="0" borderId="16" xfId="0" applyFill="1" applyBorder="1" applyAlignment="1">
      <alignment wrapText="1"/>
    </xf>
    <xf numFmtId="0" fontId="0" fillId="0" borderId="18" xfId="0" applyFill="1" applyBorder="1" applyAlignment="1">
      <alignment wrapText="1"/>
    </xf>
    <xf numFmtId="0" fontId="0" fillId="0" borderId="12" xfId="0" applyFill="1" applyBorder="1" applyAlignment="1">
      <alignment wrapText="1"/>
    </xf>
    <xf numFmtId="0" fontId="0" fillId="0" borderId="19" xfId="0" applyFill="1" applyBorder="1" applyAlignment="1">
      <alignment wrapText="1"/>
    </xf>
    <xf numFmtId="0" fontId="0" fillId="0" borderId="9" xfId="0" applyFill="1" applyBorder="1" applyAlignment="1">
      <alignment wrapText="1"/>
    </xf>
    <xf numFmtId="164" fontId="12" fillId="6" borderId="0" xfId="2" applyNumberFormat="1" applyFont="1" applyFill="1" applyBorder="1" applyAlignment="1">
      <alignment horizontal="center" vertical="center" wrapText="1"/>
    </xf>
    <xf numFmtId="0" fontId="17" fillId="3" borderId="8" xfId="0" applyFont="1" applyFill="1" applyBorder="1" applyAlignment="1">
      <alignment vertical="center"/>
    </xf>
    <xf numFmtId="0" fontId="17" fillId="3" borderId="25" xfId="0" applyFont="1" applyFill="1" applyBorder="1" applyAlignment="1">
      <alignment vertical="center"/>
    </xf>
    <xf numFmtId="0" fontId="17" fillId="3" borderId="26" xfId="0" applyFont="1" applyFill="1" applyBorder="1" applyAlignment="1">
      <alignment vertical="center"/>
    </xf>
    <xf numFmtId="0" fontId="28" fillId="3" borderId="24" xfId="0" applyFont="1" applyFill="1" applyBorder="1" applyAlignment="1">
      <alignment vertical="center"/>
    </xf>
    <xf numFmtId="0" fontId="10" fillId="5" borderId="0" xfId="0" applyNumberFormat="1" applyFont="1" applyFill="1" applyAlignment="1">
      <alignment horizontal="center" vertical="center"/>
    </xf>
    <xf numFmtId="0" fontId="9" fillId="0" borderId="0" xfId="0" applyNumberFormat="1" applyFont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3" borderId="11" xfId="4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left" vertical="center" wrapText="1"/>
    </xf>
    <xf numFmtId="0" fontId="3" fillId="4" borderId="1" xfId="0" applyNumberFormat="1" applyFont="1" applyFill="1" applyBorder="1" applyAlignment="1">
      <alignment horizontal="right" vertical="center" wrapText="1"/>
    </xf>
    <xf numFmtId="164" fontId="3" fillId="0" borderId="11" xfId="0" applyNumberFormat="1" applyFont="1" applyBorder="1" applyAlignment="1">
      <alignment horizontal="left" vertical="center"/>
    </xf>
    <xf numFmtId="0" fontId="3" fillId="0" borderId="11" xfId="0" applyFont="1" applyBorder="1" applyAlignment="1">
      <alignment vertical="center"/>
    </xf>
    <xf numFmtId="164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 applyAlignment="1">
      <alignment horizontal="right" vertical="center" wrapText="1"/>
    </xf>
    <xf numFmtId="164" fontId="3" fillId="0" borderId="2" xfId="0" applyNumberFormat="1" applyFont="1" applyBorder="1" applyAlignment="1">
      <alignment horizontal="right" vertical="center" wrapText="1"/>
    </xf>
    <xf numFmtId="1" fontId="6" fillId="6" borderId="0" xfId="1" applyNumberFormat="1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23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0" xfId="0" applyFont="1" applyFill="1" applyBorder="1" applyAlignment="1">
      <alignment horizontal="center" vertical="center" wrapText="1"/>
    </xf>
    <xf numFmtId="0" fontId="26" fillId="9" borderId="24" xfId="0" applyFont="1" applyFill="1" applyBorder="1" applyAlignment="1">
      <alignment horizontal="center" vertical="center" wrapText="1"/>
    </xf>
    <xf numFmtId="0" fontId="27" fillId="0" borderId="23" xfId="0" applyFont="1" applyBorder="1" applyAlignment="1">
      <alignment horizontal="right" vertical="center" wrapText="1"/>
    </xf>
    <xf numFmtId="0" fontId="27" fillId="0" borderId="24" xfId="0" applyFont="1" applyBorder="1" applyAlignment="1">
      <alignment horizontal="right" vertical="center" wrapText="1"/>
    </xf>
    <xf numFmtId="0" fontId="26" fillId="9" borderId="13" xfId="0" applyFont="1" applyFill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3" fillId="10" borderId="14" xfId="0" applyFont="1" applyFill="1" applyBorder="1" applyAlignment="1">
      <alignment horizontal="center" vertical="center" wrapText="1"/>
    </xf>
    <xf numFmtId="0" fontId="23" fillId="10" borderId="20" xfId="0" applyFont="1" applyFill="1" applyBorder="1" applyAlignment="1">
      <alignment horizontal="center" vertical="center" wrapText="1"/>
    </xf>
    <xf numFmtId="0" fontId="23" fillId="10" borderId="15" xfId="0" applyFont="1" applyFill="1" applyBorder="1" applyAlignment="1">
      <alignment horizontal="center" vertical="center" wrapText="1"/>
    </xf>
    <xf numFmtId="0" fontId="23" fillId="10" borderId="16" xfId="0" applyFont="1" applyFill="1" applyBorder="1" applyAlignment="1">
      <alignment horizontal="center" vertical="center" wrapText="1"/>
    </xf>
    <xf numFmtId="0" fontId="23" fillId="10" borderId="0" xfId="0" applyFont="1" applyFill="1" applyBorder="1" applyAlignment="1">
      <alignment horizontal="center" vertical="center" wrapText="1"/>
    </xf>
    <xf numFmtId="0" fontId="23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/>
    </xf>
    <xf numFmtId="0" fontId="23" fillId="10" borderId="12" xfId="0" applyFont="1" applyFill="1" applyBorder="1" applyAlignment="1">
      <alignment horizontal="center" vertical="center" wrapText="1"/>
    </xf>
    <xf numFmtId="0" fontId="23" fillId="10" borderId="19" xfId="0" applyFont="1" applyFill="1" applyBorder="1" applyAlignment="1">
      <alignment horizontal="center" vertical="center" wrapText="1"/>
    </xf>
    <xf numFmtId="0" fontId="26" fillId="9" borderId="21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2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5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2" fontId="4" fillId="2" borderId="1" xfId="0" applyNumberFormat="1" applyFont="1" applyFill="1" applyBorder="1" applyAlignment="1">
      <alignment horizontal="center" vertical="center" wrapText="1"/>
    </xf>
    <xf numFmtId="2" fontId="4" fillId="2" borderId="2" xfId="0" applyNumberFormat="1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2" fontId="4" fillId="3" borderId="1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164" fontId="12" fillId="6" borderId="1" xfId="2" applyNumberFormat="1" applyFont="1" applyFill="1" applyBorder="1" applyAlignment="1">
      <alignment horizontal="center" vertical="center" wrapText="1"/>
    </xf>
    <xf numFmtId="164" fontId="12" fillId="6" borderId="11" xfId="2" applyNumberFormat="1" applyFont="1" applyFill="1" applyBorder="1" applyAlignment="1">
      <alignment horizontal="center" vertical="center" wrapText="1"/>
    </xf>
    <xf numFmtId="164" fontId="12" fillId="6" borderId="9" xfId="2" applyNumberFormat="1" applyFont="1" applyFill="1" applyBorder="1" applyAlignment="1">
      <alignment horizontal="center" vertical="center" wrapText="1"/>
    </xf>
    <xf numFmtId="164" fontId="12" fillId="6" borderId="10" xfId="2" applyNumberFormat="1" applyFont="1" applyFill="1" applyBorder="1" applyAlignment="1">
      <alignment horizontal="center" vertical="center" wrapText="1"/>
    </xf>
    <xf numFmtId="164" fontId="12" fillId="6" borderId="23" xfId="2" applyNumberFormat="1" applyFont="1" applyFill="1" applyBorder="1" applyAlignment="1">
      <alignment horizontal="center" vertical="center" wrapText="1"/>
    </xf>
    <xf numFmtId="164" fontId="12" fillId="6" borderId="8" xfId="2" applyNumberFormat="1" applyFont="1" applyFill="1" applyBorder="1" applyAlignment="1">
      <alignment horizontal="center" vertical="center" wrapText="1"/>
    </xf>
    <xf numFmtId="164" fontId="12" fillId="6" borderId="0" xfId="2" applyNumberFormat="1" applyFont="1" applyFill="1" applyBorder="1" applyAlignment="1">
      <alignment horizontal="center" vertical="center" wrapText="1"/>
    </xf>
    <xf numFmtId="164" fontId="12" fillId="6" borderId="24" xfId="2" applyNumberFormat="1" applyFont="1" applyFill="1" applyBorder="1" applyAlignment="1">
      <alignment horizontal="center" vertical="center" wrapText="1"/>
    </xf>
    <xf numFmtId="9" fontId="17" fillId="3" borderId="11" xfId="4" applyFont="1" applyFill="1" applyBorder="1" applyAlignment="1">
      <alignment horizontal="center" vertical="center"/>
    </xf>
    <xf numFmtId="9" fontId="17" fillId="3" borderId="2" xfId="4" applyFont="1" applyFill="1" applyBorder="1" applyAlignment="1">
      <alignment horizontal="center" vertical="center"/>
    </xf>
    <xf numFmtId="0" fontId="17" fillId="3" borderId="11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left" vertical="center"/>
    </xf>
    <xf numFmtId="0" fontId="17" fillId="3" borderId="11" xfId="0" applyFont="1" applyFill="1" applyBorder="1" applyAlignment="1">
      <alignment horizontal="center" vertical="center"/>
    </xf>
    <xf numFmtId="0" fontId="17" fillId="3" borderId="2" xfId="0" applyFont="1" applyFill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 wrapText="1"/>
    </xf>
    <xf numFmtId="0" fontId="17" fillId="3" borderId="21" xfId="0" applyFont="1" applyFill="1" applyBorder="1" applyAlignment="1">
      <alignment horizontal="center" vertical="center"/>
    </xf>
    <xf numFmtId="0" fontId="17" fillId="3" borderId="6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12" fillId="6" borderId="1" xfId="1" applyNumberFormat="1" applyFont="1" applyFill="1" applyBorder="1" applyAlignment="1">
      <alignment horizontal="center" vertical="center" wrapText="1"/>
    </xf>
  </cellXfs>
  <cellStyles count="7">
    <cellStyle name="Normal" xfId="0" builtinId="0"/>
    <cellStyle name="Normal 2" xfId="5"/>
    <cellStyle name="Normal 2 3" xfId="1"/>
    <cellStyle name="Normal 3" xfId="6"/>
    <cellStyle name="Normal 4" xfId="2"/>
    <cellStyle name="Percent" xfId="4" builtinId="5"/>
    <cellStyle name="Percent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236162361623616"/>
          <c:y val="6.4516207201127287E-2"/>
          <c:w val="0.78044280442804426"/>
          <c:h val="0.76923170124421003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8.6981195132187314E-2"/>
                  <c:y val="0.3173786989923388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75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xVal>
          <c:yVal>
            <c:numRef>
              <c:f>Regression!$B$5:$B$34</c:f>
              <c:numCache>
                <c:formatCode>#,##0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142464"/>
        <c:axId val="204145024"/>
      </c:scatterChart>
      <c:valAx>
        <c:axId val="204142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Independent Variable</a:t>
                </a:r>
              </a:p>
            </c:rich>
          </c:tx>
          <c:layout>
            <c:manualLayout>
              <c:xMode val="edge"/>
              <c:yMode val="edge"/>
              <c:x val="0.44095940959409596"/>
              <c:y val="0.9081896859850995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45024"/>
        <c:crosses val="autoZero"/>
        <c:crossBetween val="midCat"/>
      </c:valAx>
      <c:valAx>
        <c:axId val="2041450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Dependent Variable</a:t>
                </a:r>
              </a:p>
            </c:rich>
          </c:tx>
          <c:layout>
            <c:manualLayout>
              <c:xMode val="edge"/>
              <c:yMode val="edge"/>
              <c:x val="2.9520295202952029E-2"/>
              <c:y val="0.3101740730823427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142464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noFill/>
    <a:ln w="3175">
      <a:noFill/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Daily!$I$9</c:f>
              <c:strCache>
                <c:ptCount val="1"/>
                <c:pt idx="0">
                  <c:v>Volumes</c:v>
                </c:pt>
              </c:strCache>
            </c:strRef>
          </c:tx>
          <c:spPr>
            <a:ln w="9525">
              <a:prstDash val="sysDot"/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Daily!$I$10:$I$519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5"/>
          <c:order val="1"/>
          <c:tx>
            <c:strRef>
              <c:f>Daily!$M$9</c:f>
              <c:strCache>
                <c:ptCount val="1"/>
                <c:pt idx="0">
                  <c:v>Seasonally Adjusted Data</c:v>
                </c:pt>
              </c:strCache>
            </c:strRef>
          </c:tx>
          <c:spPr>
            <a:ln w="12700">
              <a:solidFill>
                <a:schemeClr val="accent1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Daily!$M$10:$M$519</c:f>
              <c:numCache>
                <c:formatCode>0</c:formatCode>
                <c:ptCount val="510"/>
              </c:numCache>
            </c:numRef>
          </c:val>
          <c:smooth val="0"/>
        </c:ser>
        <c:ser>
          <c:idx val="1"/>
          <c:order val="2"/>
          <c:tx>
            <c:strRef>
              <c:f>Daily!$J$9</c:f>
              <c:strCache>
                <c:ptCount val="1"/>
                <c:pt idx="0">
                  <c:v>CMA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Daily!$C$10:$C$519</c:f>
              <c:numCache>
                <c:formatCode>[$-409]d\-mmm\-yy;@</c:formatCode>
                <c:ptCount val="510"/>
              </c:numCache>
            </c:numRef>
          </c:cat>
          <c:val>
            <c:numRef>
              <c:f>Daily!$J$10:$J$519</c:f>
              <c:numCache>
                <c:formatCode>0</c:formatCode>
                <c:ptCount val="510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628800"/>
        <c:axId val="211630336"/>
      </c:lineChart>
      <c:catAx>
        <c:axId val="211628800"/>
        <c:scaling>
          <c:orientation val="minMax"/>
        </c:scaling>
        <c:delete val="0"/>
        <c:axPos val="b"/>
        <c:numFmt formatCode="[$-4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1630336"/>
        <c:crosses val="autoZero"/>
        <c:auto val="1"/>
        <c:lblAlgn val="ctr"/>
        <c:lblOffset val="100"/>
        <c:noMultiLvlLbl val="1"/>
      </c:catAx>
      <c:valAx>
        <c:axId val="211630336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2116288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4"/>
  <sheetViews>
    <sheetView zoomScale="7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croll" dx="15" fmlaLink="$H$6" horiz="1" max="200" page="10" val="10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jp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231959</xdr:colOff>
      <xdr:row>12</xdr:row>
      <xdr:rowOff>35300</xdr:rowOff>
    </xdr:from>
    <xdr:to>
      <xdr:col>6</xdr:col>
      <xdr:colOff>469391</xdr:colOff>
      <xdr:row>16</xdr:row>
      <xdr:rowOff>41412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312" y="976594"/>
          <a:ext cx="1066667" cy="409524"/>
        </a:xfrm>
        <a:prstGeom prst="rect">
          <a:avLst/>
        </a:prstGeom>
      </xdr:spPr>
    </xdr:pic>
    <xdr:clientData/>
  </xdr:twoCellAnchor>
  <xdr:twoCellAnchor editAs="oneCell">
    <xdr:from>
      <xdr:col>7</xdr:col>
      <xdr:colOff>335056</xdr:colOff>
      <xdr:row>12</xdr:row>
      <xdr:rowOff>86822</xdr:rowOff>
    </xdr:from>
    <xdr:to>
      <xdr:col>8</xdr:col>
      <xdr:colOff>636349</xdr:colOff>
      <xdr:row>15</xdr:row>
      <xdr:rowOff>90744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690" b="23742"/>
        <a:stretch/>
      </xdr:blipFill>
      <xdr:spPr>
        <a:xfrm>
          <a:off x="3808880" y="1028116"/>
          <a:ext cx="1130528" cy="306481"/>
        </a:xfrm>
        <a:prstGeom prst="rect">
          <a:avLst/>
        </a:prstGeom>
      </xdr:spPr>
    </xdr:pic>
    <xdr:clientData/>
  </xdr:twoCellAnchor>
  <xdr:twoCellAnchor editAs="oneCell">
    <xdr:from>
      <xdr:col>9</xdr:col>
      <xdr:colOff>237005</xdr:colOff>
      <xdr:row>12</xdr:row>
      <xdr:rowOff>44824</xdr:rowOff>
    </xdr:from>
    <xdr:to>
      <xdr:col>10</xdr:col>
      <xdr:colOff>474436</xdr:colOff>
      <xdr:row>16</xdr:row>
      <xdr:rowOff>31888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69299" y="986118"/>
          <a:ext cx="1066667" cy="390476"/>
        </a:xfrm>
        <a:prstGeom prst="rect">
          <a:avLst/>
        </a:prstGeom>
      </xdr:spPr>
    </xdr:pic>
    <xdr:clientData/>
  </xdr:twoCellAnchor>
  <xdr:twoCellAnchor editAs="oneCell">
    <xdr:from>
      <xdr:col>5</xdr:col>
      <xdr:colOff>221807</xdr:colOff>
      <xdr:row>19</xdr:row>
      <xdr:rowOff>122423</xdr:rowOff>
    </xdr:from>
    <xdr:to>
      <xdr:col>6</xdr:col>
      <xdr:colOff>479543</xdr:colOff>
      <xdr:row>23</xdr:row>
      <xdr:rowOff>61867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r="3278"/>
        <a:stretch/>
      </xdr:blipFill>
      <xdr:spPr>
        <a:xfrm>
          <a:off x="2037160" y="2161894"/>
          <a:ext cx="1086971" cy="371430"/>
        </a:xfrm>
        <a:prstGeom prst="rect">
          <a:avLst/>
        </a:prstGeom>
      </xdr:spPr>
    </xdr:pic>
    <xdr:clientData/>
  </xdr:twoCellAnchor>
  <xdr:twoCellAnchor editAs="oneCell">
    <xdr:from>
      <xdr:col>7</xdr:col>
      <xdr:colOff>343177</xdr:colOff>
      <xdr:row>19</xdr:row>
      <xdr:rowOff>117662</xdr:rowOff>
    </xdr:from>
    <xdr:to>
      <xdr:col>8</xdr:col>
      <xdr:colOff>628228</xdr:colOff>
      <xdr:row>23</xdr:row>
      <xdr:rowOff>76153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7001" y="2157133"/>
          <a:ext cx="1114286" cy="380952"/>
        </a:xfrm>
        <a:prstGeom prst="rect">
          <a:avLst/>
        </a:prstGeom>
      </xdr:spPr>
    </xdr:pic>
    <xdr:clientData/>
  </xdr:twoCellAnchor>
  <xdr:twoCellAnchor editAs="oneCell">
    <xdr:from>
      <xdr:col>9</xdr:col>
      <xdr:colOff>265576</xdr:colOff>
      <xdr:row>19</xdr:row>
      <xdr:rowOff>100829</xdr:rowOff>
    </xdr:from>
    <xdr:to>
      <xdr:col>10</xdr:col>
      <xdr:colOff>445864</xdr:colOff>
      <xdr:row>24</xdr:row>
      <xdr:rowOff>1658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7372"/>
        <a:stretch/>
      </xdr:blipFill>
      <xdr:spPr>
        <a:xfrm>
          <a:off x="5397870" y="2140300"/>
          <a:ext cx="1009524" cy="414618"/>
        </a:xfrm>
        <a:prstGeom prst="rect">
          <a:avLst/>
        </a:prstGeom>
      </xdr:spPr>
    </xdr:pic>
    <xdr:clientData/>
  </xdr:twoCellAnchor>
  <xdr:twoCellAnchor editAs="oneCell">
    <xdr:from>
      <xdr:col>5</xdr:col>
      <xdr:colOff>212911</xdr:colOff>
      <xdr:row>26</xdr:row>
      <xdr:rowOff>16809</xdr:rowOff>
    </xdr:from>
    <xdr:to>
      <xdr:col>6</xdr:col>
      <xdr:colOff>488438</xdr:colOff>
      <xdr:row>30</xdr:row>
      <xdr:rowOff>61016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28264" y="3154456"/>
          <a:ext cx="1104762" cy="447619"/>
        </a:xfrm>
        <a:prstGeom prst="rect">
          <a:avLst/>
        </a:prstGeom>
      </xdr:spPr>
    </xdr:pic>
    <xdr:clientData/>
  </xdr:twoCellAnchor>
  <xdr:twoCellAnchor editAs="oneCell">
    <xdr:from>
      <xdr:col>7</xdr:col>
      <xdr:colOff>338415</xdr:colOff>
      <xdr:row>26</xdr:row>
      <xdr:rowOff>26333</xdr:rowOff>
    </xdr:from>
    <xdr:to>
      <xdr:col>8</xdr:col>
      <xdr:colOff>632990</xdr:colOff>
      <xdr:row>30</xdr:row>
      <xdr:rowOff>51492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812239" y="3163980"/>
          <a:ext cx="1123810" cy="428571"/>
        </a:xfrm>
        <a:prstGeom prst="rect">
          <a:avLst/>
        </a:prstGeom>
      </xdr:spPr>
    </xdr:pic>
    <xdr:clientData/>
  </xdr:twoCellAnchor>
  <xdr:twoCellAnchor editAs="oneCell">
    <xdr:from>
      <xdr:col>9</xdr:col>
      <xdr:colOff>246529</xdr:colOff>
      <xdr:row>26</xdr:row>
      <xdr:rowOff>21571</xdr:rowOff>
    </xdr:from>
    <xdr:to>
      <xdr:col>10</xdr:col>
      <xdr:colOff>464912</xdr:colOff>
      <xdr:row>30</xdr:row>
      <xdr:rowOff>33618</xdr:rowOff>
    </xdr:to>
    <xdr:pic>
      <xdr:nvPicPr>
        <xdr:cNvPr id="12" name="Picture 11"/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5166"/>
        <a:stretch/>
      </xdr:blipFill>
      <xdr:spPr>
        <a:xfrm>
          <a:off x="5378823" y="3327306"/>
          <a:ext cx="1047619" cy="415459"/>
        </a:xfrm>
        <a:prstGeom prst="rect">
          <a:avLst/>
        </a:prstGeom>
      </xdr:spPr>
    </xdr:pic>
    <xdr:clientData/>
  </xdr:twoCellAnchor>
  <xdr:twoCellAnchor editAs="oneCell">
    <xdr:from>
      <xdr:col>20</xdr:col>
      <xdr:colOff>67228</xdr:colOff>
      <xdr:row>2</xdr:row>
      <xdr:rowOff>22412</xdr:rowOff>
    </xdr:from>
    <xdr:to>
      <xdr:col>22</xdr:col>
      <xdr:colOff>201699</xdr:colOff>
      <xdr:row>4</xdr:row>
      <xdr:rowOff>134933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9375" y="336177"/>
          <a:ext cx="1344706" cy="493521"/>
        </a:xfrm>
        <a:prstGeom prst="rect">
          <a:avLst/>
        </a:prstGeom>
      </xdr:spPr>
    </xdr:pic>
    <xdr:clientData/>
  </xdr:twoCellAnchor>
  <xdr:twoCellAnchor>
    <xdr:from>
      <xdr:col>12</xdr:col>
      <xdr:colOff>280147</xdr:colOff>
      <xdr:row>7</xdr:row>
      <xdr:rowOff>112061</xdr:rowOff>
    </xdr:from>
    <xdr:to>
      <xdr:col>14</xdr:col>
      <xdr:colOff>459442</xdr:colOff>
      <xdr:row>15</xdr:row>
      <xdr:rowOff>19959</xdr:rowOff>
    </xdr:to>
    <xdr:sp macro="" textlink="">
      <xdr:nvSpPr>
        <xdr:cNvPr id="4" name="Rectangle 3"/>
        <xdr:cNvSpPr/>
      </xdr:nvSpPr>
      <xdr:spPr>
        <a:xfrm>
          <a:off x="7866529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Update Date and volume data in "Factors" Sheet</a:t>
          </a:r>
        </a:p>
      </xdr:txBody>
    </xdr:sp>
    <xdr:clientData/>
  </xdr:twoCellAnchor>
  <xdr:twoCellAnchor>
    <xdr:from>
      <xdr:col>15</xdr:col>
      <xdr:colOff>504264</xdr:colOff>
      <xdr:row>7</xdr:row>
      <xdr:rowOff>112061</xdr:rowOff>
    </xdr:from>
    <xdr:to>
      <xdr:col>18</xdr:col>
      <xdr:colOff>89647</xdr:colOff>
      <xdr:row>15</xdr:row>
      <xdr:rowOff>19959</xdr:rowOff>
    </xdr:to>
    <xdr:sp macro="" textlink="">
      <xdr:nvSpPr>
        <xdr:cNvPr id="13" name="Rectangle 12"/>
        <xdr:cNvSpPr/>
      </xdr:nvSpPr>
      <xdr:spPr>
        <a:xfrm>
          <a:off x="9939617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Arrive at Daily</a:t>
          </a:r>
          <a:r>
            <a:rPr lang="en-US" sz="1050" baseline="0"/>
            <a:t>, Weekly and Montly Indicies</a:t>
          </a:r>
          <a:endParaRPr lang="en-US" sz="1050"/>
        </a:p>
      </xdr:txBody>
    </xdr:sp>
    <xdr:clientData/>
  </xdr:twoCellAnchor>
  <xdr:twoCellAnchor>
    <xdr:from>
      <xdr:col>19</xdr:col>
      <xdr:colOff>145676</xdr:colOff>
      <xdr:row>7</xdr:row>
      <xdr:rowOff>112061</xdr:rowOff>
    </xdr:from>
    <xdr:to>
      <xdr:col>21</xdr:col>
      <xdr:colOff>347382</xdr:colOff>
      <xdr:row>15</xdr:row>
      <xdr:rowOff>19959</xdr:rowOff>
    </xdr:to>
    <xdr:sp macro="" textlink="">
      <xdr:nvSpPr>
        <xdr:cNvPr id="14" name="Rectangle 13"/>
        <xdr:cNvSpPr/>
      </xdr:nvSpPr>
      <xdr:spPr>
        <a:xfrm>
          <a:off x="12012705" y="1400737"/>
          <a:ext cx="1411942" cy="1017281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/>
            <a:t>Generate</a:t>
          </a:r>
          <a:r>
            <a:rPr lang="en-US" sz="1050" baseline="0"/>
            <a:t> Regression equation using Daily, Weekly and Monthly factors</a:t>
          </a:r>
          <a:endParaRPr lang="en-US" sz="1050"/>
        </a:p>
      </xdr:txBody>
    </xdr:sp>
    <xdr:clientData/>
  </xdr:twoCellAnchor>
  <xdr:twoCellAnchor>
    <xdr:from>
      <xdr:col>12</xdr:col>
      <xdr:colOff>280147</xdr:colOff>
      <xdr:row>17</xdr:row>
      <xdr:rowOff>44826</xdr:rowOff>
    </xdr:from>
    <xdr:to>
      <xdr:col>14</xdr:col>
      <xdr:colOff>459442</xdr:colOff>
      <xdr:row>26</xdr:row>
      <xdr:rowOff>57707</xdr:rowOff>
    </xdr:to>
    <xdr:sp macro="" textlink="">
      <xdr:nvSpPr>
        <xdr:cNvPr id="16" name="Rectangle 15"/>
        <xdr:cNvSpPr/>
      </xdr:nvSpPr>
      <xdr:spPr>
        <a:xfrm>
          <a:off x="7866529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Go to "Mutiple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Regression" sheet and update the parameters, volume and date details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459442</xdr:colOff>
      <xdr:row>10</xdr:row>
      <xdr:rowOff>15584</xdr:rowOff>
    </xdr:from>
    <xdr:to>
      <xdr:col>15</xdr:col>
      <xdr:colOff>504264</xdr:colOff>
      <xdr:row>10</xdr:row>
      <xdr:rowOff>15584</xdr:rowOff>
    </xdr:to>
    <xdr:cxnSp macro="">
      <xdr:nvCxnSpPr>
        <xdr:cNvPr id="17" name="Straight Arrow Connector 16"/>
        <xdr:cNvCxnSpPr>
          <a:stCxn id="4" idx="3"/>
          <a:endCxn id="13" idx="1"/>
        </xdr:cNvCxnSpPr>
      </xdr:nvCxnSpPr>
      <xdr:spPr>
        <a:xfrm>
          <a:off x="9278471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89647</xdr:colOff>
      <xdr:row>10</xdr:row>
      <xdr:rowOff>15584</xdr:rowOff>
    </xdr:from>
    <xdr:to>
      <xdr:col>19</xdr:col>
      <xdr:colOff>145676</xdr:colOff>
      <xdr:row>10</xdr:row>
      <xdr:rowOff>15584</xdr:rowOff>
    </xdr:to>
    <xdr:cxnSp macro="">
      <xdr:nvCxnSpPr>
        <xdr:cNvPr id="18" name="Straight Arrow Connector 17"/>
        <xdr:cNvCxnSpPr>
          <a:stCxn id="13" idx="3"/>
          <a:endCxn id="14" idx="1"/>
        </xdr:cNvCxnSpPr>
      </xdr:nvCxnSpPr>
      <xdr:spPr>
        <a:xfrm>
          <a:off x="11351559" y="1909378"/>
          <a:ext cx="661146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369795</xdr:colOff>
      <xdr:row>15</xdr:row>
      <xdr:rowOff>19958</xdr:rowOff>
    </xdr:from>
    <xdr:to>
      <xdr:col>20</xdr:col>
      <xdr:colOff>246530</xdr:colOff>
      <xdr:row>17</xdr:row>
      <xdr:rowOff>44825</xdr:rowOff>
    </xdr:to>
    <xdr:cxnSp macro="">
      <xdr:nvCxnSpPr>
        <xdr:cNvPr id="22" name="Elbow Connector 21"/>
        <xdr:cNvCxnSpPr>
          <a:stCxn id="14" idx="2"/>
          <a:endCxn id="16" idx="0"/>
        </xdr:cNvCxnSpPr>
      </xdr:nvCxnSpPr>
      <xdr:spPr>
        <a:xfrm rot="5400000">
          <a:off x="10532302" y="458216"/>
          <a:ext cx="226573" cy="4146176"/>
        </a:xfrm>
        <a:prstGeom prst="bentConnector3">
          <a:avLst/>
        </a:prstGeom>
        <a:ln w="6350"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493058</xdr:colOff>
      <xdr:row>17</xdr:row>
      <xdr:rowOff>44826</xdr:rowOff>
    </xdr:from>
    <xdr:to>
      <xdr:col>18</xdr:col>
      <xdr:colOff>78441</xdr:colOff>
      <xdr:row>26</xdr:row>
      <xdr:rowOff>57707</xdr:rowOff>
    </xdr:to>
    <xdr:sp macro="" textlink="">
      <xdr:nvSpPr>
        <xdr:cNvPr id="24" name="Rectangle 23"/>
        <xdr:cNvSpPr/>
      </xdr:nvSpPr>
      <xdr:spPr>
        <a:xfrm>
          <a:off x="9928411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regression equation on the existing data series</a:t>
          </a:r>
        </a:p>
      </xdr:txBody>
    </xdr:sp>
    <xdr:clientData/>
  </xdr:twoCellAnchor>
  <xdr:twoCellAnchor>
    <xdr:from>
      <xdr:col>19</xdr:col>
      <xdr:colOff>145676</xdr:colOff>
      <xdr:row>17</xdr:row>
      <xdr:rowOff>44826</xdr:rowOff>
    </xdr:from>
    <xdr:to>
      <xdr:col>21</xdr:col>
      <xdr:colOff>347382</xdr:colOff>
      <xdr:row>26</xdr:row>
      <xdr:rowOff>57707</xdr:rowOff>
    </xdr:to>
    <xdr:sp macro="" textlink="">
      <xdr:nvSpPr>
        <xdr:cNvPr id="25" name="Rectangle 24"/>
        <xdr:cNvSpPr/>
      </xdr:nvSpPr>
      <xdr:spPr>
        <a:xfrm>
          <a:off x="12012705" y="2644591"/>
          <a:ext cx="1411942" cy="920557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Generate forecast for the required period</a:t>
          </a:r>
        </a:p>
      </xdr:txBody>
    </xdr:sp>
    <xdr:clientData/>
  </xdr:twoCellAnchor>
  <xdr:twoCellAnchor>
    <xdr:from>
      <xdr:col>14</xdr:col>
      <xdr:colOff>459442</xdr:colOff>
      <xdr:row>22</xdr:row>
      <xdr:rowOff>841</xdr:rowOff>
    </xdr:from>
    <xdr:to>
      <xdr:col>15</xdr:col>
      <xdr:colOff>493058</xdr:colOff>
      <xdr:row>22</xdr:row>
      <xdr:rowOff>841</xdr:rowOff>
    </xdr:to>
    <xdr:cxnSp macro="">
      <xdr:nvCxnSpPr>
        <xdr:cNvPr id="26" name="Straight Arrow Connector 25"/>
        <xdr:cNvCxnSpPr>
          <a:stCxn id="16" idx="3"/>
          <a:endCxn id="24" idx="1"/>
        </xdr:cNvCxnSpPr>
      </xdr:nvCxnSpPr>
      <xdr:spPr>
        <a:xfrm>
          <a:off x="9278471" y="3104870"/>
          <a:ext cx="649940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78441</xdr:colOff>
      <xdr:row>22</xdr:row>
      <xdr:rowOff>841</xdr:rowOff>
    </xdr:from>
    <xdr:to>
      <xdr:col>19</xdr:col>
      <xdr:colOff>145676</xdr:colOff>
      <xdr:row>22</xdr:row>
      <xdr:rowOff>841</xdr:rowOff>
    </xdr:to>
    <xdr:cxnSp macro="">
      <xdr:nvCxnSpPr>
        <xdr:cNvPr id="29" name="Straight Arrow Connector 28"/>
        <xdr:cNvCxnSpPr>
          <a:stCxn id="24" idx="3"/>
          <a:endCxn id="25" idx="1"/>
        </xdr:cNvCxnSpPr>
      </xdr:nvCxnSpPr>
      <xdr:spPr>
        <a:xfrm>
          <a:off x="11340353" y="3104870"/>
          <a:ext cx="672352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134471</xdr:colOff>
      <xdr:row>32</xdr:row>
      <xdr:rowOff>22414</xdr:rowOff>
    </xdr:from>
    <xdr:to>
      <xdr:col>5</xdr:col>
      <xdr:colOff>224119</xdr:colOff>
      <xdr:row>36</xdr:row>
      <xdr:rowOff>22413</xdr:rowOff>
    </xdr:to>
    <xdr:sp macro="" textlink="">
      <xdr:nvSpPr>
        <xdr:cNvPr id="33" name="Rectangle 32"/>
        <xdr:cNvSpPr/>
      </xdr:nvSpPr>
      <xdr:spPr>
        <a:xfrm>
          <a:off x="694765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Check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seasonality of the data series with multiple seasonal periods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168089</xdr:colOff>
      <xdr:row>32</xdr:row>
      <xdr:rowOff>22414</xdr:rowOff>
    </xdr:from>
    <xdr:to>
      <xdr:col>8</xdr:col>
      <xdr:colOff>33619</xdr:colOff>
      <xdr:row>36</xdr:row>
      <xdr:rowOff>22413</xdr:rowOff>
    </xdr:to>
    <xdr:sp macro="" textlink="">
      <xdr:nvSpPr>
        <xdr:cNvPr id="34" name="Rectangle 33"/>
        <xdr:cNvSpPr/>
      </xdr:nvSpPr>
      <xdr:spPr>
        <a:xfrm>
          <a:off x="2991971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Select the appropriate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model using  Pigel's classification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806824</xdr:colOff>
      <xdr:row>32</xdr:row>
      <xdr:rowOff>22414</xdr:rowOff>
    </xdr:from>
    <xdr:to>
      <xdr:col>10</xdr:col>
      <xdr:colOff>672354</xdr:colOff>
      <xdr:row>36</xdr:row>
      <xdr:rowOff>22413</xdr:rowOff>
    </xdr:to>
    <xdr:sp macro="" textlink="">
      <xdr:nvSpPr>
        <xdr:cNvPr id="35" name="Rectangle 34"/>
        <xdr:cNvSpPr/>
      </xdr:nvSpPr>
      <xdr:spPr>
        <a:xfrm>
          <a:off x="5289177" y="4191002"/>
          <a:ext cx="1524001" cy="862852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>
              <a:solidFill>
                <a:schemeClr val="lt1"/>
              </a:solidFill>
              <a:latin typeface="+mn-lt"/>
              <a:ea typeface="+mn-ea"/>
              <a:cs typeface="+mn-cs"/>
            </a:rPr>
            <a:t>Fit the model to the existing data series and generate forecast</a:t>
          </a:r>
          <a:r>
            <a:rPr lang="en-US" sz="1050" baseline="0">
              <a:solidFill>
                <a:schemeClr val="lt1"/>
              </a:solidFill>
              <a:latin typeface="+mn-lt"/>
              <a:ea typeface="+mn-ea"/>
              <a:cs typeface="+mn-cs"/>
            </a:rPr>
            <a:t> for the required period</a:t>
          </a:r>
          <a:endParaRPr lang="en-US" sz="105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224119</xdr:colOff>
      <xdr:row>33</xdr:row>
      <xdr:rowOff>106457</xdr:rowOff>
    </xdr:from>
    <xdr:to>
      <xdr:col>6</xdr:col>
      <xdr:colOff>168089</xdr:colOff>
      <xdr:row>33</xdr:row>
      <xdr:rowOff>106457</xdr:rowOff>
    </xdr:to>
    <xdr:cxnSp macro="">
      <xdr:nvCxnSpPr>
        <xdr:cNvPr id="53" name="Straight Arrow Connector 52"/>
        <xdr:cNvCxnSpPr>
          <a:stCxn id="33" idx="3"/>
          <a:endCxn id="34" idx="1"/>
        </xdr:cNvCxnSpPr>
      </xdr:nvCxnSpPr>
      <xdr:spPr>
        <a:xfrm>
          <a:off x="2218766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33619</xdr:colOff>
      <xdr:row>33</xdr:row>
      <xdr:rowOff>106457</xdr:rowOff>
    </xdr:from>
    <xdr:to>
      <xdr:col>8</xdr:col>
      <xdr:colOff>806824</xdr:colOff>
      <xdr:row>33</xdr:row>
      <xdr:rowOff>106457</xdr:rowOff>
    </xdr:to>
    <xdr:cxnSp macro="">
      <xdr:nvCxnSpPr>
        <xdr:cNvPr id="56" name="Straight Arrow Connector 55"/>
        <xdr:cNvCxnSpPr>
          <a:stCxn id="34" idx="3"/>
          <a:endCxn id="35" idx="1"/>
        </xdr:cNvCxnSpPr>
      </xdr:nvCxnSpPr>
      <xdr:spPr>
        <a:xfrm>
          <a:off x="4515972" y="4622428"/>
          <a:ext cx="773205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56029</xdr:colOff>
      <xdr:row>32</xdr:row>
      <xdr:rowOff>78435</xdr:rowOff>
    </xdr:from>
    <xdr:to>
      <xdr:col>14</xdr:col>
      <xdr:colOff>403412</xdr:colOff>
      <xdr:row>36</xdr:row>
      <xdr:rowOff>22411</xdr:rowOff>
    </xdr:to>
    <xdr:sp macro="" textlink="">
      <xdr:nvSpPr>
        <xdr:cNvPr id="32" name="Rectangle 31"/>
        <xdr:cNvSpPr/>
      </xdr:nvSpPr>
      <xdr:spPr>
        <a:xfrm>
          <a:off x="7642411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Update Date and volume data in "Daily" Sheet</a:t>
          </a:r>
          <a:endParaRPr lang="en-US" sz="1050">
            <a:effectLst/>
          </a:endParaRPr>
        </a:p>
      </xdr:txBody>
    </xdr:sp>
    <xdr:clientData/>
  </xdr:twoCellAnchor>
  <xdr:twoCellAnchor>
    <xdr:from>
      <xdr:col>15</xdr:col>
      <xdr:colOff>470651</xdr:colOff>
      <xdr:row>32</xdr:row>
      <xdr:rowOff>78435</xdr:rowOff>
    </xdr:from>
    <xdr:to>
      <xdr:col>18</xdr:col>
      <xdr:colOff>224122</xdr:colOff>
      <xdr:row>36</xdr:row>
      <xdr:rowOff>22411</xdr:rowOff>
    </xdr:to>
    <xdr:sp macro="" textlink="">
      <xdr:nvSpPr>
        <xdr:cNvPr id="36" name="Rectangle 35"/>
        <xdr:cNvSpPr/>
      </xdr:nvSpPr>
      <xdr:spPr>
        <a:xfrm>
          <a:off x="9906004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Normalize the data series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by using Regression option</a:t>
          </a:r>
          <a:endParaRPr lang="en-US" sz="1050">
            <a:effectLst/>
          </a:endParaRPr>
        </a:p>
      </xdr:txBody>
    </xdr:sp>
    <xdr:clientData/>
  </xdr:twoCellAnchor>
  <xdr:twoCellAnchor>
    <xdr:from>
      <xdr:col>19</xdr:col>
      <xdr:colOff>302568</xdr:colOff>
      <xdr:row>32</xdr:row>
      <xdr:rowOff>78435</xdr:rowOff>
    </xdr:from>
    <xdr:to>
      <xdr:col>22</xdr:col>
      <xdr:colOff>67245</xdr:colOff>
      <xdr:row>36</xdr:row>
      <xdr:rowOff>22411</xdr:rowOff>
    </xdr:to>
    <xdr:sp macro="" textlink="">
      <xdr:nvSpPr>
        <xdr:cNvPr id="37" name="Rectangle 36"/>
        <xdr:cNvSpPr/>
      </xdr:nvSpPr>
      <xdr:spPr>
        <a:xfrm>
          <a:off x="12169597" y="4247023"/>
          <a:ext cx="1580030" cy="8068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Fit the model to the existing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data serires and generate forecast for the required period</a:t>
          </a:r>
          <a:endParaRPr lang="en-US" sz="1050">
            <a:effectLst/>
          </a:endParaRPr>
        </a:p>
      </xdr:txBody>
    </xdr:sp>
    <xdr:clientData/>
  </xdr:twoCellAnchor>
  <xdr:twoCellAnchor>
    <xdr:from>
      <xdr:col>14</xdr:col>
      <xdr:colOff>403412</xdr:colOff>
      <xdr:row>33</xdr:row>
      <xdr:rowOff>134467</xdr:rowOff>
    </xdr:from>
    <xdr:to>
      <xdr:col>15</xdr:col>
      <xdr:colOff>470651</xdr:colOff>
      <xdr:row>33</xdr:row>
      <xdr:rowOff>134467</xdr:rowOff>
    </xdr:to>
    <xdr:cxnSp macro="">
      <xdr:nvCxnSpPr>
        <xdr:cNvPr id="41" name="Straight Arrow Connector 40"/>
        <xdr:cNvCxnSpPr>
          <a:stCxn id="32" idx="3"/>
          <a:endCxn id="36" idx="1"/>
        </xdr:cNvCxnSpPr>
      </xdr:nvCxnSpPr>
      <xdr:spPr>
        <a:xfrm>
          <a:off x="9222441" y="4650438"/>
          <a:ext cx="683563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224122</xdr:colOff>
      <xdr:row>33</xdr:row>
      <xdr:rowOff>134467</xdr:rowOff>
    </xdr:from>
    <xdr:to>
      <xdr:col>19</xdr:col>
      <xdr:colOff>302568</xdr:colOff>
      <xdr:row>33</xdr:row>
      <xdr:rowOff>134467</xdr:rowOff>
    </xdr:to>
    <xdr:cxnSp macro="">
      <xdr:nvCxnSpPr>
        <xdr:cNvPr id="42" name="Straight Arrow Connector 41"/>
        <xdr:cNvCxnSpPr>
          <a:stCxn id="36" idx="3"/>
          <a:endCxn id="37" idx="1"/>
        </xdr:cNvCxnSpPr>
      </xdr:nvCxnSpPr>
      <xdr:spPr>
        <a:xfrm>
          <a:off x="11486034" y="4650438"/>
          <a:ext cx="683563" cy="0"/>
        </a:xfrm>
        <a:prstGeom prst="straightConnector1">
          <a:avLst/>
        </a:prstGeom>
        <a:ln>
          <a:solidFill>
            <a:schemeClr val="tx1">
              <a:lumMod val="65000"/>
              <a:lumOff val="35000"/>
            </a:schemeClr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257736</xdr:colOff>
      <xdr:row>1</xdr:row>
      <xdr:rowOff>12326</xdr:rowOff>
    </xdr:from>
    <xdr:to>
      <xdr:col>16</xdr:col>
      <xdr:colOff>481851</xdr:colOff>
      <xdr:row>24</xdr:row>
      <xdr:rowOff>54349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3" name="Rounded Rectangular Callout 2"/>
        <xdr:cNvSpPr/>
      </xdr:nvSpPr>
      <xdr:spPr>
        <a:xfrm>
          <a:off x="6454588" y="739588"/>
          <a:ext cx="1362635" cy="612648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>
    <xdr:from>
      <xdr:col>17</xdr:col>
      <xdr:colOff>78440</xdr:colOff>
      <xdr:row>5</xdr:row>
      <xdr:rowOff>56029</xdr:rowOff>
    </xdr:from>
    <xdr:to>
      <xdr:col>17</xdr:col>
      <xdr:colOff>661147</xdr:colOff>
      <xdr:row>7</xdr:row>
      <xdr:rowOff>168088</xdr:rowOff>
    </xdr:to>
    <xdr:sp macro="[0]!Solve" textlink="">
      <xdr:nvSpPr>
        <xdr:cNvPr id="4" name="Rounded Rectangle 3"/>
        <xdr:cNvSpPr/>
      </xdr:nvSpPr>
      <xdr:spPr>
        <a:xfrm>
          <a:off x="11486028" y="672353"/>
          <a:ext cx="582707" cy="560294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Solve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5</xdr:row>
          <xdr:rowOff>85725</xdr:rowOff>
        </xdr:from>
        <xdr:to>
          <xdr:col>7</xdr:col>
          <xdr:colOff>790575</xdr:colOff>
          <xdr:row>6</xdr:row>
          <xdr:rowOff>133350</xdr:rowOff>
        </xdr:to>
        <xdr:sp macro="" textlink="">
          <xdr:nvSpPr>
            <xdr:cNvPr id="2050" name="Scroll Ba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291353</xdr:colOff>
      <xdr:row>4</xdr:row>
      <xdr:rowOff>212912</xdr:rowOff>
    </xdr:from>
    <xdr:to>
      <xdr:col>11</xdr:col>
      <xdr:colOff>443752</xdr:colOff>
      <xdr:row>7</xdr:row>
      <xdr:rowOff>108383</xdr:rowOff>
    </xdr:to>
    <xdr:sp macro="" textlink="">
      <xdr:nvSpPr>
        <xdr:cNvPr id="5" name="Rounded Rectangular Callout 4"/>
        <xdr:cNvSpPr/>
      </xdr:nvSpPr>
      <xdr:spPr>
        <a:xfrm>
          <a:off x="5682503" y="746312"/>
          <a:ext cx="1371599" cy="562221"/>
        </a:xfrm>
        <a:prstGeom prst="wedgeRoundRectCallout">
          <a:avLst>
            <a:gd name="adj1" fmla="val 103651"/>
            <a:gd name="adj2" fmla="val 78962"/>
            <a:gd name="adj3" fmla="val 16667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Normalized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Regression_Forecasting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Output"/>
      <sheetName val="Forecast"/>
      <sheetName val="Temp"/>
      <sheetName val="MultMac"/>
      <sheetName val="IndepMac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AZ3" t="str">
            <v>DL</v>
          </cell>
          <cell r="BA3">
            <v>1</v>
          </cell>
          <cell r="BB3">
            <v>2</v>
          </cell>
          <cell r="BC3">
            <v>3</v>
          </cell>
          <cell r="BD3">
            <v>4</v>
          </cell>
          <cell r="BE3">
            <v>5</v>
          </cell>
          <cell r="BG3" t="str">
            <v>DU</v>
          </cell>
          <cell r="BH3">
            <v>1</v>
          </cell>
          <cell r="BI3">
            <v>2</v>
          </cell>
          <cell r="BJ3">
            <v>3</v>
          </cell>
          <cell r="BK3">
            <v>4</v>
          </cell>
          <cell r="BL3">
            <v>5</v>
          </cell>
        </row>
        <row r="4">
          <cell r="AZ4">
            <v>0</v>
          </cell>
          <cell r="BA4">
            <v>1.08</v>
          </cell>
          <cell r="BB4">
            <v>0.95</v>
          </cell>
          <cell r="BC4">
            <v>0.82</v>
          </cell>
          <cell r="BD4">
            <v>0.69</v>
          </cell>
          <cell r="BE4">
            <v>0.56000000000000005</v>
          </cell>
          <cell r="BG4">
            <v>0</v>
          </cell>
          <cell r="BH4">
            <v>1.36</v>
          </cell>
          <cell r="BI4">
            <v>1.54</v>
          </cell>
          <cell r="BJ4">
            <v>1.75</v>
          </cell>
          <cell r="BK4">
            <v>1.97</v>
          </cell>
          <cell r="BL4">
            <v>2.21</v>
          </cell>
        </row>
        <row r="5">
          <cell r="AZ5">
            <v>15</v>
          </cell>
          <cell r="BA5">
            <v>1.08</v>
          </cell>
          <cell r="BB5">
            <v>0.95</v>
          </cell>
          <cell r="BC5">
            <v>0.82</v>
          </cell>
          <cell r="BD5">
            <v>0.69</v>
          </cell>
          <cell r="BE5">
            <v>0.56000000000000005</v>
          </cell>
          <cell r="BG5">
            <v>15</v>
          </cell>
          <cell r="BH5">
            <v>1.36</v>
          </cell>
          <cell r="BI5">
            <v>1.54</v>
          </cell>
          <cell r="BJ5">
            <v>1.75</v>
          </cell>
          <cell r="BK5">
            <v>1.97</v>
          </cell>
          <cell r="BL5">
            <v>2.21</v>
          </cell>
        </row>
        <row r="6">
          <cell r="AZ6">
            <v>16</v>
          </cell>
          <cell r="BA6">
            <v>1.1000000000000001</v>
          </cell>
          <cell r="BB6">
            <v>0.98</v>
          </cell>
          <cell r="BC6">
            <v>0.86</v>
          </cell>
          <cell r="BD6">
            <v>0.74</v>
          </cell>
          <cell r="BE6">
            <v>0.62</v>
          </cell>
          <cell r="BG6">
            <v>16</v>
          </cell>
          <cell r="BH6">
            <v>1.37</v>
          </cell>
          <cell r="BI6">
            <v>1.54</v>
          </cell>
          <cell r="BJ6">
            <v>1.73</v>
          </cell>
          <cell r="BK6">
            <v>1.93</v>
          </cell>
          <cell r="BL6">
            <v>2.15</v>
          </cell>
        </row>
        <row r="7">
          <cell r="AZ7">
            <v>17</v>
          </cell>
          <cell r="BA7">
            <v>1.1299999999999999</v>
          </cell>
          <cell r="BB7">
            <v>1.02</v>
          </cell>
          <cell r="BC7">
            <v>0.9</v>
          </cell>
          <cell r="BD7">
            <v>0.78</v>
          </cell>
          <cell r="BE7">
            <v>0.67</v>
          </cell>
          <cell r="BG7">
            <v>17</v>
          </cell>
          <cell r="BH7">
            <v>1.38</v>
          </cell>
          <cell r="BI7">
            <v>1.54</v>
          </cell>
          <cell r="BJ7">
            <v>1.71</v>
          </cell>
          <cell r="BK7">
            <v>1.9</v>
          </cell>
          <cell r="BL7">
            <v>2.1</v>
          </cell>
        </row>
        <row r="8">
          <cell r="AZ8">
            <v>18</v>
          </cell>
          <cell r="BA8">
            <v>1.1599999999999999</v>
          </cell>
          <cell r="BB8">
            <v>1.05</v>
          </cell>
          <cell r="BC8">
            <v>0.93</v>
          </cell>
          <cell r="BD8">
            <v>0.82</v>
          </cell>
          <cell r="BE8">
            <v>0.71</v>
          </cell>
          <cell r="BG8">
            <v>18</v>
          </cell>
          <cell r="BH8">
            <v>1.39</v>
          </cell>
          <cell r="BI8">
            <v>1.53</v>
          </cell>
          <cell r="BJ8">
            <v>1.69</v>
          </cell>
          <cell r="BK8">
            <v>1.87</v>
          </cell>
          <cell r="BL8">
            <v>2.06</v>
          </cell>
        </row>
        <row r="9">
          <cell r="AZ9">
            <v>19</v>
          </cell>
          <cell r="BA9">
            <v>1.18</v>
          </cell>
          <cell r="BB9">
            <v>1.08</v>
          </cell>
          <cell r="BC9">
            <v>0.97</v>
          </cell>
          <cell r="BD9">
            <v>0.86</v>
          </cell>
          <cell r="BE9">
            <v>0.75</v>
          </cell>
          <cell r="BG9">
            <v>19</v>
          </cell>
          <cell r="BH9">
            <v>1.4</v>
          </cell>
          <cell r="BI9">
            <v>1.53</v>
          </cell>
          <cell r="BJ9">
            <v>1.68</v>
          </cell>
          <cell r="BK9">
            <v>1.85</v>
          </cell>
          <cell r="BL9">
            <v>2.02</v>
          </cell>
        </row>
        <row r="10">
          <cell r="AZ10">
            <v>20</v>
          </cell>
          <cell r="BA10">
            <v>1.2</v>
          </cell>
          <cell r="BB10">
            <v>1.1000000000000001</v>
          </cell>
          <cell r="BC10">
            <v>1</v>
          </cell>
          <cell r="BD10">
            <v>0.9</v>
          </cell>
          <cell r="BE10">
            <v>0.79</v>
          </cell>
          <cell r="BG10">
            <v>20</v>
          </cell>
          <cell r="BH10">
            <v>1.41</v>
          </cell>
          <cell r="BI10">
            <v>1.54</v>
          </cell>
          <cell r="BJ10">
            <v>1.68</v>
          </cell>
          <cell r="BK10">
            <v>1.83</v>
          </cell>
          <cell r="BL10">
            <v>1.99</v>
          </cell>
        </row>
        <row r="11">
          <cell r="AZ11">
            <v>21</v>
          </cell>
          <cell r="BA11">
            <v>1.22</v>
          </cell>
          <cell r="BB11">
            <v>1.1299999999999999</v>
          </cell>
          <cell r="BC11">
            <v>1.03</v>
          </cell>
          <cell r="BD11">
            <v>0.93</v>
          </cell>
          <cell r="BE11">
            <v>0.83</v>
          </cell>
          <cell r="BG11">
            <v>21</v>
          </cell>
          <cell r="BH11">
            <v>1.42</v>
          </cell>
          <cell r="BI11">
            <v>1.54</v>
          </cell>
          <cell r="BJ11">
            <v>1.67</v>
          </cell>
          <cell r="BK11">
            <v>1.81</v>
          </cell>
          <cell r="BL11">
            <v>1.96</v>
          </cell>
        </row>
        <row r="12">
          <cell r="AZ12">
            <v>22</v>
          </cell>
          <cell r="BA12">
            <v>1.24</v>
          </cell>
          <cell r="BB12">
            <v>1.1499999999999999</v>
          </cell>
          <cell r="BC12">
            <v>1.05</v>
          </cell>
          <cell r="BD12">
            <v>0.96</v>
          </cell>
          <cell r="BE12">
            <v>0.86</v>
          </cell>
          <cell r="BG12">
            <v>22</v>
          </cell>
          <cell r="BH12">
            <v>1.43</v>
          </cell>
          <cell r="BI12">
            <v>1.54</v>
          </cell>
          <cell r="BJ12">
            <v>1.66</v>
          </cell>
          <cell r="BK12">
            <v>1.8</v>
          </cell>
          <cell r="BL12">
            <v>1.94</v>
          </cell>
        </row>
        <row r="13">
          <cell r="AZ13">
            <v>23</v>
          </cell>
          <cell r="BA13">
            <v>1.26</v>
          </cell>
          <cell r="BB13">
            <v>1.17</v>
          </cell>
          <cell r="BC13">
            <v>1.08</v>
          </cell>
          <cell r="BD13">
            <v>0.99</v>
          </cell>
          <cell r="BE13">
            <v>0.9</v>
          </cell>
          <cell r="BG13">
            <v>23</v>
          </cell>
          <cell r="BH13">
            <v>1.44</v>
          </cell>
          <cell r="BI13">
            <v>1.54</v>
          </cell>
          <cell r="BJ13">
            <v>1.66</v>
          </cell>
          <cell r="BK13">
            <v>1.79</v>
          </cell>
          <cell r="BL13">
            <v>1.92</v>
          </cell>
        </row>
        <row r="14">
          <cell r="AZ14">
            <v>24</v>
          </cell>
          <cell r="BA14">
            <v>1.27</v>
          </cell>
          <cell r="BB14">
            <v>1.19</v>
          </cell>
          <cell r="BC14">
            <v>1.1000000000000001</v>
          </cell>
          <cell r="BD14">
            <v>1.01</v>
          </cell>
          <cell r="BE14">
            <v>0.93</v>
          </cell>
          <cell r="BG14">
            <v>24</v>
          </cell>
          <cell r="BH14">
            <v>1.45</v>
          </cell>
          <cell r="BI14">
            <v>1.55</v>
          </cell>
          <cell r="BJ14">
            <v>1.66</v>
          </cell>
          <cell r="BK14">
            <v>1.78</v>
          </cell>
          <cell r="BL14">
            <v>1.9</v>
          </cell>
        </row>
        <row r="15">
          <cell r="AZ15">
            <v>25</v>
          </cell>
          <cell r="BA15">
            <v>1.29</v>
          </cell>
          <cell r="BB15">
            <v>1.21</v>
          </cell>
          <cell r="BC15">
            <v>1.1200000000000001</v>
          </cell>
          <cell r="BD15">
            <v>1.04</v>
          </cell>
          <cell r="BE15">
            <v>0.95</v>
          </cell>
          <cell r="BG15">
            <v>25</v>
          </cell>
          <cell r="BH15">
            <v>1.45</v>
          </cell>
          <cell r="BI15">
            <v>1.55</v>
          </cell>
          <cell r="BJ15">
            <v>1.66</v>
          </cell>
          <cell r="BK15">
            <v>1.77</v>
          </cell>
          <cell r="BL15">
            <v>1.89</v>
          </cell>
        </row>
        <row r="16">
          <cell r="AZ16">
            <v>26</v>
          </cell>
          <cell r="BA16">
            <v>1.3</v>
          </cell>
          <cell r="BB16">
            <v>1.22</v>
          </cell>
          <cell r="BC16">
            <v>1.1399999999999999</v>
          </cell>
          <cell r="BD16">
            <v>1.06</v>
          </cell>
          <cell r="BE16">
            <v>0.98</v>
          </cell>
          <cell r="BG16">
            <v>26</v>
          </cell>
          <cell r="BH16">
            <v>1.46</v>
          </cell>
          <cell r="BI16">
            <v>1.55</v>
          </cell>
          <cell r="BJ16">
            <v>1.65</v>
          </cell>
          <cell r="BK16">
            <v>1.76</v>
          </cell>
          <cell r="BL16">
            <v>1.88</v>
          </cell>
        </row>
        <row r="17">
          <cell r="AZ17">
            <v>27</v>
          </cell>
          <cell r="BA17">
            <v>1.32</v>
          </cell>
          <cell r="BB17">
            <v>1.24</v>
          </cell>
          <cell r="BC17">
            <v>1.1599999999999999</v>
          </cell>
          <cell r="BD17">
            <v>1.08</v>
          </cell>
          <cell r="BE17">
            <v>1.01</v>
          </cell>
          <cell r="BG17">
            <v>27</v>
          </cell>
          <cell r="BH17">
            <v>1.47</v>
          </cell>
          <cell r="BI17">
            <v>1.56</v>
          </cell>
          <cell r="BJ17">
            <v>1.65</v>
          </cell>
          <cell r="BK17">
            <v>1.76</v>
          </cell>
          <cell r="BL17">
            <v>1.86</v>
          </cell>
        </row>
        <row r="18">
          <cell r="AZ18">
            <v>28</v>
          </cell>
          <cell r="BA18">
            <v>1.33</v>
          </cell>
          <cell r="BB18">
            <v>1.26</v>
          </cell>
          <cell r="BC18">
            <v>1.18</v>
          </cell>
          <cell r="BD18">
            <v>1.1000000000000001</v>
          </cell>
          <cell r="BE18">
            <v>1.03</v>
          </cell>
          <cell r="BG18">
            <v>28</v>
          </cell>
          <cell r="BH18">
            <v>1.48</v>
          </cell>
          <cell r="BI18">
            <v>1.56</v>
          </cell>
          <cell r="BJ18">
            <v>1.65</v>
          </cell>
          <cell r="BK18">
            <v>1.75</v>
          </cell>
          <cell r="BL18">
            <v>1.85</v>
          </cell>
        </row>
        <row r="19">
          <cell r="AZ19">
            <v>29</v>
          </cell>
          <cell r="BA19">
            <v>1.34</v>
          </cell>
          <cell r="BB19">
            <v>1.27</v>
          </cell>
          <cell r="BC19">
            <v>1.2</v>
          </cell>
          <cell r="BD19">
            <v>1.1200000000000001</v>
          </cell>
          <cell r="BE19">
            <v>1.05</v>
          </cell>
          <cell r="BG19">
            <v>29</v>
          </cell>
          <cell r="BH19">
            <v>1.48</v>
          </cell>
          <cell r="BI19">
            <v>1.56</v>
          </cell>
          <cell r="BJ19">
            <v>1.65</v>
          </cell>
          <cell r="BK19">
            <v>1.74</v>
          </cell>
          <cell r="BL19">
            <v>1.84</v>
          </cell>
        </row>
        <row r="20">
          <cell r="AZ20">
            <v>30</v>
          </cell>
          <cell r="BA20">
            <v>1.35</v>
          </cell>
          <cell r="BB20">
            <v>1.28</v>
          </cell>
          <cell r="BC20">
            <v>1.21</v>
          </cell>
          <cell r="BD20">
            <v>1.1399999999999999</v>
          </cell>
          <cell r="BE20">
            <v>1.07</v>
          </cell>
          <cell r="BG20">
            <v>30</v>
          </cell>
          <cell r="BH20">
            <v>1.49</v>
          </cell>
          <cell r="BI20">
            <v>1.57</v>
          </cell>
          <cell r="BJ20">
            <v>1.65</v>
          </cell>
          <cell r="BK20">
            <v>1.74</v>
          </cell>
          <cell r="BL20">
            <v>1.83</v>
          </cell>
        </row>
        <row r="21">
          <cell r="AZ21">
            <v>31</v>
          </cell>
          <cell r="BA21">
            <v>1.36</v>
          </cell>
          <cell r="BB21">
            <v>1.3</v>
          </cell>
          <cell r="BC21">
            <v>1.23</v>
          </cell>
          <cell r="BD21">
            <v>1.1599999999999999</v>
          </cell>
          <cell r="BE21">
            <v>1.0900000000000001</v>
          </cell>
          <cell r="BG21">
            <v>31</v>
          </cell>
          <cell r="BH21">
            <v>1.5</v>
          </cell>
          <cell r="BI21">
            <v>1.57</v>
          </cell>
          <cell r="BJ21">
            <v>1.65</v>
          </cell>
          <cell r="BK21">
            <v>1.74</v>
          </cell>
          <cell r="BL21">
            <v>1.83</v>
          </cell>
        </row>
        <row r="22">
          <cell r="AZ22">
            <v>32</v>
          </cell>
          <cell r="BA22">
            <v>1.37</v>
          </cell>
          <cell r="BB22">
            <v>1.31</v>
          </cell>
          <cell r="BC22">
            <v>1.24</v>
          </cell>
          <cell r="BD22">
            <v>1.18</v>
          </cell>
          <cell r="BE22">
            <v>1.1100000000000001</v>
          </cell>
          <cell r="BG22">
            <v>32</v>
          </cell>
          <cell r="BH22">
            <v>1.5</v>
          </cell>
          <cell r="BI22">
            <v>1.57</v>
          </cell>
          <cell r="BJ22">
            <v>1.65</v>
          </cell>
          <cell r="BK22">
            <v>1.73</v>
          </cell>
          <cell r="BL22">
            <v>1.82</v>
          </cell>
        </row>
        <row r="23">
          <cell r="AZ23">
            <v>33</v>
          </cell>
          <cell r="BA23">
            <v>1.38</v>
          </cell>
          <cell r="BB23">
            <v>1.32</v>
          </cell>
          <cell r="BC23">
            <v>1.26</v>
          </cell>
          <cell r="BD23">
            <v>1.19</v>
          </cell>
          <cell r="BE23">
            <v>1.1299999999999999</v>
          </cell>
          <cell r="BG23">
            <v>33</v>
          </cell>
          <cell r="BH23">
            <v>1.51</v>
          </cell>
          <cell r="BI23">
            <v>1.58</v>
          </cell>
          <cell r="BJ23">
            <v>1.65</v>
          </cell>
          <cell r="BK23">
            <v>1.73</v>
          </cell>
          <cell r="BL23">
            <v>1.81</v>
          </cell>
        </row>
        <row r="24">
          <cell r="AZ24">
            <v>34</v>
          </cell>
          <cell r="BA24">
            <v>1.39</v>
          </cell>
          <cell r="BB24">
            <v>1.33</v>
          </cell>
          <cell r="BC24">
            <v>1.27</v>
          </cell>
          <cell r="BD24">
            <v>1.21</v>
          </cell>
          <cell r="BE24">
            <v>1.1499999999999999</v>
          </cell>
          <cell r="BG24">
            <v>34</v>
          </cell>
          <cell r="BH24">
            <v>1.51</v>
          </cell>
          <cell r="BI24">
            <v>1.58</v>
          </cell>
          <cell r="BJ24">
            <v>1.65</v>
          </cell>
          <cell r="BK24">
            <v>1.73</v>
          </cell>
          <cell r="BL24">
            <v>1.81</v>
          </cell>
        </row>
        <row r="25">
          <cell r="AZ25">
            <v>35</v>
          </cell>
          <cell r="BA25">
            <v>1.4</v>
          </cell>
          <cell r="BB25">
            <v>1.34</v>
          </cell>
          <cell r="BC25">
            <v>1.28</v>
          </cell>
          <cell r="BD25">
            <v>1.22</v>
          </cell>
          <cell r="BE25">
            <v>1.1599999999999999</v>
          </cell>
          <cell r="BG25">
            <v>35</v>
          </cell>
          <cell r="BH25">
            <v>1.52</v>
          </cell>
          <cell r="BI25">
            <v>1.58</v>
          </cell>
          <cell r="BJ25">
            <v>1.65</v>
          </cell>
          <cell r="BK25">
            <v>1.73</v>
          </cell>
          <cell r="BL25">
            <v>1.8</v>
          </cell>
        </row>
        <row r="26">
          <cell r="AZ26">
            <v>36</v>
          </cell>
          <cell r="BA26">
            <v>1.41</v>
          </cell>
          <cell r="BB26">
            <v>1.35</v>
          </cell>
          <cell r="BC26">
            <v>1.29</v>
          </cell>
          <cell r="BD26">
            <v>1.24</v>
          </cell>
          <cell r="BE26">
            <v>1.18</v>
          </cell>
          <cell r="BG26">
            <v>36</v>
          </cell>
          <cell r="BH26">
            <v>1.52</v>
          </cell>
          <cell r="BI26">
            <v>1.59</v>
          </cell>
          <cell r="BJ26">
            <v>1.65</v>
          </cell>
          <cell r="BK26">
            <v>1.73</v>
          </cell>
          <cell r="BL26">
            <v>1.8</v>
          </cell>
        </row>
        <row r="27">
          <cell r="AZ27">
            <v>37</v>
          </cell>
          <cell r="BA27">
            <v>1.42</v>
          </cell>
          <cell r="BB27">
            <v>1.36</v>
          </cell>
          <cell r="BC27">
            <v>1.31</v>
          </cell>
          <cell r="BD27">
            <v>1.25</v>
          </cell>
          <cell r="BE27">
            <v>1.19</v>
          </cell>
          <cell r="BG27">
            <v>37</v>
          </cell>
          <cell r="BH27">
            <v>1.53</v>
          </cell>
          <cell r="BI27">
            <v>1.59</v>
          </cell>
          <cell r="BJ27">
            <v>1.66</v>
          </cell>
          <cell r="BK27">
            <v>1.72</v>
          </cell>
          <cell r="BL27">
            <v>1.8</v>
          </cell>
        </row>
        <row r="28">
          <cell r="AZ28">
            <v>38</v>
          </cell>
          <cell r="BA28">
            <v>1.43</v>
          </cell>
          <cell r="BB28">
            <v>1.37</v>
          </cell>
          <cell r="BC28">
            <v>1.32</v>
          </cell>
          <cell r="BD28">
            <v>1.26</v>
          </cell>
          <cell r="BE28">
            <v>1.21</v>
          </cell>
          <cell r="BG28">
            <v>38</v>
          </cell>
          <cell r="BH28">
            <v>1.54</v>
          </cell>
          <cell r="BI28">
            <v>1.59</v>
          </cell>
          <cell r="BJ28">
            <v>1.66</v>
          </cell>
          <cell r="BK28">
            <v>1.72</v>
          </cell>
          <cell r="BL28">
            <v>1.79</v>
          </cell>
        </row>
        <row r="29">
          <cell r="AZ29">
            <v>39</v>
          </cell>
          <cell r="BA29">
            <v>1.43</v>
          </cell>
          <cell r="BB29">
            <v>1.38</v>
          </cell>
          <cell r="BC29">
            <v>1.33</v>
          </cell>
          <cell r="BD29">
            <v>1.27</v>
          </cell>
          <cell r="BE29">
            <v>1.22</v>
          </cell>
          <cell r="BG29">
            <v>39</v>
          </cell>
          <cell r="BH29">
            <v>1.54</v>
          </cell>
          <cell r="BI29">
            <v>1.6</v>
          </cell>
          <cell r="BJ29">
            <v>1.66</v>
          </cell>
          <cell r="BK29">
            <v>1.72</v>
          </cell>
          <cell r="BL29">
            <v>1.79</v>
          </cell>
        </row>
        <row r="30">
          <cell r="AZ30">
            <v>40</v>
          </cell>
          <cell r="BA30">
            <v>1.44</v>
          </cell>
          <cell r="BB30">
            <v>1.39</v>
          </cell>
          <cell r="BC30">
            <v>1.34</v>
          </cell>
          <cell r="BD30">
            <v>1.29</v>
          </cell>
          <cell r="BE30">
            <v>1.23</v>
          </cell>
          <cell r="BG30">
            <v>40</v>
          </cell>
          <cell r="BH30">
            <v>1.54</v>
          </cell>
          <cell r="BI30">
            <v>1.6</v>
          </cell>
          <cell r="BJ30">
            <v>1.66</v>
          </cell>
          <cell r="BK30">
            <v>1.72</v>
          </cell>
          <cell r="BL30">
            <v>1.79</v>
          </cell>
        </row>
        <row r="31">
          <cell r="AZ31">
            <v>45</v>
          </cell>
          <cell r="BA31">
            <v>1.48</v>
          </cell>
          <cell r="BB31">
            <v>1.43</v>
          </cell>
          <cell r="BC31">
            <v>1.38</v>
          </cell>
          <cell r="BD31">
            <v>1.34</v>
          </cell>
          <cell r="BE31">
            <v>1.29</v>
          </cell>
          <cell r="BG31">
            <v>45</v>
          </cell>
          <cell r="BH31">
            <v>1.57</v>
          </cell>
          <cell r="BI31">
            <v>1.62</v>
          </cell>
          <cell r="BJ31">
            <v>1.67</v>
          </cell>
          <cell r="BK31">
            <v>1.72</v>
          </cell>
          <cell r="BL31">
            <v>1.78</v>
          </cell>
        </row>
        <row r="32">
          <cell r="AZ32">
            <v>50</v>
          </cell>
          <cell r="BA32">
            <v>1.5</v>
          </cell>
          <cell r="BB32">
            <v>1.46</v>
          </cell>
          <cell r="BC32">
            <v>1.42</v>
          </cell>
          <cell r="BD32">
            <v>1.38</v>
          </cell>
          <cell r="BE32">
            <v>1.34</v>
          </cell>
          <cell r="BG32">
            <v>50</v>
          </cell>
          <cell r="BH32">
            <v>1.59</v>
          </cell>
          <cell r="BI32">
            <v>1.63</v>
          </cell>
          <cell r="BJ32">
            <v>1.67</v>
          </cell>
          <cell r="BK32">
            <v>1.72</v>
          </cell>
          <cell r="BL32">
            <v>1.77</v>
          </cell>
        </row>
        <row r="33">
          <cell r="AZ33">
            <v>55</v>
          </cell>
          <cell r="BA33">
            <v>1.53</v>
          </cell>
          <cell r="BB33">
            <v>1.49</v>
          </cell>
          <cell r="BC33">
            <v>1.45</v>
          </cell>
          <cell r="BD33">
            <v>1.41</v>
          </cell>
          <cell r="BE33">
            <v>1.38</v>
          </cell>
          <cell r="BG33">
            <v>55</v>
          </cell>
          <cell r="BH33">
            <v>1.6</v>
          </cell>
          <cell r="BI33">
            <v>1.64</v>
          </cell>
          <cell r="BJ33">
            <v>1.68</v>
          </cell>
          <cell r="BK33">
            <v>1.72</v>
          </cell>
          <cell r="BL33">
            <v>1.77</v>
          </cell>
        </row>
        <row r="34">
          <cell r="AZ34">
            <v>60</v>
          </cell>
          <cell r="BA34">
            <v>1.55</v>
          </cell>
          <cell r="BB34">
            <v>1.51</v>
          </cell>
          <cell r="BC34">
            <v>1.48</v>
          </cell>
          <cell r="BD34">
            <v>1.44</v>
          </cell>
          <cell r="BE34">
            <v>1.41</v>
          </cell>
          <cell r="BG34">
            <v>60</v>
          </cell>
          <cell r="BH34">
            <v>1.62</v>
          </cell>
          <cell r="BI34">
            <v>1.65</v>
          </cell>
          <cell r="BJ34">
            <v>1.69</v>
          </cell>
          <cell r="BK34">
            <v>1.73</v>
          </cell>
          <cell r="BL34">
            <v>1.77</v>
          </cell>
        </row>
        <row r="35">
          <cell r="AZ35">
            <v>65</v>
          </cell>
          <cell r="BA35">
            <v>1.57</v>
          </cell>
          <cell r="BB35">
            <v>1.54</v>
          </cell>
          <cell r="BC35">
            <v>1.5</v>
          </cell>
          <cell r="BD35">
            <v>1.47</v>
          </cell>
          <cell r="BE35">
            <v>1.44</v>
          </cell>
          <cell r="BG35">
            <v>65</v>
          </cell>
          <cell r="BH35">
            <v>1.63</v>
          </cell>
          <cell r="BI35">
            <v>1.66</v>
          </cell>
          <cell r="BJ35">
            <v>1.7</v>
          </cell>
          <cell r="BK35">
            <v>1.73</v>
          </cell>
          <cell r="BL35">
            <v>1.77</v>
          </cell>
        </row>
        <row r="36">
          <cell r="AZ36">
            <v>70</v>
          </cell>
          <cell r="BA36">
            <v>1.58</v>
          </cell>
          <cell r="BB36">
            <v>1.55</v>
          </cell>
          <cell r="BC36">
            <v>1.52</v>
          </cell>
          <cell r="BD36">
            <v>1.49</v>
          </cell>
          <cell r="BE36">
            <v>1.46</v>
          </cell>
          <cell r="BG36">
            <v>70</v>
          </cell>
          <cell r="BH36">
            <v>1.64</v>
          </cell>
          <cell r="BI36">
            <v>1.67</v>
          </cell>
          <cell r="BJ36">
            <v>1.7</v>
          </cell>
          <cell r="BK36">
            <v>1.74</v>
          </cell>
          <cell r="BL36">
            <v>1.77</v>
          </cell>
        </row>
        <row r="37">
          <cell r="AZ37">
            <v>75</v>
          </cell>
          <cell r="BA37">
            <v>1.6</v>
          </cell>
          <cell r="BB37">
            <v>1.57</v>
          </cell>
          <cell r="BC37">
            <v>1.54</v>
          </cell>
          <cell r="BD37">
            <v>1.51</v>
          </cell>
          <cell r="BE37">
            <v>1.49</v>
          </cell>
          <cell r="BG37">
            <v>75</v>
          </cell>
          <cell r="BH37">
            <v>1.65</v>
          </cell>
          <cell r="BI37">
            <v>1.68</v>
          </cell>
          <cell r="BJ37">
            <v>1.71</v>
          </cell>
          <cell r="BK37">
            <v>1.74</v>
          </cell>
          <cell r="BL37">
            <v>1.77</v>
          </cell>
        </row>
        <row r="38">
          <cell r="AZ38">
            <v>80</v>
          </cell>
          <cell r="BA38">
            <v>1.61</v>
          </cell>
          <cell r="BB38">
            <v>1.59</v>
          </cell>
          <cell r="BC38">
            <v>1.56</v>
          </cell>
          <cell r="BD38">
            <v>1.53</v>
          </cell>
          <cell r="BE38">
            <v>1.51</v>
          </cell>
          <cell r="BG38">
            <v>80</v>
          </cell>
          <cell r="BH38">
            <v>1.66</v>
          </cell>
          <cell r="BI38">
            <v>1.69</v>
          </cell>
          <cell r="BJ38">
            <v>1.72</v>
          </cell>
          <cell r="BK38">
            <v>1.74</v>
          </cell>
          <cell r="BL38">
            <v>1.77</v>
          </cell>
        </row>
        <row r="39">
          <cell r="AZ39">
            <v>85</v>
          </cell>
          <cell r="BA39">
            <v>1.62</v>
          </cell>
          <cell r="BB39">
            <v>1.6</v>
          </cell>
          <cell r="BC39">
            <v>1.57</v>
          </cell>
          <cell r="BD39">
            <v>1.55</v>
          </cell>
          <cell r="BE39">
            <v>1.52</v>
          </cell>
          <cell r="BG39">
            <v>85</v>
          </cell>
          <cell r="BH39">
            <v>1.67</v>
          </cell>
          <cell r="BI39">
            <v>1.7</v>
          </cell>
          <cell r="BJ39">
            <v>1.72</v>
          </cell>
          <cell r="BK39">
            <v>1.75</v>
          </cell>
          <cell r="BL39">
            <v>1.77</v>
          </cell>
        </row>
        <row r="40">
          <cell r="AZ40">
            <v>90</v>
          </cell>
          <cell r="BA40">
            <v>1.63</v>
          </cell>
          <cell r="BB40">
            <v>1.61</v>
          </cell>
          <cell r="BC40">
            <v>1.59</v>
          </cell>
          <cell r="BD40">
            <v>1.57</v>
          </cell>
          <cell r="BE40">
            <v>1.54</v>
          </cell>
          <cell r="BG40">
            <v>90</v>
          </cell>
          <cell r="BH40">
            <v>1.68</v>
          </cell>
          <cell r="BI40">
            <v>1.7</v>
          </cell>
          <cell r="BJ40">
            <v>1.73</v>
          </cell>
          <cell r="BK40">
            <v>1.75</v>
          </cell>
          <cell r="BL40">
            <v>1.78</v>
          </cell>
        </row>
        <row r="41">
          <cell r="AZ41">
            <v>95</v>
          </cell>
          <cell r="BA41">
            <v>1.64</v>
          </cell>
          <cell r="BB41">
            <v>1.62</v>
          </cell>
          <cell r="BC41">
            <v>1.6</v>
          </cell>
          <cell r="BD41">
            <v>1.58</v>
          </cell>
          <cell r="BE41">
            <v>1.56</v>
          </cell>
          <cell r="BG41">
            <v>95</v>
          </cell>
          <cell r="BH41">
            <v>1.69</v>
          </cell>
          <cell r="BI41">
            <v>1.71</v>
          </cell>
          <cell r="BJ41">
            <v>1.73</v>
          </cell>
          <cell r="BK41">
            <v>1.75</v>
          </cell>
          <cell r="BL41">
            <v>1.78</v>
          </cell>
        </row>
        <row r="42">
          <cell r="AZ42">
            <v>100</v>
          </cell>
          <cell r="BA42">
            <v>1.65</v>
          </cell>
          <cell r="BB42">
            <v>1.63</v>
          </cell>
          <cell r="BC42">
            <v>1.61</v>
          </cell>
          <cell r="BD42">
            <v>1.59</v>
          </cell>
          <cell r="BE42">
            <v>1.57</v>
          </cell>
          <cell r="BG42">
            <v>100</v>
          </cell>
          <cell r="BH42">
            <v>1.69</v>
          </cell>
          <cell r="BI42">
            <v>1.72</v>
          </cell>
          <cell r="BJ42">
            <v>1.74</v>
          </cell>
          <cell r="BK42">
            <v>1.76</v>
          </cell>
          <cell r="BL42">
            <v>1.78</v>
          </cell>
        </row>
      </sheetData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X40"/>
  <sheetViews>
    <sheetView showGridLines="0" showRowColHeaders="0" zoomScale="85" zoomScaleNormal="85" workbookViewId="0"/>
  </sheetViews>
  <sheetFormatPr defaultColWidth="9.140625" defaultRowHeight="12" x14ac:dyDescent="0.2"/>
  <cols>
    <col min="1" max="1" width="3.5703125" style="140" customWidth="1"/>
    <col min="2" max="2" width="1.7109375" style="140" customWidth="1"/>
    <col min="3" max="3" width="3.140625" style="140" customWidth="1"/>
    <col min="4" max="4" width="9.140625" style="140" customWidth="1"/>
    <col min="5" max="11" width="12.42578125" style="140" customWidth="1"/>
    <col min="12" max="16" width="9.28515625" style="140" customWidth="1"/>
    <col min="17" max="22" width="9.140625" style="140"/>
    <col min="23" max="23" width="3.42578125" style="140" customWidth="1"/>
    <col min="24" max="24" width="1.42578125" style="140" customWidth="1"/>
    <col min="25" max="16384" width="9.140625" style="140"/>
  </cols>
  <sheetData>
    <row r="2" spans="2:24" ht="9" customHeight="1" thickBot="1" x14ac:dyDescent="0.25">
      <c r="B2" s="90"/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141"/>
      <c r="P2" s="141"/>
      <c r="Q2" s="141"/>
      <c r="R2" s="141"/>
      <c r="S2" s="141"/>
      <c r="T2" s="141"/>
      <c r="U2" s="141"/>
      <c r="V2" s="141"/>
      <c r="W2" s="141"/>
      <c r="X2" s="141"/>
    </row>
    <row r="3" spans="2:24" ht="12" customHeight="1" x14ac:dyDescent="0.2">
      <c r="B3" s="90"/>
      <c r="C3" s="192" t="s">
        <v>85</v>
      </c>
      <c r="D3" s="193"/>
      <c r="E3" s="193"/>
      <c r="F3" s="193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4"/>
      <c r="X3" s="141"/>
    </row>
    <row r="4" spans="2:24" ht="17.25" customHeight="1" x14ac:dyDescent="0.2">
      <c r="B4" s="90"/>
      <c r="C4" s="195"/>
      <c r="D4" s="196"/>
      <c r="E4" s="196"/>
      <c r="F4" s="196"/>
      <c r="G4" s="196"/>
      <c r="H4" s="196"/>
      <c r="I4" s="196"/>
      <c r="J4" s="196"/>
      <c r="K4" s="196"/>
      <c r="L4" s="196"/>
      <c r="M4" s="196"/>
      <c r="N4" s="196"/>
      <c r="O4" s="196"/>
      <c r="P4" s="196"/>
      <c r="Q4" s="196"/>
      <c r="R4" s="196"/>
      <c r="S4" s="196"/>
      <c r="T4" s="196"/>
      <c r="U4" s="196"/>
      <c r="V4" s="196"/>
      <c r="W4" s="197"/>
      <c r="X4" s="141"/>
    </row>
    <row r="5" spans="2:24" ht="12.75" customHeight="1" thickBot="1" x14ac:dyDescent="0.25">
      <c r="B5" s="90"/>
      <c r="C5" s="198"/>
      <c r="D5" s="199"/>
      <c r="E5" s="199"/>
      <c r="F5" s="199"/>
      <c r="G5" s="199"/>
      <c r="H5" s="199"/>
      <c r="I5" s="199"/>
      <c r="J5" s="199"/>
      <c r="K5" s="199"/>
      <c r="L5" s="199"/>
      <c r="M5" s="199"/>
      <c r="N5" s="199"/>
      <c r="O5" s="199"/>
      <c r="P5" s="199"/>
      <c r="Q5" s="199"/>
      <c r="R5" s="199"/>
      <c r="S5" s="199"/>
      <c r="T5" s="199"/>
      <c r="U5" s="199"/>
      <c r="V5" s="199"/>
      <c r="W5" s="200"/>
      <c r="X5" s="141"/>
    </row>
    <row r="6" spans="2:24" x14ac:dyDescent="0.2">
      <c r="B6" s="90"/>
      <c r="C6" s="94" t="s">
        <v>86</v>
      </c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152"/>
      <c r="P6" s="152"/>
      <c r="Q6" s="152"/>
      <c r="R6" s="152"/>
      <c r="S6" s="152"/>
      <c r="T6" s="152"/>
      <c r="U6" s="152"/>
      <c r="V6" s="152"/>
      <c r="W6" s="159"/>
      <c r="X6" s="141"/>
    </row>
    <row r="7" spans="2:24" ht="25.5" customHeight="1" x14ac:dyDescent="0.2">
      <c r="B7" s="90"/>
      <c r="C7" s="94"/>
      <c r="D7" s="92"/>
      <c r="E7" s="92"/>
      <c r="F7" s="201" t="s">
        <v>153</v>
      </c>
      <c r="G7" s="202"/>
      <c r="H7" s="202"/>
      <c r="I7" s="202"/>
      <c r="J7" s="202"/>
      <c r="K7" s="203"/>
      <c r="L7" s="92"/>
      <c r="M7" s="201" t="s">
        <v>151</v>
      </c>
      <c r="N7" s="202"/>
      <c r="O7" s="202"/>
      <c r="P7" s="202"/>
      <c r="Q7" s="202"/>
      <c r="R7" s="202"/>
      <c r="S7" s="202"/>
      <c r="T7" s="202"/>
      <c r="U7" s="202"/>
      <c r="V7" s="203"/>
      <c r="W7" s="159"/>
      <c r="X7" s="141"/>
    </row>
    <row r="8" spans="2:24" ht="15.75" x14ac:dyDescent="0.2">
      <c r="B8" s="90"/>
      <c r="C8" s="91"/>
      <c r="D8" s="93"/>
      <c r="E8" s="93"/>
      <c r="F8" s="190" t="s">
        <v>79</v>
      </c>
      <c r="G8" s="190"/>
      <c r="H8" s="190" t="s">
        <v>80</v>
      </c>
      <c r="I8" s="190"/>
      <c r="J8" s="190" t="s">
        <v>81</v>
      </c>
      <c r="K8" s="190"/>
      <c r="L8" s="92"/>
      <c r="M8" s="147"/>
      <c r="N8" s="148"/>
      <c r="O8" s="149"/>
      <c r="P8" s="149"/>
      <c r="Q8" s="149"/>
      <c r="R8" s="149"/>
      <c r="S8" s="149"/>
      <c r="T8" s="149"/>
      <c r="U8" s="149"/>
      <c r="V8" s="150"/>
      <c r="W8" s="159"/>
      <c r="X8" s="141"/>
    </row>
    <row r="9" spans="2:24" ht="15.75" x14ac:dyDescent="0.2">
      <c r="B9" s="90"/>
      <c r="C9" s="91"/>
      <c r="D9" s="93"/>
      <c r="E9" s="93"/>
      <c r="F9" s="190"/>
      <c r="G9" s="190"/>
      <c r="H9" s="190"/>
      <c r="I9" s="190"/>
      <c r="J9" s="190"/>
      <c r="K9" s="190"/>
      <c r="L9" s="92"/>
      <c r="M9" s="151"/>
      <c r="N9" s="92"/>
      <c r="O9" s="152"/>
      <c r="P9" s="152"/>
      <c r="Q9" s="152"/>
      <c r="R9" s="152"/>
      <c r="S9" s="152"/>
      <c r="T9" s="152"/>
      <c r="U9" s="152"/>
      <c r="V9" s="153"/>
      <c r="W9" s="159"/>
      <c r="X9" s="141"/>
    </row>
    <row r="10" spans="2:24" ht="15.75" x14ac:dyDescent="0.2">
      <c r="B10" s="90"/>
      <c r="C10" s="91"/>
      <c r="D10" s="93"/>
      <c r="E10" s="93"/>
      <c r="F10" s="190"/>
      <c r="G10" s="190"/>
      <c r="H10" s="190"/>
      <c r="I10" s="190"/>
      <c r="J10" s="190"/>
      <c r="K10" s="190"/>
      <c r="L10" s="92"/>
      <c r="M10" s="151"/>
      <c r="N10" s="92"/>
      <c r="O10" s="152"/>
      <c r="P10" s="152"/>
      <c r="Q10" s="152"/>
      <c r="R10" s="152"/>
      <c r="S10" s="152"/>
      <c r="T10" s="152"/>
      <c r="U10" s="152"/>
      <c r="V10" s="153"/>
      <c r="W10" s="159"/>
      <c r="X10" s="141"/>
    </row>
    <row r="11" spans="2:24" ht="7.5" customHeight="1" x14ac:dyDescent="0.2">
      <c r="B11" s="90"/>
      <c r="C11" s="91"/>
      <c r="D11" s="190" t="s">
        <v>83</v>
      </c>
      <c r="E11" s="190"/>
      <c r="F11" s="191"/>
      <c r="G11" s="191"/>
      <c r="H11" s="191"/>
      <c r="I11" s="191"/>
      <c r="J11" s="191"/>
      <c r="K11" s="191"/>
      <c r="L11" s="92"/>
      <c r="M11" s="151"/>
      <c r="N11" s="92"/>
      <c r="O11" s="152"/>
      <c r="P11" s="152"/>
      <c r="Q11" s="152"/>
      <c r="R11" s="152"/>
      <c r="S11" s="152"/>
      <c r="T11" s="152"/>
      <c r="U11" s="152"/>
      <c r="V11" s="153"/>
      <c r="W11" s="159"/>
      <c r="X11" s="141"/>
    </row>
    <row r="12" spans="2:24" ht="7.5" customHeight="1" x14ac:dyDescent="0.2">
      <c r="B12" s="90"/>
      <c r="C12" s="91"/>
      <c r="D12" s="190"/>
      <c r="E12" s="190"/>
      <c r="F12" s="191"/>
      <c r="G12" s="191"/>
      <c r="H12" s="191"/>
      <c r="I12" s="191"/>
      <c r="J12" s="191"/>
      <c r="K12" s="191"/>
      <c r="L12" s="92"/>
      <c r="M12" s="151"/>
      <c r="N12" s="92"/>
      <c r="O12" s="152"/>
      <c r="P12" s="152"/>
      <c r="Q12" s="152"/>
      <c r="R12" s="152"/>
      <c r="S12" s="152"/>
      <c r="T12" s="152"/>
      <c r="U12" s="152"/>
      <c r="V12" s="153"/>
      <c r="W12" s="159"/>
      <c r="X12" s="141"/>
    </row>
    <row r="13" spans="2:24" ht="7.5" customHeight="1" x14ac:dyDescent="0.2">
      <c r="B13" s="90"/>
      <c r="C13" s="91"/>
      <c r="D13" s="190"/>
      <c r="E13" s="190"/>
      <c r="F13" s="191"/>
      <c r="G13" s="191"/>
      <c r="H13" s="191"/>
      <c r="I13" s="191"/>
      <c r="J13" s="191"/>
      <c r="K13" s="191"/>
      <c r="L13" s="92"/>
      <c r="M13" s="151"/>
      <c r="N13" s="92"/>
      <c r="O13" s="152"/>
      <c r="P13" s="152"/>
      <c r="Q13" s="152"/>
      <c r="R13" s="152"/>
      <c r="S13" s="152"/>
      <c r="T13" s="152"/>
      <c r="U13" s="152"/>
      <c r="V13" s="153"/>
      <c r="W13" s="159"/>
      <c r="X13" s="141"/>
    </row>
    <row r="14" spans="2:24" ht="7.5" customHeight="1" x14ac:dyDescent="0.2">
      <c r="B14" s="90"/>
      <c r="C14" s="91"/>
      <c r="D14" s="190"/>
      <c r="E14" s="190"/>
      <c r="F14" s="191"/>
      <c r="G14" s="191"/>
      <c r="H14" s="191"/>
      <c r="I14" s="191"/>
      <c r="J14" s="191"/>
      <c r="K14" s="191"/>
      <c r="L14" s="92"/>
      <c r="M14" s="151"/>
      <c r="N14" s="92"/>
      <c r="O14" s="152"/>
      <c r="P14" s="152"/>
      <c r="Q14" s="152"/>
      <c r="R14" s="152"/>
      <c r="S14" s="152"/>
      <c r="T14" s="152"/>
      <c r="U14" s="152"/>
      <c r="V14" s="153"/>
      <c r="W14" s="159"/>
      <c r="X14" s="141"/>
    </row>
    <row r="15" spans="2:24" ht="7.5" customHeight="1" x14ac:dyDescent="0.2">
      <c r="B15" s="90"/>
      <c r="C15" s="91"/>
      <c r="D15" s="190"/>
      <c r="E15" s="190"/>
      <c r="F15" s="191"/>
      <c r="G15" s="191"/>
      <c r="H15" s="191"/>
      <c r="I15" s="191"/>
      <c r="J15" s="191"/>
      <c r="K15" s="191"/>
      <c r="L15" s="92"/>
      <c r="M15" s="151"/>
      <c r="N15" s="92"/>
      <c r="O15" s="152"/>
      <c r="P15" s="152"/>
      <c r="Q15" s="152"/>
      <c r="R15" s="152"/>
      <c r="S15" s="152"/>
      <c r="T15" s="152"/>
      <c r="U15" s="152"/>
      <c r="V15" s="153"/>
      <c r="W15" s="159"/>
      <c r="X15" s="141"/>
    </row>
    <row r="16" spans="2:24" ht="7.5" customHeight="1" x14ac:dyDescent="0.2">
      <c r="B16" s="90"/>
      <c r="C16" s="91"/>
      <c r="D16" s="190"/>
      <c r="E16" s="190"/>
      <c r="F16" s="191"/>
      <c r="G16" s="191"/>
      <c r="H16" s="191"/>
      <c r="I16" s="191"/>
      <c r="J16" s="191"/>
      <c r="K16" s="191"/>
      <c r="L16" s="92"/>
      <c r="M16" s="151"/>
      <c r="N16" s="92"/>
      <c r="O16" s="152"/>
      <c r="P16" s="152"/>
      <c r="Q16" s="152"/>
      <c r="R16" s="152"/>
      <c r="S16" s="152"/>
      <c r="T16" s="152"/>
      <c r="U16" s="152"/>
      <c r="V16" s="153"/>
      <c r="W16" s="159"/>
      <c r="X16" s="141"/>
    </row>
    <row r="17" spans="2:24" ht="7.5" customHeight="1" x14ac:dyDescent="0.2">
      <c r="B17" s="90"/>
      <c r="C17" s="91"/>
      <c r="D17" s="190"/>
      <c r="E17" s="190"/>
      <c r="F17" s="191"/>
      <c r="G17" s="191"/>
      <c r="H17" s="191"/>
      <c r="I17" s="191"/>
      <c r="J17" s="191"/>
      <c r="K17" s="191"/>
      <c r="L17" s="92"/>
      <c r="M17" s="151"/>
      <c r="N17" s="92"/>
      <c r="O17" s="152"/>
      <c r="P17" s="152"/>
      <c r="Q17" s="152"/>
      <c r="R17" s="152"/>
      <c r="S17" s="152"/>
      <c r="T17" s="152"/>
      <c r="U17" s="152"/>
      <c r="V17" s="153"/>
      <c r="W17" s="159"/>
      <c r="X17" s="141"/>
    </row>
    <row r="18" spans="2:24" ht="7.5" customHeight="1" x14ac:dyDescent="0.2">
      <c r="B18" s="90"/>
      <c r="C18" s="91"/>
      <c r="D18" s="190" t="s">
        <v>82</v>
      </c>
      <c r="E18" s="190"/>
      <c r="F18" s="191"/>
      <c r="G18" s="191"/>
      <c r="H18" s="142"/>
      <c r="I18" s="188" t="s">
        <v>5</v>
      </c>
      <c r="J18" s="142"/>
      <c r="K18" s="188" t="s">
        <v>5</v>
      </c>
      <c r="L18" s="92"/>
      <c r="M18" s="151"/>
      <c r="N18" s="92"/>
      <c r="O18" s="152"/>
      <c r="P18" s="152"/>
      <c r="Q18" s="152"/>
      <c r="R18" s="152"/>
      <c r="S18" s="152"/>
      <c r="T18" s="152"/>
      <c r="U18" s="152"/>
      <c r="V18" s="153"/>
      <c r="W18" s="159"/>
      <c r="X18" s="141"/>
    </row>
    <row r="19" spans="2:24" ht="7.5" customHeight="1" x14ac:dyDescent="0.2">
      <c r="B19" s="90"/>
      <c r="C19" s="91"/>
      <c r="D19" s="190"/>
      <c r="E19" s="190"/>
      <c r="F19" s="191"/>
      <c r="G19" s="191"/>
      <c r="H19" s="143"/>
      <c r="I19" s="189"/>
      <c r="J19" s="143"/>
      <c r="K19" s="189"/>
      <c r="L19" s="92"/>
      <c r="M19" s="151"/>
      <c r="N19" s="92"/>
      <c r="O19" s="152"/>
      <c r="P19" s="152"/>
      <c r="Q19" s="152"/>
      <c r="R19" s="152"/>
      <c r="S19" s="152"/>
      <c r="T19" s="152"/>
      <c r="U19" s="152"/>
      <c r="V19" s="153"/>
      <c r="W19" s="159"/>
      <c r="X19" s="141"/>
    </row>
    <row r="20" spans="2:24" ht="7.5" customHeight="1" x14ac:dyDescent="0.2">
      <c r="B20" s="90"/>
      <c r="C20" s="91"/>
      <c r="D20" s="190"/>
      <c r="E20" s="190"/>
      <c r="F20" s="191"/>
      <c r="G20" s="191"/>
      <c r="H20" s="143"/>
      <c r="I20" s="144"/>
      <c r="J20" s="143"/>
      <c r="K20" s="144"/>
      <c r="L20" s="92"/>
      <c r="M20" s="151"/>
      <c r="N20" s="92"/>
      <c r="O20" s="152"/>
      <c r="P20" s="152"/>
      <c r="Q20" s="152"/>
      <c r="R20" s="152"/>
      <c r="S20" s="152"/>
      <c r="T20" s="152"/>
      <c r="U20" s="152"/>
      <c r="V20" s="153"/>
      <c r="W20" s="159"/>
      <c r="X20" s="141"/>
    </row>
    <row r="21" spans="2:24" ht="7.5" customHeight="1" x14ac:dyDescent="0.2">
      <c r="B21" s="90"/>
      <c r="C21" s="91"/>
      <c r="D21" s="190"/>
      <c r="E21" s="190"/>
      <c r="F21" s="191"/>
      <c r="G21" s="191"/>
      <c r="H21" s="143"/>
      <c r="I21" s="144"/>
      <c r="J21" s="143"/>
      <c r="K21" s="144"/>
      <c r="L21" s="92"/>
      <c r="M21" s="151"/>
      <c r="N21" s="92"/>
      <c r="O21" s="152"/>
      <c r="P21" s="152"/>
      <c r="Q21" s="152"/>
      <c r="R21" s="152"/>
      <c r="S21" s="152"/>
      <c r="T21" s="152"/>
      <c r="U21" s="152"/>
      <c r="V21" s="153"/>
      <c r="W21" s="159"/>
      <c r="X21" s="141"/>
    </row>
    <row r="22" spans="2:24" ht="7.5" customHeight="1" x14ac:dyDescent="0.2">
      <c r="B22" s="90"/>
      <c r="C22" s="91"/>
      <c r="D22" s="190"/>
      <c r="E22" s="190"/>
      <c r="F22" s="191"/>
      <c r="G22" s="191"/>
      <c r="H22" s="143"/>
      <c r="I22" s="144"/>
      <c r="J22" s="143"/>
      <c r="K22" s="144"/>
      <c r="L22" s="92"/>
      <c r="M22" s="151"/>
      <c r="N22" s="92"/>
      <c r="O22" s="152"/>
      <c r="P22" s="152"/>
      <c r="Q22" s="152"/>
      <c r="R22" s="152"/>
      <c r="S22" s="152"/>
      <c r="T22" s="152"/>
      <c r="U22" s="152"/>
      <c r="V22" s="153"/>
      <c r="W22" s="159"/>
      <c r="X22" s="141"/>
    </row>
    <row r="23" spans="2:24" ht="7.5" customHeight="1" x14ac:dyDescent="0.2">
      <c r="B23" s="90"/>
      <c r="C23" s="91"/>
      <c r="D23" s="190"/>
      <c r="E23" s="190"/>
      <c r="F23" s="191"/>
      <c r="G23" s="191"/>
      <c r="H23" s="143"/>
      <c r="I23" s="144"/>
      <c r="J23" s="143"/>
      <c r="K23" s="144"/>
      <c r="L23" s="92"/>
      <c r="M23" s="151"/>
      <c r="N23" s="92"/>
      <c r="O23" s="152"/>
      <c r="P23" s="152"/>
      <c r="Q23" s="152"/>
      <c r="R23" s="152"/>
      <c r="S23" s="152"/>
      <c r="T23" s="152"/>
      <c r="U23" s="152"/>
      <c r="V23" s="153"/>
      <c r="W23" s="159"/>
      <c r="X23" s="141"/>
    </row>
    <row r="24" spans="2:24" ht="7.5" customHeight="1" x14ac:dyDescent="0.2">
      <c r="B24" s="90"/>
      <c r="C24" s="91"/>
      <c r="D24" s="190"/>
      <c r="E24" s="190"/>
      <c r="F24" s="191"/>
      <c r="G24" s="191"/>
      <c r="H24" s="145"/>
      <c r="I24" s="146"/>
      <c r="J24" s="145"/>
      <c r="K24" s="146"/>
      <c r="L24" s="92"/>
      <c r="M24" s="151"/>
      <c r="N24" s="92"/>
      <c r="O24" s="152"/>
      <c r="P24" s="152"/>
      <c r="Q24" s="152"/>
      <c r="R24" s="152"/>
      <c r="S24" s="152"/>
      <c r="T24" s="152"/>
      <c r="U24" s="152"/>
      <c r="V24" s="153"/>
      <c r="W24" s="159"/>
      <c r="X24" s="141"/>
    </row>
    <row r="25" spans="2:24" ht="7.5" customHeight="1" x14ac:dyDescent="0.2">
      <c r="B25" s="90"/>
      <c r="C25" s="91"/>
      <c r="D25" s="190" t="s">
        <v>84</v>
      </c>
      <c r="E25" s="190"/>
      <c r="F25" s="191"/>
      <c r="G25" s="191"/>
      <c r="H25" s="142"/>
      <c r="I25" s="188" t="s">
        <v>5</v>
      </c>
      <c r="J25" s="142"/>
      <c r="K25" s="188" t="s">
        <v>5</v>
      </c>
      <c r="L25" s="92"/>
      <c r="M25" s="151"/>
      <c r="N25" s="92"/>
      <c r="O25" s="152"/>
      <c r="P25" s="152"/>
      <c r="Q25" s="152"/>
      <c r="R25" s="152"/>
      <c r="S25" s="152"/>
      <c r="T25" s="152"/>
      <c r="U25" s="152"/>
      <c r="V25" s="153"/>
      <c r="W25" s="159"/>
      <c r="X25" s="141"/>
    </row>
    <row r="26" spans="2:24" ht="7.5" customHeight="1" x14ac:dyDescent="0.2">
      <c r="B26" s="90"/>
      <c r="C26" s="91"/>
      <c r="D26" s="190"/>
      <c r="E26" s="190"/>
      <c r="F26" s="191"/>
      <c r="G26" s="191"/>
      <c r="H26" s="143"/>
      <c r="I26" s="189"/>
      <c r="J26" s="143"/>
      <c r="K26" s="189"/>
      <c r="L26" s="92"/>
      <c r="M26" s="151"/>
      <c r="N26" s="92"/>
      <c r="O26" s="152"/>
      <c r="P26" s="152"/>
      <c r="Q26" s="152"/>
      <c r="R26" s="152"/>
      <c r="S26" s="152"/>
      <c r="T26" s="152"/>
      <c r="U26" s="152"/>
      <c r="V26" s="153"/>
      <c r="W26" s="159"/>
      <c r="X26" s="141"/>
    </row>
    <row r="27" spans="2:24" ht="7.5" customHeight="1" x14ac:dyDescent="0.2">
      <c r="B27" s="90"/>
      <c r="C27" s="91"/>
      <c r="D27" s="190"/>
      <c r="E27" s="190"/>
      <c r="F27" s="191"/>
      <c r="G27" s="191"/>
      <c r="H27" s="143"/>
      <c r="I27" s="144"/>
      <c r="J27" s="143"/>
      <c r="K27" s="144"/>
      <c r="L27" s="92"/>
      <c r="M27" s="151"/>
      <c r="N27" s="92"/>
      <c r="O27" s="152"/>
      <c r="P27" s="152"/>
      <c r="Q27" s="152"/>
      <c r="R27" s="152"/>
      <c r="S27" s="152"/>
      <c r="T27" s="152"/>
      <c r="U27" s="152"/>
      <c r="V27" s="153"/>
      <c r="W27" s="159"/>
      <c r="X27" s="141"/>
    </row>
    <row r="28" spans="2:24" ht="7.5" customHeight="1" x14ac:dyDescent="0.2">
      <c r="B28" s="90"/>
      <c r="C28" s="91"/>
      <c r="D28" s="190"/>
      <c r="E28" s="190"/>
      <c r="F28" s="191"/>
      <c r="G28" s="191"/>
      <c r="H28" s="143"/>
      <c r="I28" s="144"/>
      <c r="J28" s="143"/>
      <c r="K28" s="144"/>
      <c r="L28" s="92"/>
      <c r="M28" s="151"/>
      <c r="N28" s="92"/>
      <c r="O28" s="152"/>
      <c r="P28" s="152"/>
      <c r="Q28" s="152"/>
      <c r="R28" s="152"/>
      <c r="S28" s="152"/>
      <c r="T28" s="152"/>
      <c r="U28" s="152"/>
      <c r="V28" s="153"/>
      <c r="W28" s="159"/>
      <c r="X28" s="141"/>
    </row>
    <row r="29" spans="2:24" ht="7.5" customHeight="1" x14ac:dyDescent="0.2">
      <c r="B29" s="90"/>
      <c r="C29" s="91"/>
      <c r="D29" s="190"/>
      <c r="E29" s="190"/>
      <c r="F29" s="191"/>
      <c r="G29" s="191"/>
      <c r="H29" s="143"/>
      <c r="I29" s="144"/>
      <c r="J29" s="143"/>
      <c r="K29" s="144"/>
      <c r="L29" s="92"/>
      <c r="M29" s="151"/>
      <c r="N29" s="92"/>
      <c r="O29" s="152"/>
      <c r="P29" s="152"/>
      <c r="Q29" s="152"/>
      <c r="R29" s="152"/>
      <c r="S29" s="152"/>
      <c r="T29" s="152"/>
      <c r="U29" s="152"/>
      <c r="V29" s="153"/>
      <c r="W29" s="159"/>
      <c r="X29" s="141"/>
    </row>
    <row r="30" spans="2:24" ht="7.5" customHeight="1" x14ac:dyDescent="0.2">
      <c r="B30" s="90"/>
      <c r="C30" s="91"/>
      <c r="D30" s="190"/>
      <c r="E30" s="190"/>
      <c r="F30" s="191"/>
      <c r="G30" s="191"/>
      <c r="H30" s="143"/>
      <c r="I30" s="144"/>
      <c r="J30" s="143"/>
      <c r="K30" s="144"/>
      <c r="L30" s="92"/>
      <c r="M30" s="182" t="s">
        <v>154</v>
      </c>
      <c r="N30" s="183"/>
      <c r="O30" s="183"/>
      <c r="P30" s="183"/>
      <c r="Q30" s="183"/>
      <c r="R30" s="183"/>
      <c r="S30" s="183"/>
      <c r="T30" s="183"/>
      <c r="U30" s="183"/>
      <c r="V30" s="184"/>
      <c r="W30" s="159"/>
      <c r="X30" s="141"/>
    </row>
    <row r="31" spans="2:24" ht="7.5" customHeight="1" x14ac:dyDescent="0.2">
      <c r="B31" s="90"/>
      <c r="C31" s="91"/>
      <c r="D31" s="190"/>
      <c r="E31" s="190"/>
      <c r="F31" s="191"/>
      <c r="G31" s="191"/>
      <c r="H31" s="145"/>
      <c r="I31" s="146"/>
      <c r="J31" s="145"/>
      <c r="K31" s="146"/>
      <c r="L31" s="92"/>
      <c r="M31" s="185"/>
      <c r="N31" s="186"/>
      <c r="O31" s="186"/>
      <c r="P31" s="186"/>
      <c r="Q31" s="186"/>
      <c r="R31" s="186"/>
      <c r="S31" s="186"/>
      <c r="T31" s="186"/>
      <c r="U31" s="186"/>
      <c r="V31" s="187"/>
      <c r="W31" s="159"/>
      <c r="X31" s="141"/>
    </row>
    <row r="32" spans="2:24" x14ac:dyDescent="0.2">
      <c r="B32" s="90"/>
      <c r="C32" s="91"/>
      <c r="D32" s="147"/>
      <c r="E32" s="148"/>
      <c r="F32" s="148"/>
      <c r="G32" s="148"/>
      <c r="H32" s="148"/>
      <c r="I32" s="148"/>
      <c r="J32" s="148"/>
      <c r="K32" s="156"/>
      <c r="L32" s="92"/>
      <c r="M32" s="185"/>
      <c r="N32" s="186"/>
      <c r="O32" s="186"/>
      <c r="P32" s="186"/>
      <c r="Q32" s="186"/>
      <c r="R32" s="186"/>
      <c r="S32" s="186"/>
      <c r="T32" s="186"/>
      <c r="U32" s="186"/>
      <c r="V32" s="187"/>
      <c r="W32" s="159"/>
      <c r="X32" s="141"/>
    </row>
    <row r="33" spans="2:24" ht="27" customHeight="1" x14ac:dyDescent="0.2">
      <c r="B33" s="141"/>
      <c r="C33" s="160"/>
      <c r="D33" s="157"/>
      <c r="E33" s="152"/>
      <c r="F33" s="152"/>
      <c r="G33" s="152"/>
      <c r="H33" s="152"/>
      <c r="I33" s="152"/>
      <c r="J33" s="152"/>
      <c r="K33" s="153"/>
      <c r="L33" s="152"/>
      <c r="M33" s="164"/>
      <c r="N33" s="149"/>
      <c r="O33" s="149"/>
      <c r="P33" s="149"/>
      <c r="Q33" s="149"/>
      <c r="R33" s="149"/>
      <c r="S33" s="149"/>
      <c r="T33" s="149"/>
      <c r="U33" s="149"/>
      <c r="V33" s="150"/>
      <c r="W33" s="159"/>
      <c r="X33" s="141"/>
    </row>
    <row r="34" spans="2:24" ht="15.75" customHeight="1" x14ac:dyDescent="0.2">
      <c r="B34" s="141"/>
      <c r="C34" s="160"/>
      <c r="D34" s="157"/>
      <c r="E34" s="152"/>
      <c r="F34" s="152"/>
      <c r="G34" s="152"/>
      <c r="H34" s="152"/>
      <c r="I34" s="152"/>
      <c r="J34" s="152"/>
      <c r="K34" s="153"/>
      <c r="L34" s="152"/>
      <c r="M34" s="157"/>
      <c r="N34" s="152"/>
      <c r="O34" s="152"/>
      <c r="P34" s="152"/>
      <c r="Q34" s="152"/>
      <c r="R34" s="152"/>
      <c r="S34" s="152"/>
      <c r="T34" s="152"/>
      <c r="U34" s="152"/>
      <c r="V34" s="153"/>
      <c r="W34" s="159"/>
      <c r="X34" s="141"/>
    </row>
    <row r="35" spans="2:24" x14ac:dyDescent="0.2">
      <c r="B35" s="141"/>
      <c r="C35" s="160"/>
      <c r="D35" s="157"/>
      <c r="E35" s="152"/>
      <c r="F35" s="152"/>
      <c r="G35" s="152"/>
      <c r="H35" s="152"/>
      <c r="I35" s="152"/>
      <c r="J35" s="152"/>
      <c r="K35" s="153"/>
      <c r="L35" s="152"/>
      <c r="M35" s="157"/>
      <c r="N35" s="152"/>
      <c r="O35" s="152"/>
      <c r="P35" s="152"/>
      <c r="Q35" s="152"/>
      <c r="R35" s="152"/>
      <c r="S35" s="152"/>
      <c r="T35" s="152"/>
      <c r="U35" s="152"/>
      <c r="V35" s="153"/>
      <c r="W35" s="159"/>
      <c r="X35" s="141"/>
    </row>
    <row r="36" spans="2:24" x14ac:dyDescent="0.2">
      <c r="B36" s="141"/>
      <c r="C36" s="160"/>
      <c r="D36" s="157"/>
      <c r="E36" s="152"/>
      <c r="F36" s="152"/>
      <c r="G36" s="152"/>
      <c r="H36" s="152"/>
      <c r="I36" s="152"/>
      <c r="J36" s="152"/>
      <c r="K36" s="153"/>
      <c r="L36" s="152"/>
      <c r="M36" s="157"/>
      <c r="N36" s="152"/>
      <c r="O36" s="152"/>
      <c r="P36" s="152"/>
      <c r="Q36" s="152"/>
      <c r="R36" s="152"/>
      <c r="S36" s="152"/>
      <c r="T36" s="152"/>
      <c r="U36" s="152"/>
      <c r="V36" s="153"/>
      <c r="W36" s="159"/>
      <c r="X36" s="141"/>
    </row>
    <row r="37" spans="2:24" x14ac:dyDescent="0.2">
      <c r="B37" s="141"/>
      <c r="C37" s="160"/>
      <c r="D37" s="158"/>
      <c r="E37" s="154"/>
      <c r="F37" s="154"/>
      <c r="G37" s="154"/>
      <c r="H37" s="154"/>
      <c r="I37" s="154"/>
      <c r="J37" s="154"/>
      <c r="K37" s="155"/>
      <c r="L37" s="152"/>
      <c r="M37" s="158"/>
      <c r="N37" s="154"/>
      <c r="O37" s="154"/>
      <c r="P37" s="154"/>
      <c r="Q37" s="154"/>
      <c r="R37" s="154"/>
      <c r="S37" s="154"/>
      <c r="T37" s="154"/>
      <c r="U37" s="154"/>
      <c r="V37" s="155"/>
      <c r="W37" s="159"/>
      <c r="X37" s="141"/>
    </row>
    <row r="38" spans="2:24" x14ac:dyDescent="0.2">
      <c r="B38" s="141"/>
      <c r="C38" s="160"/>
      <c r="D38" s="152"/>
      <c r="E38" s="152"/>
      <c r="F38" s="152"/>
      <c r="G38" s="152"/>
      <c r="H38" s="152"/>
      <c r="I38" s="152"/>
      <c r="J38" s="152"/>
      <c r="K38" s="152"/>
      <c r="L38" s="152"/>
      <c r="M38" s="152"/>
      <c r="N38" s="152"/>
      <c r="O38" s="152"/>
      <c r="P38" s="152"/>
      <c r="Q38" s="152"/>
      <c r="R38" s="152"/>
      <c r="S38" s="152"/>
      <c r="T38" s="152"/>
      <c r="U38" s="152"/>
      <c r="V38" s="152"/>
      <c r="W38" s="159"/>
      <c r="X38" s="141"/>
    </row>
    <row r="39" spans="2:24" ht="12.75" thickBot="1" x14ac:dyDescent="0.25">
      <c r="B39" s="141"/>
      <c r="C39" s="161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3"/>
      <c r="X39" s="141"/>
    </row>
    <row r="40" spans="2:24" ht="8.25" customHeight="1" x14ac:dyDescent="0.2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41"/>
      <c r="V40" s="141"/>
      <c r="W40" s="141"/>
      <c r="X40" s="141"/>
    </row>
  </sheetData>
  <mergeCells count="19">
    <mergeCell ref="C3:W5"/>
    <mergeCell ref="F7:K7"/>
    <mergeCell ref="M7:V7"/>
    <mergeCell ref="J8:K10"/>
    <mergeCell ref="I18:I19"/>
    <mergeCell ref="K18:K19"/>
    <mergeCell ref="F8:G10"/>
    <mergeCell ref="H8:I10"/>
    <mergeCell ref="M30:V32"/>
    <mergeCell ref="K25:K26"/>
    <mergeCell ref="D11:E17"/>
    <mergeCell ref="F11:G17"/>
    <mergeCell ref="H11:I17"/>
    <mergeCell ref="J11:K17"/>
    <mergeCell ref="D18:E24"/>
    <mergeCell ref="F18:G24"/>
    <mergeCell ref="I25:I26"/>
    <mergeCell ref="D25:E31"/>
    <mergeCell ref="F25:G3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5285"/>
  <sheetViews>
    <sheetView showGridLines="0" zoomScale="85" zoomScaleNormal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5" sqref="C5:C379"/>
    </sheetView>
  </sheetViews>
  <sheetFormatPr defaultColWidth="10.85546875" defaultRowHeight="12.75" x14ac:dyDescent="0.2"/>
  <cols>
    <col min="1" max="1" width="2.85546875" style="1" customWidth="1"/>
    <col min="2" max="2" width="13.85546875" style="1" customWidth="1"/>
    <col min="3" max="3" width="12.140625" style="1" customWidth="1"/>
    <col min="4" max="4" width="12.140625" style="1" bestFit="1" customWidth="1"/>
    <col min="5" max="5" width="12.140625" style="2" bestFit="1" customWidth="1"/>
    <col min="6" max="6" width="12.140625" style="1" bestFit="1" customWidth="1"/>
    <col min="7" max="7" width="2.85546875" style="1" customWidth="1"/>
    <col min="8" max="8" width="7.28515625" style="1" customWidth="1"/>
    <col min="9" max="9" width="14.140625" style="1" customWidth="1"/>
    <col min="10" max="10" width="5.85546875" style="1" customWidth="1"/>
    <col min="11" max="11" width="20.7109375" style="1" bestFit="1" customWidth="1"/>
    <col min="12" max="12" width="8.140625" style="1" bestFit="1" customWidth="1"/>
    <col min="13" max="16384" width="10.85546875" style="1"/>
  </cols>
  <sheetData>
    <row r="1" spans="1:18" ht="28.5" customHeight="1" x14ac:dyDescent="0.2">
      <c r="A1" s="205" t="s">
        <v>65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5"/>
      <c r="P1" s="205"/>
      <c r="Q1" s="205"/>
      <c r="R1" s="205"/>
    </row>
    <row r="2" spans="1:18" x14ac:dyDescent="0.2">
      <c r="B2" s="3"/>
      <c r="C2" s="3"/>
      <c r="D2" s="3"/>
      <c r="E2" s="4"/>
      <c r="F2" s="3"/>
    </row>
    <row r="3" spans="1:18" ht="12.75" customHeight="1" x14ac:dyDescent="0.2">
      <c r="B3" s="206" t="s">
        <v>24</v>
      </c>
      <c r="C3" s="206" t="s">
        <v>25</v>
      </c>
      <c r="D3" s="206" t="s">
        <v>3</v>
      </c>
      <c r="E3" s="208" t="s">
        <v>26</v>
      </c>
      <c r="F3" s="206" t="s">
        <v>27</v>
      </c>
      <c r="H3" s="5" t="s">
        <v>0</v>
      </c>
      <c r="K3" s="6" t="s">
        <v>1</v>
      </c>
      <c r="L3" s="6" t="s">
        <v>2</v>
      </c>
    </row>
    <row r="4" spans="1:18" ht="20.25" customHeight="1" thickBot="1" x14ac:dyDescent="0.25">
      <c r="B4" s="207"/>
      <c r="C4" s="207"/>
      <c r="D4" s="207"/>
      <c r="E4" s="209"/>
      <c r="F4" s="207"/>
      <c r="H4" s="204" t="s">
        <v>4</v>
      </c>
      <c r="I4" s="204"/>
      <c r="K4" s="7" t="s">
        <v>5</v>
      </c>
      <c r="L4" s="7" t="s">
        <v>6</v>
      </c>
    </row>
    <row r="5" spans="1:18" x14ac:dyDescent="0.2">
      <c r="B5" s="12">
        <v>1</v>
      </c>
      <c r="C5" s="12">
        <v>349.36828880656418</v>
      </c>
      <c r="D5" s="17">
        <f t="shared" ref="D5:D17" si="0">IF(B5="","",a+b*B5)</f>
        <v>390.3452157399006</v>
      </c>
      <c r="E5" s="18">
        <f t="shared" ref="E5:E68" si="1">IF(B5="","",ABS(C5-D5))</f>
        <v>40.976926933336415</v>
      </c>
      <c r="F5" s="17">
        <f t="shared" ref="F5:F68" si="2">IF(B5="","",E5^2)</f>
        <v>1679.1085408999913</v>
      </c>
      <c r="H5" s="10" t="s">
        <v>7</v>
      </c>
      <c r="I5" s="14">
        <f>INTERCEPT(DependentVariable,IndependentVariable)</f>
        <v>390.52311612062323</v>
      </c>
      <c r="K5" s="7" t="s">
        <v>8</v>
      </c>
      <c r="L5" s="7" t="s">
        <v>9</v>
      </c>
    </row>
    <row r="6" spans="1:18" ht="13.5" thickBot="1" x14ac:dyDescent="0.25">
      <c r="B6" s="12">
        <v>2</v>
      </c>
      <c r="C6" s="12">
        <v>463.09331180090845</v>
      </c>
      <c r="D6" s="17">
        <f t="shared" si="0"/>
        <v>390.16731535917802</v>
      </c>
      <c r="E6" s="18">
        <f t="shared" si="1"/>
        <v>72.925996441730433</v>
      </c>
      <c r="F6" s="17">
        <f t="shared" si="2"/>
        <v>5318.2009570192795</v>
      </c>
      <c r="H6" s="10" t="s">
        <v>10</v>
      </c>
      <c r="I6" s="15">
        <f>SLOPE(DependentVariable,IndependentVariable)</f>
        <v>-0.17790038072260778</v>
      </c>
      <c r="K6" s="7" t="s">
        <v>11</v>
      </c>
      <c r="L6" s="7" t="s">
        <v>12</v>
      </c>
    </row>
    <row r="7" spans="1:18" x14ac:dyDescent="0.2">
      <c r="B7" s="12">
        <v>3</v>
      </c>
      <c r="C7" s="12">
        <v>255.63681691102002</v>
      </c>
      <c r="D7" s="17">
        <f t="shared" si="0"/>
        <v>389.98941497845539</v>
      </c>
      <c r="E7" s="18">
        <f t="shared" si="1"/>
        <v>134.35259806743537</v>
      </c>
      <c r="F7" s="17">
        <f t="shared" si="2"/>
        <v>18050.620607469838</v>
      </c>
      <c r="H7" s="8"/>
      <c r="I7" s="8"/>
      <c r="K7" s="7" t="s">
        <v>3</v>
      </c>
      <c r="L7" s="7" t="s">
        <v>13</v>
      </c>
    </row>
    <row r="8" spans="1:18" x14ac:dyDescent="0.2">
      <c r="B8" s="12">
        <v>4</v>
      </c>
      <c r="C8" s="12">
        <v>265.99835745163767</v>
      </c>
      <c r="D8" s="17">
        <f t="shared" si="0"/>
        <v>389.81151459773281</v>
      </c>
      <c r="E8" s="18">
        <f t="shared" si="1"/>
        <v>123.81315714609514</v>
      </c>
      <c r="F8" s="17">
        <f t="shared" si="2"/>
        <v>15329.69788248365</v>
      </c>
      <c r="H8" s="8"/>
      <c r="I8" s="8"/>
      <c r="K8" s="7" t="s">
        <v>14</v>
      </c>
      <c r="L8" s="7" t="s">
        <v>15</v>
      </c>
    </row>
    <row r="9" spans="1:18" x14ac:dyDescent="0.2">
      <c r="B9" s="12">
        <v>5</v>
      </c>
      <c r="C9" s="12">
        <v>483.24442248282685</v>
      </c>
      <c r="D9" s="17">
        <f t="shared" si="0"/>
        <v>389.63361421701018</v>
      </c>
      <c r="E9" s="18">
        <f t="shared" si="1"/>
        <v>93.610808265816672</v>
      </c>
      <c r="F9" s="17">
        <f t="shared" si="2"/>
        <v>8762.9834241794906</v>
      </c>
      <c r="H9" s="11"/>
      <c r="I9" s="8"/>
      <c r="K9" s="7" t="s">
        <v>16</v>
      </c>
      <c r="L9" s="7" t="s">
        <v>17</v>
      </c>
    </row>
    <row r="10" spans="1:18" x14ac:dyDescent="0.2">
      <c r="B10" s="12">
        <v>6</v>
      </c>
      <c r="C10" s="12">
        <v>408.4997340206512</v>
      </c>
      <c r="D10" s="17">
        <f t="shared" si="0"/>
        <v>389.4557138362876</v>
      </c>
      <c r="E10" s="18">
        <f t="shared" si="1"/>
        <v>19.044020184363603</v>
      </c>
      <c r="F10" s="17">
        <f t="shared" si="2"/>
        <v>362.67470478244832</v>
      </c>
      <c r="H10" s="10"/>
      <c r="I10" s="9"/>
      <c r="K10" s="7" t="s">
        <v>18</v>
      </c>
      <c r="L10" s="7" t="s">
        <v>19</v>
      </c>
    </row>
    <row r="11" spans="1:18" x14ac:dyDescent="0.2">
      <c r="B11" s="12">
        <v>7</v>
      </c>
      <c r="C11" s="12">
        <v>476.63405191204612</v>
      </c>
      <c r="D11" s="17">
        <f t="shared" si="0"/>
        <v>389.27781345556497</v>
      </c>
      <c r="E11" s="18">
        <f t="shared" si="1"/>
        <v>87.356238456481151</v>
      </c>
      <c r="F11" s="17">
        <f t="shared" si="2"/>
        <v>7631.112397265596</v>
      </c>
      <c r="H11" s="8"/>
      <c r="I11" s="8"/>
      <c r="K11" s="7" t="s">
        <v>20</v>
      </c>
      <c r="L11" s="7" t="s">
        <v>21</v>
      </c>
    </row>
    <row r="12" spans="1:18" x14ac:dyDescent="0.2">
      <c r="B12" s="12">
        <v>8</v>
      </c>
      <c r="C12" s="12">
        <v>321.50642617643621</v>
      </c>
      <c r="D12" s="17">
        <f t="shared" si="0"/>
        <v>389.09991307484239</v>
      </c>
      <c r="E12" s="18">
        <f t="shared" si="1"/>
        <v>67.593486898406184</v>
      </c>
      <c r="F12" s="17">
        <f t="shared" si="2"/>
        <v>4568.8794710850088</v>
      </c>
      <c r="H12" s="10"/>
      <c r="I12" s="13"/>
      <c r="K12" s="7" t="s">
        <v>22</v>
      </c>
      <c r="L12" s="7" t="s">
        <v>23</v>
      </c>
    </row>
    <row r="13" spans="1:18" x14ac:dyDescent="0.2">
      <c r="B13" s="12">
        <v>9</v>
      </c>
      <c r="C13" s="12">
        <v>54.803681686015807</v>
      </c>
      <c r="D13" s="17">
        <f t="shared" si="0"/>
        <v>388.92201269411976</v>
      </c>
      <c r="E13" s="18">
        <f t="shared" si="1"/>
        <v>334.11833100810395</v>
      </c>
      <c r="F13" s="17">
        <f t="shared" si="2"/>
        <v>111635.05911564092</v>
      </c>
      <c r="H13" s="8"/>
      <c r="I13" s="8"/>
    </row>
    <row r="14" spans="1:18" x14ac:dyDescent="0.2">
      <c r="B14" s="12">
        <v>10</v>
      </c>
      <c r="C14" s="12">
        <v>593.12640607916649</v>
      </c>
      <c r="D14" s="17">
        <f t="shared" si="0"/>
        <v>388.74411231339712</v>
      </c>
      <c r="E14" s="18">
        <f t="shared" si="1"/>
        <v>204.38229376576936</v>
      </c>
      <c r="F14" s="17">
        <f t="shared" si="2"/>
        <v>41772.122004957244</v>
      </c>
    </row>
    <row r="15" spans="1:18" x14ac:dyDescent="0.2">
      <c r="B15" s="12">
        <v>11</v>
      </c>
      <c r="C15" s="12">
        <v>393.81446392616931</v>
      </c>
      <c r="D15" s="17">
        <f t="shared" si="0"/>
        <v>388.56621193267455</v>
      </c>
      <c r="E15" s="18">
        <f t="shared" si="1"/>
        <v>5.2482519934947618</v>
      </c>
      <c r="F15" s="17">
        <f t="shared" si="2"/>
        <v>27.544148987221742</v>
      </c>
    </row>
    <row r="16" spans="1:18" x14ac:dyDescent="0.2">
      <c r="B16" s="12">
        <v>12</v>
      </c>
      <c r="C16" s="12">
        <v>277.59335333282542</v>
      </c>
      <c r="D16" s="17">
        <f t="shared" si="0"/>
        <v>388.38831155195192</v>
      </c>
      <c r="E16" s="18">
        <f t="shared" si="1"/>
        <v>110.7949582191265</v>
      </c>
      <c r="F16" s="17">
        <f t="shared" si="2"/>
        <v>12275.522766777987</v>
      </c>
    </row>
    <row r="17" spans="2:6" x14ac:dyDescent="0.2">
      <c r="B17" s="12">
        <v>13</v>
      </c>
      <c r="C17" s="12">
        <v>253.96828098397569</v>
      </c>
      <c r="D17" s="17">
        <f t="shared" si="0"/>
        <v>388.21041117122934</v>
      </c>
      <c r="E17" s="18">
        <f t="shared" si="1"/>
        <v>134.24213018725365</v>
      </c>
      <c r="F17" s="17">
        <f t="shared" si="2"/>
        <v>18020.949517211557</v>
      </c>
    </row>
    <row r="18" spans="2:6" x14ac:dyDescent="0.2">
      <c r="B18" s="12">
        <v>14</v>
      </c>
      <c r="C18" s="12">
        <v>241.03144788874494</v>
      </c>
      <c r="D18" s="17">
        <f t="shared" ref="D18:D81" si="3">IF(B18="","",a+b*B18)</f>
        <v>388.03251079050671</v>
      </c>
      <c r="E18" s="18">
        <f t="shared" si="1"/>
        <v>147.00106290176177</v>
      </c>
      <c r="F18" s="17">
        <f t="shared" si="2"/>
        <v>21609.312494247719</v>
      </c>
    </row>
    <row r="19" spans="2:6" x14ac:dyDescent="0.2">
      <c r="B19" s="12">
        <v>15</v>
      </c>
      <c r="C19" s="12">
        <v>370.06429463149465</v>
      </c>
      <c r="D19" s="17">
        <f t="shared" si="3"/>
        <v>387.85461040978413</v>
      </c>
      <c r="E19" s="18">
        <f t="shared" si="1"/>
        <v>17.790315778289482</v>
      </c>
      <c r="F19" s="17">
        <f t="shared" si="2"/>
        <v>316.49533549125573</v>
      </c>
    </row>
    <row r="20" spans="2:6" x14ac:dyDescent="0.2">
      <c r="B20" s="12">
        <v>16</v>
      </c>
      <c r="C20" s="12">
        <v>521.31849427880047</v>
      </c>
      <c r="D20" s="17">
        <f t="shared" si="3"/>
        <v>387.6767100290615</v>
      </c>
      <c r="E20" s="18">
        <f t="shared" si="1"/>
        <v>133.64178424973898</v>
      </c>
      <c r="F20" s="17">
        <f t="shared" si="2"/>
        <v>17860.126497453781</v>
      </c>
    </row>
    <row r="21" spans="2:6" x14ac:dyDescent="0.2">
      <c r="B21" s="12">
        <v>17</v>
      </c>
      <c r="C21" s="12">
        <v>348.16793468862852</v>
      </c>
      <c r="D21" s="17">
        <f t="shared" si="3"/>
        <v>387.49880964833892</v>
      </c>
      <c r="E21" s="18">
        <f t="shared" si="1"/>
        <v>39.3308749597104</v>
      </c>
      <c r="F21" s="17">
        <f t="shared" si="2"/>
        <v>1546.9177250963746</v>
      </c>
    </row>
    <row r="22" spans="2:6" x14ac:dyDescent="0.2">
      <c r="B22" s="12">
        <v>18</v>
      </c>
      <c r="C22" s="12">
        <v>339.51549142068325</v>
      </c>
      <c r="D22" s="17">
        <f t="shared" si="3"/>
        <v>387.32090926761629</v>
      </c>
      <c r="E22" s="18">
        <f t="shared" si="1"/>
        <v>47.80541784693304</v>
      </c>
      <c r="F22" s="17">
        <f t="shared" si="2"/>
        <v>2285.3579755198639</v>
      </c>
    </row>
    <row r="23" spans="2:6" x14ac:dyDescent="0.2">
      <c r="B23" s="12">
        <v>19</v>
      </c>
      <c r="C23" s="12">
        <v>412.35282016260777</v>
      </c>
      <c r="D23" s="17">
        <f t="shared" si="3"/>
        <v>387.14300888689365</v>
      </c>
      <c r="E23" s="18">
        <f t="shared" si="1"/>
        <v>25.209811275714117</v>
      </c>
      <c r="F23" s="17">
        <f t="shared" si="2"/>
        <v>635.53458455712257</v>
      </c>
    </row>
    <row r="24" spans="2:6" x14ac:dyDescent="0.2">
      <c r="B24" s="12">
        <v>20</v>
      </c>
      <c r="C24" s="12">
        <v>421.89390229262995</v>
      </c>
      <c r="D24" s="17">
        <f t="shared" si="3"/>
        <v>386.96510850617108</v>
      </c>
      <c r="E24" s="18">
        <f t="shared" si="1"/>
        <v>34.928793786458868</v>
      </c>
      <c r="F24" s="17">
        <f t="shared" si="2"/>
        <v>1220.0206353769677</v>
      </c>
    </row>
    <row r="25" spans="2:6" x14ac:dyDescent="0.2">
      <c r="B25" s="12">
        <v>21</v>
      </c>
      <c r="C25" s="12">
        <v>449.55257168977079</v>
      </c>
      <c r="D25" s="17">
        <f t="shared" si="3"/>
        <v>386.78720812544844</v>
      </c>
      <c r="E25" s="18">
        <f t="shared" si="1"/>
        <v>62.765363564322342</v>
      </c>
      <c r="F25" s="17">
        <f t="shared" si="2"/>
        <v>3939.4908633615628</v>
      </c>
    </row>
    <row r="26" spans="2:6" x14ac:dyDescent="0.2">
      <c r="B26" s="12">
        <v>22</v>
      </c>
      <c r="C26" s="12">
        <v>260.34178900140688</v>
      </c>
      <c r="D26" s="17">
        <f t="shared" si="3"/>
        <v>386.60930774472587</v>
      </c>
      <c r="E26" s="18">
        <f t="shared" si="1"/>
        <v>126.26751874331899</v>
      </c>
      <c r="F26" s="17">
        <f t="shared" si="2"/>
        <v>15943.486289594412</v>
      </c>
    </row>
    <row r="27" spans="2:6" x14ac:dyDescent="0.2">
      <c r="B27" s="12">
        <v>23</v>
      </c>
      <c r="C27" s="12">
        <v>319.46536397457993</v>
      </c>
      <c r="D27" s="17">
        <f t="shared" si="3"/>
        <v>386.43140736400323</v>
      </c>
      <c r="E27" s="18">
        <f t="shared" si="1"/>
        <v>66.966043389423305</v>
      </c>
      <c r="F27" s="17">
        <f t="shared" si="2"/>
        <v>4484.4509672341246</v>
      </c>
    </row>
    <row r="28" spans="2:6" x14ac:dyDescent="0.2">
      <c r="B28" s="12">
        <v>24</v>
      </c>
      <c r="C28" s="12">
        <v>302.47083656626813</v>
      </c>
      <c r="D28" s="17">
        <f t="shared" si="3"/>
        <v>386.25350698328066</v>
      </c>
      <c r="E28" s="18">
        <f t="shared" si="1"/>
        <v>83.782670417012525</v>
      </c>
      <c r="F28" s="17">
        <f t="shared" si="2"/>
        <v>7019.5358622057456</v>
      </c>
    </row>
    <row r="29" spans="2:6" x14ac:dyDescent="0.2">
      <c r="B29" s="12">
        <v>25</v>
      </c>
      <c r="C29" s="12">
        <v>421.89390229262995</v>
      </c>
      <c r="D29" s="17">
        <f t="shared" si="3"/>
        <v>386.07560660255803</v>
      </c>
      <c r="E29" s="18">
        <f t="shared" si="1"/>
        <v>35.81829569007192</v>
      </c>
      <c r="F29" s="17">
        <f t="shared" si="2"/>
        <v>1282.9503061414248</v>
      </c>
    </row>
    <row r="30" spans="2:6" x14ac:dyDescent="0.2">
      <c r="B30" s="12">
        <v>26</v>
      </c>
      <c r="C30" s="12">
        <v>559.23256658998594</v>
      </c>
      <c r="D30" s="17">
        <f t="shared" si="3"/>
        <v>385.89770622183545</v>
      </c>
      <c r="E30" s="18">
        <f t="shared" si="1"/>
        <v>173.33486036815049</v>
      </c>
      <c r="F30" s="17">
        <f t="shared" si="2"/>
        <v>30044.973818846225</v>
      </c>
    </row>
    <row r="31" spans="2:6" x14ac:dyDescent="0.2">
      <c r="B31" s="12">
        <v>27</v>
      </c>
      <c r="C31" s="12">
        <v>308.95983393540456</v>
      </c>
      <c r="D31" s="17">
        <f t="shared" si="3"/>
        <v>385.71980584111282</v>
      </c>
      <c r="E31" s="18">
        <f t="shared" si="1"/>
        <v>76.759971905708255</v>
      </c>
      <c r="F31" s="17">
        <f t="shared" si="2"/>
        <v>5892.0932869651206</v>
      </c>
    </row>
    <row r="32" spans="2:6" x14ac:dyDescent="0.2">
      <c r="B32" s="12">
        <v>28</v>
      </c>
      <c r="C32" s="12">
        <v>323.47538946380058</v>
      </c>
      <c r="D32" s="17">
        <f t="shared" si="3"/>
        <v>385.54190546039024</v>
      </c>
      <c r="E32" s="18">
        <f t="shared" si="1"/>
        <v>62.066515996589658</v>
      </c>
      <c r="F32" s="17">
        <f t="shared" si="2"/>
        <v>3852.2524079549198</v>
      </c>
    </row>
    <row r="33" spans="2:6" x14ac:dyDescent="0.2">
      <c r="B33" s="12">
        <v>29</v>
      </c>
      <c r="C33" s="12">
        <v>368.6363320651393</v>
      </c>
      <c r="D33" s="17">
        <f t="shared" si="3"/>
        <v>385.36400507966761</v>
      </c>
      <c r="E33" s="18">
        <f t="shared" si="1"/>
        <v>16.727673014528307</v>
      </c>
      <c r="F33" s="17">
        <f t="shared" si="2"/>
        <v>279.81504448097854</v>
      </c>
    </row>
    <row r="34" spans="2:6" x14ac:dyDescent="0.2">
      <c r="B34" s="12">
        <v>30</v>
      </c>
      <c r="C34" s="12">
        <v>387.80372819572074</v>
      </c>
      <c r="D34" s="17">
        <f t="shared" si="3"/>
        <v>385.18610469894497</v>
      </c>
      <c r="E34" s="18">
        <f t="shared" si="1"/>
        <v>2.6176234967757637</v>
      </c>
      <c r="F34" s="17">
        <f t="shared" si="2"/>
        <v>6.8519527708725763</v>
      </c>
    </row>
    <row r="35" spans="2:6" x14ac:dyDescent="0.2">
      <c r="B35" s="12">
        <v>31</v>
      </c>
      <c r="C35" s="12">
        <v>541.62960444550697</v>
      </c>
      <c r="D35" s="17">
        <f t="shared" si="3"/>
        <v>385.0082043182224</v>
      </c>
      <c r="E35" s="18">
        <f t="shared" si="1"/>
        <v>156.62140012728457</v>
      </c>
      <c r="F35" s="17">
        <f t="shared" si="2"/>
        <v>24530.262977830975</v>
      </c>
    </row>
    <row r="36" spans="2:6" x14ac:dyDescent="0.2">
      <c r="B36" s="12">
        <v>32</v>
      </c>
      <c r="C36" s="12">
        <v>534.79849427397437</v>
      </c>
      <c r="D36" s="17">
        <f t="shared" si="3"/>
        <v>384.83030393749976</v>
      </c>
      <c r="E36" s="18">
        <f t="shared" si="1"/>
        <v>149.96819033647461</v>
      </c>
      <c r="F36" s="17">
        <f t="shared" si="2"/>
        <v>22490.458112797074</v>
      </c>
    </row>
    <row r="37" spans="2:6" x14ac:dyDescent="0.2">
      <c r="B37" s="12">
        <v>33</v>
      </c>
      <c r="C37" s="12">
        <v>307.43528750691792</v>
      </c>
      <c r="D37" s="17">
        <f t="shared" si="3"/>
        <v>384.65240355677719</v>
      </c>
      <c r="E37" s="18">
        <f t="shared" si="1"/>
        <v>77.217116049859271</v>
      </c>
      <c r="F37" s="17">
        <f t="shared" si="2"/>
        <v>5962.4830110574339</v>
      </c>
    </row>
    <row r="38" spans="2:6" x14ac:dyDescent="0.2">
      <c r="B38" s="12">
        <v>34</v>
      </c>
      <c r="C38" s="12">
        <v>365.09175194912837</v>
      </c>
      <c r="D38" s="17">
        <f t="shared" si="3"/>
        <v>384.47450317605455</v>
      </c>
      <c r="E38" s="18">
        <f t="shared" si="1"/>
        <v>19.382751226926189</v>
      </c>
      <c r="F38" s="17">
        <f t="shared" si="2"/>
        <v>375.69104512490867</v>
      </c>
    </row>
    <row r="39" spans="2:6" x14ac:dyDescent="0.2">
      <c r="B39" s="12">
        <v>35</v>
      </c>
      <c r="C39" s="12">
        <v>421.80430919382076</v>
      </c>
      <c r="D39" s="17">
        <f t="shared" si="3"/>
        <v>384.29660279533198</v>
      </c>
      <c r="E39" s="18">
        <f t="shared" si="1"/>
        <v>37.507706398488779</v>
      </c>
      <c r="F39" s="17">
        <f t="shared" si="2"/>
        <v>1406.8280392752361</v>
      </c>
    </row>
    <row r="40" spans="2:6" x14ac:dyDescent="0.2">
      <c r="B40" s="12">
        <v>36</v>
      </c>
      <c r="C40" s="12">
        <v>507.77775416766275</v>
      </c>
      <c r="D40" s="17">
        <f t="shared" si="3"/>
        <v>384.11870241460934</v>
      </c>
      <c r="E40" s="18">
        <f t="shared" si="1"/>
        <v>123.6590517530534</v>
      </c>
      <c r="F40" s="17">
        <f t="shared" si="2"/>
        <v>15291.56108046434</v>
      </c>
    </row>
    <row r="41" spans="2:6" x14ac:dyDescent="0.2">
      <c r="B41" s="12">
        <v>37</v>
      </c>
      <c r="C41" s="12">
        <v>387.37603544185242</v>
      </c>
      <c r="D41" s="17">
        <f t="shared" si="3"/>
        <v>383.94080203388677</v>
      </c>
      <c r="E41" s="18">
        <f t="shared" si="1"/>
        <v>3.4352334079656544</v>
      </c>
      <c r="F41" s="17">
        <f t="shared" si="2"/>
        <v>11.800828567203324</v>
      </c>
    </row>
    <row r="42" spans="2:6" x14ac:dyDescent="0.2">
      <c r="B42" s="12">
        <v>38</v>
      </c>
      <c r="C42" s="12">
        <v>315.45533848535928</v>
      </c>
      <c r="D42" s="17">
        <f t="shared" si="3"/>
        <v>383.76290165316414</v>
      </c>
      <c r="E42" s="18">
        <f t="shared" si="1"/>
        <v>68.307563167804858</v>
      </c>
      <c r="F42" s="17">
        <f t="shared" si="2"/>
        <v>4665.9231859236506</v>
      </c>
    </row>
    <row r="43" spans="2:6" x14ac:dyDescent="0.2">
      <c r="B43" s="12">
        <v>39</v>
      </c>
      <c r="C43" s="12">
        <v>396.99297299322694</v>
      </c>
      <c r="D43" s="17">
        <f t="shared" si="3"/>
        <v>383.5850012724415</v>
      </c>
      <c r="E43" s="18">
        <f t="shared" si="1"/>
        <v>13.40797172078544</v>
      </c>
      <c r="F43" s="17">
        <f t="shared" si="2"/>
        <v>179.77370566538207</v>
      </c>
    </row>
    <row r="44" spans="2:6" x14ac:dyDescent="0.2">
      <c r="B44" s="12">
        <v>40</v>
      </c>
      <c r="C44" s="12">
        <v>421.89390229262995</v>
      </c>
      <c r="D44" s="17">
        <f t="shared" si="3"/>
        <v>383.40710089171893</v>
      </c>
      <c r="E44" s="18">
        <f t="shared" si="1"/>
        <v>38.48680140091102</v>
      </c>
      <c r="F44" s="17">
        <f t="shared" si="2"/>
        <v>1481.2338820731663</v>
      </c>
    </row>
    <row r="45" spans="2:6" x14ac:dyDescent="0.2">
      <c r="B45" s="12">
        <v>41</v>
      </c>
      <c r="C45" s="12">
        <v>632.35256319012933</v>
      </c>
      <c r="D45" s="17">
        <f t="shared" si="3"/>
        <v>383.22920051099629</v>
      </c>
      <c r="E45" s="18">
        <f t="shared" si="1"/>
        <v>249.12336267913304</v>
      </c>
      <c r="F45" s="17">
        <f t="shared" si="2"/>
        <v>62062.449832558857</v>
      </c>
    </row>
    <row r="46" spans="2:6" x14ac:dyDescent="0.2">
      <c r="B46" s="12">
        <v>42</v>
      </c>
      <c r="C46" s="12">
        <v>348.16793468862852</v>
      </c>
      <c r="D46" s="17">
        <f t="shared" si="3"/>
        <v>383.05130013027372</v>
      </c>
      <c r="E46" s="18">
        <f t="shared" si="1"/>
        <v>34.883365441645196</v>
      </c>
      <c r="F46" s="17">
        <f t="shared" si="2"/>
        <v>1216.8491845353665</v>
      </c>
    </row>
    <row r="47" spans="2:6" x14ac:dyDescent="0.2">
      <c r="B47" s="12">
        <v>43</v>
      </c>
      <c r="C47" s="12">
        <v>355.55559337756597</v>
      </c>
      <c r="D47" s="17">
        <f t="shared" si="3"/>
        <v>382.87339974955108</v>
      </c>
      <c r="E47" s="18">
        <f t="shared" si="1"/>
        <v>27.317806371985114</v>
      </c>
      <c r="F47" s="17">
        <f t="shared" si="2"/>
        <v>746.26254497727052</v>
      </c>
    </row>
    <row r="48" spans="2:6" x14ac:dyDescent="0.2">
      <c r="B48" s="12">
        <v>44</v>
      </c>
      <c r="C48" s="12">
        <v>412.35282016260777</v>
      </c>
      <c r="D48" s="17">
        <f t="shared" si="3"/>
        <v>382.69549936882851</v>
      </c>
      <c r="E48" s="18">
        <f t="shared" si="1"/>
        <v>29.657320793779263</v>
      </c>
      <c r="F48" s="17">
        <f t="shared" si="2"/>
        <v>879.55667666513182</v>
      </c>
    </row>
    <row r="49" spans="2:6" x14ac:dyDescent="0.2">
      <c r="B49" s="12">
        <v>45</v>
      </c>
      <c r="C49" s="12">
        <v>421.89390229262995</v>
      </c>
      <c r="D49" s="17">
        <f t="shared" si="3"/>
        <v>382.51759898810587</v>
      </c>
      <c r="E49" s="18">
        <f t="shared" si="1"/>
        <v>39.376303304524072</v>
      </c>
      <c r="F49" s="17">
        <f t="shared" si="2"/>
        <v>1550.4932619298734</v>
      </c>
    </row>
    <row r="50" spans="2:6" x14ac:dyDescent="0.2">
      <c r="B50" s="12">
        <v>46</v>
      </c>
      <c r="C50" s="12">
        <v>556.5244185677584</v>
      </c>
      <c r="D50" s="17">
        <f t="shared" si="3"/>
        <v>382.3396986073833</v>
      </c>
      <c r="E50" s="18">
        <f t="shared" si="1"/>
        <v>174.18471996037511</v>
      </c>
      <c r="F50" s="17">
        <f t="shared" si="2"/>
        <v>30340.316667674299</v>
      </c>
    </row>
    <row r="51" spans="2:6" x14ac:dyDescent="0.2">
      <c r="B51" s="12">
        <v>47</v>
      </c>
      <c r="C51" s="12">
        <v>403.059275743142</v>
      </c>
      <c r="D51" s="17">
        <f t="shared" si="3"/>
        <v>382.16179822666066</v>
      </c>
      <c r="E51" s="18">
        <f t="shared" si="1"/>
        <v>20.897477516481331</v>
      </c>
      <c r="F51" s="17">
        <f t="shared" si="2"/>
        <v>436.70456655184273</v>
      </c>
    </row>
    <row r="52" spans="2:6" x14ac:dyDescent="0.2">
      <c r="B52" s="12">
        <v>48</v>
      </c>
      <c r="C52" s="12">
        <v>509.27323713102493</v>
      </c>
      <c r="D52" s="17">
        <f t="shared" si="3"/>
        <v>381.98389784593803</v>
      </c>
      <c r="E52" s="18">
        <f t="shared" si="1"/>
        <v>127.2893392850869</v>
      </c>
      <c r="F52" s="17">
        <f t="shared" si="2"/>
        <v>16202.575895633967</v>
      </c>
    </row>
    <row r="53" spans="2:6" x14ac:dyDescent="0.2">
      <c r="B53" s="12">
        <v>49</v>
      </c>
      <c r="C53" s="12">
        <v>444.25404120670635</v>
      </c>
      <c r="D53" s="17">
        <f t="shared" si="3"/>
        <v>381.80599746521546</v>
      </c>
      <c r="E53" s="18">
        <f t="shared" si="1"/>
        <v>62.448043741490892</v>
      </c>
      <c r="F53" s="17">
        <f t="shared" si="2"/>
        <v>3899.7581671391599</v>
      </c>
    </row>
    <row r="54" spans="2:6" x14ac:dyDescent="0.2">
      <c r="B54" s="12">
        <v>50</v>
      </c>
      <c r="C54" s="12">
        <v>421.89390229262995</v>
      </c>
      <c r="D54" s="17">
        <f t="shared" si="3"/>
        <v>381.62809708449282</v>
      </c>
      <c r="E54" s="18">
        <f t="shared" si="1"/>
        <v>40.265805208137124</v>
      </c>
      <c r="F54" s="17">
        <f t="shared" si="2"/>
        <v>1621.3350690596428</v>
      </c>
    </row>
    <row r="55" spans="2:6" x14ac:dyDescent="0.2">
      <c r="B55" s="12">
        <v>51</v>
      </c>
      <c r="C55" s="12">
        <v>375.07850107851357</v>
      </c>
      <c r="D55" s="17">
        <f t="shared" si="3"/>
        <v>381.45019670377025</v>
      </c>
      <c r="E55" s="18">
        <f t="shared" si="1"/>
        <v>6.3716956252566774</v>
      </c>
      <c r="F55" s="17">
        <f t="shared" si="2"/>
        <v>40.59850514091508</v>
      </c>
    </row>
    <row r="56" spans="2:6" x14ac:dyDescent="0.2">
      <c r="B56" s="12">
        <v>52</v>
      </c>
      <c r="C56" s="12">
        <v>658.69609265416204</v>
      </c>
      <c r="D56" s="17">
        <f t="shared" si="3"/>
        <v>381.27229632304761</v>
      </c>
      <c r="E56" s="18">
        <f t="shared" si="1"/>
        <v>277.42379633111443</v>
      </c>
      <c r="F56" s="17">
        <f t="shared" si="2"/>
        <v>76963.962770767655</v>
      </c>
    </row>
    <row r="57" spans="2:6" x14ac:dyDescent="0.2">
      <c r="B57" s="12">
        <v>53</v>
      </c>
      <c r="C57" s="12">
        <v>413.03262538972888</v>
      </c>
      <c r="D57" s="17">
        <f t="shared" si="3"/>
        <v>381.09439594232504</v>
      </c>
      <c r="E57" s="18">
        <f t="shared" si="1"/>
        <v>31.938229447403842</v>
      </c>
      <c r="F57" s="17">
        <f t="shared" si="2"/>
        <v>1020.0505002350139</v>
      </c>
    </row>
    <row r="58" spans="2:6" x14ac:dyDescent="0.2">
      <c r="B58" s="12">
        <v>54</v>
      </c>
      <c r="C58" s="12">
        <v>196.13343308593952</v>
      </c>
      <c r="D58" s="17">
        <f t="shared" si="3"/>
        <v>380.9164955616024</v>
      </c>
      <c r="E58" s="18">
        <f t="shared" si="1"/>
        <v>184.78306247566289</v>
      </c>
      <c r="F58" s="17">
        <f t="shared" si="2"/>
        <v>34144.780177884735</v>
      </c>
    </row>
    <row r="59" spans="2:6" x14ac:dyDescent="0.2">
      <c r="B59" s="12">
        <v>55</v>
      </c>
      <c r="C59" s="12">
        <v>421.89390229262995</v>
      </c>
      <c r="D59" s="17">
        <f t="shared" si="3"/>
        <v>380.73859518087983</v>
      </c>
      <c r="E59" s="18">
        <f t="shared" si="1"/>
        <v>41.155307111750119</v>
      </c>
      <c r="F59" s="17">
        <f t="shared" si="2"/>
        <v>1693.7593034624699</v>
      </c>
    </row>
    <row r="60" spans="2:6" x14ac:dyDescent="0.2">
      <c r="B60" s="12">
        <v>56</v>
      </c>
      <c r="C60" s="12">
        <v>376.43257508962733</v>
      </c>
      <c r="D60" s="17">
        <f t="shared" si="3"/>
        <v>380.56069480015719</v>
      </c>
      <c r="E60" s="18">
        <f t="shared" si="1"/>
        <v>4.1281197105298588</v>
      </c>
      <c r="F60" s="17">
        <f t="shared" si="2"/>
        <v>17.041372344465124</v>
      </c>
    </row>
    <row r="61" spans="2:6" x14ac:dyDescent="0.2">
      <c r="B61" s="12">
        <v>57</v>
      </c>
      <c r="C61" s="12">
        <v>343.46296259824163</v>
      </c>
      <c r="D61" s="17">
        <f t="shared" si="3"/>
        <v>380.38279441943456</v>
      </c>
      <c r="E61" s="18">
        <f t="shared" si="1"/>
        <v>36.919831821192929</v>
      </c>
      <c r="F61" s="17">
        <f t="shared" si="2"/>
        <v>1363.0739817051699</v>
      </c>
    </row>
    <row r="62" spans="2:6" x14ac:dyDescent="0.2">
      <c r="B62" s="12">
        <v>58</v>
      </c>
      <c r="C62" s="12">
        <v>368.92234500830153</v>
      </c>
      <c r="D62" s="17">
        <f t="shared" si="3"/>
        <v>380.20489403871198</v>
      </c>
      <c r="E62" s="18">
        <f t="shared" si="1"/>
        <v>11.282549030410451</v>
      </c>
      <c r="F62" s="17">
        <f t="shared" si="2"/>
        <v>127.29591262361579</v>
      </c>
    </row>
    <row r="63" spans="2:6" x14ac:dyDescent="0.2">
      <c r="B63" s="12">
        <v>59</v>
      </c>
      <c r="C63" s="12">
        <v>424.16808721597761</v>
      </c>
      <c r="D63" s="17">
        <f t="shared" si="3"/>
        <v>380.02699365798935</v>
      </c>
      <c r="E63" s="18">
        <f t="shared" si="1"/>
        <v>44.141093557988256</v>
      </c>
      <c r="F63" s="17">
        <f t="shared" si="2"/>
        <v>1948.4361404950723</v>
      </c>
    </row>
    <row r="64" spans="2:6" x14ac:dyDescent="0.2">
      <c r="B64" s="12">
        <v>60</v>
      </c>
      <c r="C64" s="12">
        <v>417.86221284621496</v>
      </c>
      <c r="D64" s="17">
        <f t="shared" si="3"/>
        <v>379.84909327726677</v>
      </c>
      <c r="E64" s="18">
        <f t="shared" si="1"/>
        <v>38.013119568948184</v>
      </c>
      <c r="F64" s="17">
        <f t="shared" si="2"/>
        <v>1444.9972593631514</v>
      </c>
    </row>
    <row r="65" spans="2:6" x14ac:dyDescent="0.2">
      <c r="B65" s="12">
        <v>61</v>
      </c>
      <c r="C65" s="12">
        <v>427.88738751195046</v>
      </c>
      <c r="D65" s="17">
        <f t="shared" si="3"/>
        <v>379.67119289654414</v>
      </c>
      <c r="E65" s="18">
        <f t="shared" si="1"/>
        <v>48.216194615406323</v>
      </c>
      <c r="F65" s="17">
        <f t="shared" si="2"/>
        <v>2324.8014231907378</v>
      </c>
    </row>
    <row r="66" spans="2:6" x14ac:dyDescent="0.2">
      <c r="B66" s="12">
        <v>62</v>
      </c>
      <c r="C66" s="12">
        <v>414.03754395404468</v>
      </c>
      <c r="D66" s="17">
        <f t="shared" si="3"/>
        <v>379.49329251582157</v>
      </c>
      <c r="E66" s="18">
        <f t="shared" si="1"/>
        <v>34.544251438223114</v>
      </c>
      <c r="F66" s="17">
        <f t="shared" si="2"/>
        <v>1193.3053074271797</v>
      </c>
    </row>
    <row r="67" spans="2:6" x14ac:dyDescent="0.2">
      <c r="B67" s="12">
        <v>63</v>
      </c>
      <c r="C67" s="12">
        <v>431.74607767275864</v>
      </c>
      <c r="D67" s="17">
        <f t="shared" si="3"/>
        <v>379.31539213509893</v>
      </c>
      <c r="E67" s="18">
        <f t="shared" si="1"/>
        <v>52.430685537659713</v>
      </c>
      <c r="F67" s="17">
        <f t="shared" si="2"/>
        <v>2748.9767859489593</v>
      </c>
    </row>
    <row r="68" spans="2:6" x14ac:dyDescent="0.2">
      <c r="B68" s="12">
        <v>64</v>
      </c>
      <c r="C68" s="12">
        <v>366.27327865446534</v>
      </c>
      <c r="D68" s="17">
        <f t="shared" si="3"/>
        <v>379.13749175437636</v>
      </c>
      <c r="E68" s="18">
        <f t="shared" si="1"/>
        <v>12.864213099911012</v>
      </c>
      <c r="F68" s="17">
        <f t="shared" si="2"/>
        <v>165.48797867992209</v>
      </c>
    </row>
    <row r="69" spans="2:6" x14ac:dyDescent="0.2">
      <c r="B69" s="12">
        <v>65</v>
      </c>
      <c r="C69" s="12">
        <v>421.89390229262995</v>
      </c>
      <c r="D69" s="17">
        <f t="shared" si="3"/>
        <v>378.95959137365372</v>
      </c>
      <c r="E69" s="18">
        <f t="shared" ref="E69:E132" si="4">IF(B69="","",ABS(C69-D69))</f>
        <v>42.934310918976223</v>
      </c>
      <c r="F69" s="17">
        <f t="shared" ref="F69:F132" si="5">IF(B69="","",E69^2)</f>
        <v>1843.3550540873209</v>
      </c>
    </row>
    <row r="70" spans="2:6" x14ac:dyDescent="0.2">
      <c r="B70" s="12">
        <v>66</v>
      </c>
      <c r="C70" s="12">
        <v>433.30368355640553</v>
      </c>
      <c r="D70" s="17">
        <f t="shared" si="3"/>
        <v>378.78169099293109</v>
      </c>
      <c r="E70" s="18">
        <f t="shared" si="4"/>
        <v>54.521992563474441</v>
      </c>
      <c r="F70" s="17">
        <f t="shared" si="5"/>
        <v>2972.6476730915624</v>
      </c>
    </row>
    <row r="71" spans="2:6" x14ac:dyDescent="0.2">
      <c r="B71" s="12">
        <v>67</v>
      </c>
      <c r="C71" s="12">
        <v>243.09022466998837</v>
      </c>
      <c r="D71" s="17">
        <f t="shared" si="3"/>
        <v>378.60379061220851</v>
      </c>
      <c r="E71" s="18">
        <f t="shared" si="4"/>
        <v>135.51356594222014</v>
      </c>
      <c r="F71" s="17">
        <f t="shared" si="5"/>
        <v>18363.926554376445</v>
      </c>
    </row>
    <row r="72" spans="2:6" x14ac:dyDescent="0.2">
      <c r="B72" s="12">
        <v>68</v>
      </c>
      <c r="C72" s="12">
        <v>521.30331359868694</v>
      </c>
      <c r="D72" s="17">
        <f t="shared" si="3"/>
        <v>378.42589023148588</v>
      </c>
      <c r="E72" s="18">
        <f t="shared" si="4"/>
        <v>142.87742336720106</v>
      </c>
      <c r="F72" s="17">
        <f t="shared" si="5"/>
        <v>20413.95810805041</v>
      </c>
    </row>
    <row r="73" spans="2:6" x14ac:dyDescent="0.2">
      <c r="B73" s="12">
        <v>69</v>
      </c>
      <c r="C73" s="12">
        <v>437.16488097468442</v>
      </c>
      <c r="D73" s="17">
        <f t="shared" si="3"/>
        <v>378.2479898507633</v>
      </c>
      <c r="E73" s="18">
        <f t="shared" si="4"/>
        <v>58.916891123921118</v>
      </c>
      <c r="F73" s="17">
        <f t="shared" si="5"/>
        <v>3471.200059707975</v>
      </c>
    </row>
    <row r="74" spans="2:6" x14ac:dyDescent="0.2">
      <c r="B74" s="12">
        <v>70</v>
      </c>
      <c r="C74" s="12">
        <v>408.4997340206512</v>
      </c>
      <c r="D74" s="17">
        <f t="shared" si="3"/>
        <v>378.07008947004067</v>
      </c>
      <c r="E74" s="18">
        <f t="shared" si="4"/>
        <v>30.429644550610533</v>
      </c>
      <c r="F74" s="17">
        <f t="shared" si="5"/>
        <v>925.9632674765013</v>
      </c>
    </row>
    <row r="75" spans="2:6" x14ac:dyDescent="0.2">
      <c r="B75" s="12">
        <v>71</v>
      </c>
      <c r="C75" s="12">
        <v>247.79554403381943</v>
      </c>
      <c r="D75" s="17">
        <f t="shared" si="3"/>
        <v>377.89218908931809</v>
      </c>
      <c r="E75" s="18">
        <f t="shared" si="4"/>
        <v>130.09664505549867</v>
      </c>
      <c r="F75" s="17">
        <f t="shared" si="5"/>
        <v>16925.137054696406</v>
      </c>
    </row>
    <row r="76" spans="2:6" x14ac:dyDescent="0.2">
      <c r="B76" s="12">
        <v>72</v>
      </c>
      <c r="C76" s="12">
        <v>415.60586798417364</v>
      </c>
      <c r="D76" s="17">
        <f t="shared" si="3"/>
        <v>377.71428870859546</v>
      </c>
      <c r="E76" s="18">
        <f t="shared" si="4"/>
        <v>37.891579275578181</v>
      </c>
      <c r="F76" s="17">
        <f t="shared" si="5"/>
        <v>1435.7717799974259</v>
      </c>
    </row>
    <row r="77" spans="2:6" x14ac:dyDescent="0.2">
      <c r="B77" s="12">
        <v>73</v>
      </c>
      <c r="C77" s="12">
        <v>364.91231951908082</v>
      </c>
      <c r="D77" s="17">
        <f t="shared" si="3"/>
        <v>377.53638832787288</v>
      </c>
      <c r="E77" s="18">
        <f t="shared" si="4"/>
        <v>12.62406880879206</v>
      </c>
      <c r="F77" s="17">
        <f t="shared" si="5"/>
        <v>159.36711328911659</v>
      </c>
    </row>
    <row r="78" spans="2:6" x14ac:dyDescent="0.2">
      <c r="B78" s="12">
        <v>74</v>
      </c>
      <c r="C78" s="12">
        <v>222.12702060335317</v>
      </c>
      <c r="D78" s="17">
        <f t="shared" si="3"/>
        <v>377.35848794715025</v>
      </c>
      <c r="E78" s="18">
        <f t="shared" si="4"/>
        <v>155.23146734379708</v>
      </c>
      <c r="F78" s="17">
        <f t="shared" si="5"/>
        <v>24096.808453708338</v>
      </c>
    </row>
    <row r="79" spans="2:6" x14ac:dyDescent="0.2">
      <c r="B79" s="12">
        <v>75</v>
      </c>
      <c r="C79" s="12">
        <v>421.89390229262995</v>
      </c>
      <c r="D79" s="17">
        <f t="shared" si="3"/>
        <v>377.18058756642762</v>
      </c>
      <c r="E79" s="18">
        <f t="shared" si="4"/>
        <v>44.713314726202327</v>
      </c>
      <c r="F79" s="17">
        <f t="shared" si="5"/>
        <v>1999.2805138044218</v>
      </c>
    </row>
    <row r="80" spans="2:6" x14ac:dyDescent="0.2">
      <c r="B80" s="12">
        <v>76</v>
      </c>
      <c r="C80" s="12">
        <v>288.41776436723245</v>
      </c>
      <c r="D80" s="17">
        <f t="shared" si="3"/>
        <v>377.00268718570504</v>
      </c>
      <c r="E80" s="18">
        <f t="shared" si="4"/>
        <v>88.584922818472592</v>
      </c>
      <c r="F80" s="17">
        <f t="shared" si="5"/>
        <v>7847.2885507547462</v>
      </c>
    </row>
    <row r="81" spans="2:6" x14ac:dyDescent="0.2">
      <c r="B81" s="12">
        <v>77</v>
      </c>
      <c r="C81" s="12">
        <v>348.16793468862852</v>
      </c>
      <c r="D81" s="17">
        <f t="shared" si="3"/>
        <v>376.82478680498241</v>
      </c>
      <c r="E81" s="18">
        <f t="shared" si="4"/>
        <v>28.656852116353889</v>
      </c>
      <c r="F81" s="17">
        <f t="shared" si="5"/>
        <v>821.21517321857641</v>
      </c>
    </row>
    <row r="82" spans="2:6" x14ac:dyDescent="0.2">
      <c r="B82" s="12">
        <v>78</v>
      </c>
      <c r="C82" s="12">
        <v>359.56561886678662</v>
      </c>
      <c r="D82" s="17">
        <f t="shared" ref="D82:D145" si="6">IF(B82="","",a+b*B82)</f>
        <v>376.64688642425983</v>
      </c>
      <c r="E82" s="18">
        <f t="shared" si="4"/>
        <v>17.081267557473211</v>
      </c>
      <c r="F82" s="17">
        <f t="shared" si="5"/>
        <v>291.76970136998682</v>
      </c>
    </row>
    <row r="83" spans="2:6" x14ac:dyDescent="0.2">
      <c r="B83" s="12">
        <v>79</v>
      </c>
      <c r="C83" s="12">
        <v>414.71587357328173</v>
      </c>
      <c r="D83" s="17">
        <f t="shared" si="6"/>
        <v>376.4689860435372</v>
      </c>
      <c r="E83" s="18">
        <f t="shared" si="4"/>
        <v>38.246887529744527</v>
      </c>
      <c r="F83" s="17">
        <f t="shared" si="5"/>
        <v>1462.8244057129273</v>
      </c>
    </row>
    <row r="84" spans="2:6" x14ac:dyDescent="0.2">
      <c r="B84" s="12">
        <v>80</v>
      </c>
      <c r="C84" s="12">
        <v>393.81446392616931</v>
      </c>
      <c r="D84" s="17">
        <f t="shared" si="6"/>
        <v>376.29108566281462</v>
      </c>
      <c r="E84" s="18">
        <f t="shared" si="4"/>
        <v>17.523378263354687</v>
      </c>
      <c r="F84" s="17">
        <f t="shared" si="5"/>
        <v>307.06878576061149</v>
      </c>
    </row>
    <row r="85" spans="2:6" x14ac:dyDescent="0.2">
      <c r="B85" s="12">
        <v>81</v>
      </c>
      <c r="C85" s="12">
        <v>243.09022466998837</v>
      </c>
      <c r="D85" s="17">
        <f t="shared" si="6"/>
        <v>376.11318528209199</v>
      </c>
      <c r="E85" s="18">
        <f t="shared" si="4"/>
        <v>133.02296061210362</v>
      </c>
      <c r="F85" s="17">
        <f t="shared" si="5"/>
        <v>17695.108050009268</v>
      </c>
    </row>
    <row r="86" spans="2:6" x14ac:dyDescent="0.2">
      <c r="B86" s="12">
        <v>82</v>
      </c>
      <c r="C86" s="12">
        <v>247.28490516860791</v>
      </c>
      <c r="D86" s="17">
        <f t="shared" si="6"/>
        <v>375.93528490136941</v>
      </c>
      <c r="E86" s="18">
        <f t="shared" si="4"/>
        <v>128.65037973276151</v>
      </c>
      <c r="F86" s="17">
        <f t="shared" si="5"/>
        <v>16550.920205383733</v>
      </c>
    </row>
    <row r="87" spans="2:6" x14ac:dyDescent="0.2">
      <c r="B87" s="12">
        <v>83</v>
      </c>
      <c r="C87" s="12">
        <v>413.53434686794475</v>
      </c>
      <c r="D87" s="17">
        <f t="shared" si="6"/>
        <v>375.75738452064678</v>
      </c>
      <c r="E87" s="18">
        <f t="shared" si="4"/>
        <v>37.776962347297967</v>
      </c>
      <c r="F87" s="17">
        <f t="shared" si="5"/>
        <v>1427.0988841891683</v>
      </c>
    </row>
    <row r="88" spans="2:6" x14ac:dyDescent="0.2">
      <c r="B88" s="12">
        <v>84</v>
      </c>
      <c r="C88" s="12">
        <v>408.4997340206512</v>
      </c>
      <c r="D88" s="17">
        <f t="shared" si="6"/>
        <v>375.57948413992415</v>
      </c>
      <c r="E88" s="18">
        <f t="shared" si="4"/>
        <v>32.920249880727056</v>
      </c>
      <c r="F88" s="17">
        <f t="shared" si="5"/>
        <v>1083.7428522095097</v>
      </c>
    </row>
    <row r="89" spans="2:6" x14ac:dyDescent="0.2">
      <c r="B89" s="12">
        <v>85</v>
      </c>
      <c r="C89" s="12">
        <v>188.21628754481367</v>
      </c>
      <c r="D89" s="17">
        <f t="shared" si="6"/>
        <v>375.40158375920157</v>
      </c>
      <c r="E89" s="18">
        <f t="shared" si="4"/>
        <v>187.1852962143879</v>
      </c>
      <c r="F89" s="17">
        <f t="shared" si="5"/>
        <v>35038.335118868141</v>
      </c>
    </row>
    <row r="90" spans="2:6" x14ac:dyDescent="0.2">
      <c r="B90" s="12">
        <v>86</v>
      </c>
      <c r="C90" s="12">
        <v>381.10273932133663</v>
      </c>
      <c r="D90" s="17">
        <f t="shared" si="6"/>
        <v>375.22368337847894</v>
      </c>
      <c r="E90" s="18">
        <f t="shared" si="4"/>
        <v>5.8790559428576898</v>
      </c>
      <c r="F90" s="17">
        <f t="shared" si="5"/>
        <v>34.563298779250317</v>
      </c>
    </row>
    <row r="91" spans="2:6" x14ac:dyDescent="0.2">
      <c r="B91" s="12">
        <v>87</v>
      </c>
      <c r="C91" s="12">
        <v>383.62577180211065</v>
      </c>
      <c r="D91" s="17">
        <f t="shared" si="6"/>
        <v>375.04578299775636</v>
      </c>
      <c r="E91" s="18">
        <f t="shared" si="4"/>
        <v>8.5799888043542865</v>
      </c>
      <c r="F91" s="17">
        <f t="shared" si="5"/>
        <v>73.616207882844904</v>
      </c>
    </row>
    <row r="92" spans="2:6" x14ac:dyDescent="0.2">
      <c r="B92" s="12">
        <v>88</v>
      </c>
      <c r="C92" s="12">
        <v>485.6074758935008</v>
      </c>
      <c r="D92" s="17">
        <f t="shared" si="6"/>
        <v>374.86788261703373</v>
      </c>
      <c r="E92" s="18">
        <f t="shared" si="4"/>
        <v>110.73959327646708</v>
      </c>
      <c r="F92" s="17">
        <f t="shared" si="5"/>
        <v>12263.257519037352</v>
      </c>
    </row>
    <row r="93" spans="2:6" x14ac:dyDescent="0.2">
      <c r="B93" s="12">
        <v>89</v>
      </c>
      <c r="C93" s="12">
        <v>421.89390229262995</v>
      </c>
      <c r="D93" s="17">
        <f t="shared" si="6"/>
        <v>374.68998223631115</v>
      </c>
      <c r="E93" s="18">
        <f t="shared" si="4"/>
        <v>47.203920056318793</v>
      </c>
      <c r="F93" s="17">
        <f t="shared" si="5"/>
        <v>2228.2100686833355</v>
      </c>
    </row>
    <row r="94" spans="2:6" x14ac:dyDescent="0.2">
      <c r="B94" s="12">
        <v>90</v>
      </c>
      <c r="C94" s="12">
        <v>320.91554063396285</v>
      </c>
      <c r="D94" s="17">
        <f t="shared" si="6"/>
        <v>374.51208185558852</v>
      </c>
      <c r="E94" s="18">
        <f t="shared" si="4"/>
        <v>53.596541221625671</v>
      </c>
      <c r="F94" s="17">
        <f t="shared" si="5"/>
        <v>2872.5892309214196</v>
      </c>
    </row>
    <row r="95" spans="2:6" x14ac:dyDescent="0.2">
      <c r="B95" s="12">
        <v>91</v>
      </c>
      <c r="C95" s="12">
        <v>319.93810214630724</v>
      </c>
      <c r="D95" s="17">
        <f t="shared" si="6"/>
        <v>374.33418147486594</v>
      </c>
      <c r="E95" s="18">
        <f t="shared" si="4"/>
        <v>54.396079328558699</v>
      </c>
      <c r="F95" s="17">
        <f t="shared" si="5"/>
        <v>2958.9334463188511</v>
      </c>
    </row>
    <row r="96" spans="2:6" x14ac:dyDescent="0.2">
      <c r="B96" s="12">
        <v>92</v>
      </c>
      <c r="C96" s="12">
        <v>371.59569533444864</v>
      </c>
      <c r="D96" s="17">
        <f t="shared" si="6"/>
        <v>374.15628109414331</v>
      </c>
      <c r="E96" s="18">
        <f t="shared" si="4"/>
        <v>2.5605857596946748</v>
      </c>
      <c r="F96" s="17">
        <f t="shared" si="5"/>
        <v>6.5565994327511552</v>
      </c>
    </row>
    <row r="97" spans="2:6" x14ac:dyDescent="0.2">
      <c r="B97" s="12">
        <v>93</v>
      </c>
      <c r="C97" s="12">
        <v>428.89419403732558</v>
      </c>
      <c r="D97" s="17">
        <f t="shared" si="6"/>
        <v>373.97838071342073</v>
      </c>
      <c r="E97" s="18">
        <f t="shared" si="4"/>
        <v>54.915813323904842</v>
      </c>
      <c r="F97" s="17">
        <f t="shared" si="5"/>
        <v>3015.7465530259647</v>
      </c>
    </row>
    <row r="98" spans="2:6" x14ac:dyDescent="0.2">
      <c r="B98" s="12">
        <v>94</v>
      </c>
      <c r="C98" s="12">
        <v>357.74524354522651</v>
      </c>
      <c r="D98" s="17">
        <f t="shared" si="6"/>
        <v>373.8004803326981</v>
      </c>
      <c r="E98" s="18">
        <f t="shared" si="4"/>
        <v>16.055236787471586</v>
      </c>
      <c r="F98" s="17">
        <f t="shared" si="5"/>
        <v>257.7706283017809</v>
      </c>
    </row>
    <row r="99" spans="2:6" x14ac:dyDescent="0.2">
      <c r="B99" s="12">
        <v>95</v>
      </c>
      <c r="C99" s="12">
        <v>322.26961464507662</v>
      </c>
      <c r="D99" s="17">
        <f t="shared" si="6"/>
        <v>373.62257995197547</v>
      </c>
      <c r="E99" s="18">
        <f t="shared" si="4"/>
        <v>51.352965306898852</v>
      </c>
      <c r="F99" s="17">
        <f t="shared" si="5"/>
        <v>2637.1270458115573</v>
      </c>
    </row>
    <row r="100" spans="2:6" x14ac:dyDescent="0.2">
      <c r="B100" s="12">
        <v>96</v>
      </c>
      <c r="C100" s="12">
        <v>351.30458274888639</v>
      </c>
      <c r="D100" s="17">
        <f t="shared" si="6"/>
        <v>373.44467957125289</v>
      </c>
      <c r="E100" s="18">
        <f t="shared" si="4"/>
        <v>22.140096822366502</v>
      </c>
      <c r="F100" s="17">
        <f t="shared" si="5"/>
        <v>490.18388730376324</v>
      </c>
    </row>
    <row r="101" spans="2:6" x14ac:dyDescent="0.2">
      <c r="B101" s="12">
        <v>97</v>
      </c>
      <c r="C101" s="12">
        <v>339.51549142068325</v>
      </c>
      <c r="D101" s="17">
        <f t="shared" si="6"/>
        <v>373.26677919053026</v>
      </c>
      <c r="E101" s="18">
        <f t="shared" si="4"/>
        <v>33.751287769847011</v>
      </c>
      <c r="F101" s="17">
        <f t="shared" si="5"/>
        <v>1139.1494261230243</v>
      </c>
    </row>
    <row r="102" spans="2:6" x14ac:dyDescent="0.2">
      <c r="B102" s="12">
        <v>98</v>
      </c>
      <c r="C102" s="12">
        <v>246.93908141542985</v>
      </c>
      <c r="D102" s="17">
        <f t="shared" si="6"/>
        <v>373.08887880980768</v>
      </c>
      <c r="E102" s="18">
        <f t="shared" si="4"/>
        <v>126.14979739437783</v>
      </c>
      <c r="F102" s="17">
        <f t="shared" si="5"/>
        <v>15913.771382642575</v>
      </c>
    </row>
    <row r="103" spans="2:6" x14ac:dyDescent="0.2">
      <c r="B103" s="12">
        <v>99</v>
      </c>
      <c r="C103" s="12">
        <v>421.89390229262995</v>
      </c>
      <c r="D103" s="17">
        <f t="shared" si="6"/>
        <v>372.91097842908505</v>
      </c>
      <c r="E103" s="18">
        <f t="shared" si="4"/>
        <v>48.982923863544897</v>
      </c>
      <c r="F103" s="17">
        <f t="shared" si="5"/>
        <v>2399.3268302218362</v>
      </c>
    </row>
    <row r="104" spans="2:6" x14ac:dyDescent="0.2">
      <c r="B104" s="12">
        <v>100</v>
      </c>
      <c r="C104" s="12">
        <v>268.10665420052595</v>
      </c>
      <c r="D104" s="17">
        <f t="shared" si="6"/>
        <v>372.73307804836247</v>
      </c>
      <c r="E104" s="18">
        <f t="shared" si="4"/>
        <v>104.62642384783652</v>
      </c>
      <c r="F104" s="17">
        <f t="shared" si="5"/>
        <v>10946.688567187135</v>
      </c>
    </row>
    <row r="105" spans="2:6" x14ac:dyDescent="0.2">
      <c r="B105" s="12">
        <v>101</v>
      </c>
      <c r="C105" s="12">
        <v>357.57787886940224</v>
      </c>
      <c r="D105" s="17">
        <f t="shared" si="6"/>
        <v>372.55517766763984</v>
      </c>
      <c r="E105" s="18">
        <f t="shared" si="4"/>
        <v>14.977298798237598</v>
      </c>
      <c r="F105" s="17">
        <f t="shared" si="5"/>
        <v>224.31947929168939</v>
      </c>
    </row>
    <row r="106" spans="2:6" x14ac:dyDescent="0.2">
      <c r="B106" s="12">
        <v>102</v>
      </c>
      <c r="C106" s="12">
        <v>383.62577180211065</v>
      </c>
      <c r="D106" s="17">
        <f t="shared" si="6"/>
        <v>372.37727728691721</v>
      </c>
      <c r="E106" s="18">
        <f t="shared" si="4"/>
        <v>11.248494515193443</v>
      </c>
      <c r="F106" s="17">
        <f t="shared" si="5"/>
        <v>126.52862885833696</v>
      </c>
    </row>
    <row r="107" spans="2:6" x14ac:dyDescent="0.2">
      <c r="B107" s="12">
        <v>103</v>
      </c>
      <c r="C107" s="12">
        <v>484.42594918816383</v>
      </c>
      <c r="D107" s="17">
        <f t="shared" si="6"/>
        <v>372.19937690619463</v>
      </c>
      <c r="E107" s="18">
        <f t="shared" si="4"/>
        <v>112.2265722819692</v>
      </c>
      <c r="F107" s="17">
        <f t="shared" si="5"/>
        <v>12594.803526160056</v>
      </c>
    </row>
    <row r="108" spans="2:6" x14ac:dyDescent="0.2">
      <c r="B108" s="12">
        <v>104</v>
      </c>
      <c r="C108" s="12">
        <v>414.90564058551064</v>
      </c>
      <c r="D108" s="17">
        <f t="shared" si="6"/>
        <v>372.021476525472</v>
      </c>
      <c r="E108" s="18">
        <f t="shared" si="4"/>
        <v>42.884164060038643</v>
      </c>
      <c r="F108" s="17">
        <f t="shared" si="5"/>
        <v>1839.05152712831</v>
      </c>
    </row>
    <row r="109" spans="2:6" x14ac:dyDescent="0.2">
      <c r="B109" s="12">
        <v>105</v>
      </c>
      <c r="C109" s="12">
        <v>293.83406041168752</v>
      </c>
      <c r="D109" s="17">
        <f t="shared" si="6"/>
        <v>371.84357614474942</v>
      </c>
      <c r="E109" s="18">
        <f t="shared" si="4"/>
        <v>78.009515733061903</v>
      </c>
      <c r="F109" s="17">
        <f t="shared" si="5"/>
        <v>6085.4845449068325</v>
      </c>
    </row>
    <row r="110" spans="2:6" x14ac:dyDescent="0.2">
      <c r="B110" s="12">
        <v>106</v>
      </c>
      <c r="C110" s="12">
        <v>337.18966647772578</v>
      </c>
      <c r="D110" s="17">
        <f t="shared" si="6"/>
        <v>371.66567576402679</v>
      </c>
      <c r="E110" s="18">
        <f t="shared" si="4"/>
        <v>34.476009286301007</v>
      </c>
      <c r="F110" s="17">
        <f t="shared" si="5"/>
        <v>1188.5952163091133</v>
      </c>
    </row>
    <row r="111" spans="2:6" x14ac:dyDescent="0.2">
      <c r="B111" s="12">
        <v>107</v>
      </c>
      <c r="C111" s="12">
        <v>171.0944208734152</v>
      </c>
      <c r="D111" s="17">
        <f t="shared" si="6"/>
        <v>371.48777538330421</v>
      </c>
      <c r="E111" s="18">
        <f t="shared" si="4"/>
        <v>200.39335450988901</v>
      </c>
      <c r="F111" s="17">
        <f t="shared" si="5"/>
        <v>40157.49653172605</v>
      </c>
    </row>
    <row r="112" spans="2:6" x14ac:dyDescent="0.2">
      <c r="B112" s="12">
        <v>108</v>
      </c>
      <c r="C112" s="12">
        <v>421.89390229262995</v>
      </c>
      <c r="D112" s="17">
        <f t="shared" si="6"/>
        <v>371.30987500258158</v>
      </c>
      <c r="E112" s="18">
        <f t="shared" si="4"/>
        <v>50.584027290048368</v>
      </c>
      <c r="F112" s="17">
        <f t="shared" si="5"/>
        <v>2558.7438168803583</v>
      </c>
    </row>
    <row r="113" spans="2:6" x14ac:dyDescent="0.2">
      <c r="B113" s="12">
        <v>109</v>
      </c>
      <c r="C113" s="12">
        <v>218.00591578931653</v>
      </c>
      <c r="D113" s="17">
        <f t="shared" si="6"/>
        <v>371.131974621859</v>
      </c>
      <c r="E113" s="18">
        <f t="shared" si="4"/>
        <v>153.12605883254247</v>
      </c>
      <c r="F113" s="17">
        <f t="shared" si="5"/>
        <v>23447.589893587257</v>
      </c>
    </row>
    <row r="114" spans="2:6" x14ac:dyDescent="0.2">
      <c r="B114" s="12">
        <v>110</v>
      </c>
      <c r="C114" s="12">
        <v>236.81692854947255</v>
      </c>
      <c r="D114" s="17">
        <f t="shared" si="6"/>
        <v>370.95407424113637</v>
      </c>
      <c r="E114" s="18">
        <f t="shared" si="4"/>
        <v>134.13714569166382</v>
      </c>
      <c r="F114" s="17">
        <f t="shared" si="5"/>
        <v>17992.773854306644</v>
      </c>
    </row>
    <row r="115" spans="2:6" x14ac:dyDescent="0.2">
      <c r="B115" s="12">
        <v>111</v>
      </c>
      <c r="C115" s="12">
        <v>394.31917310669905</v>
      </c>
      <c r="D115" s="17">
        <f t="shared" si="6"/>
        <v>370.77617386041379</v>
      </c>
      <c r="E115" s="18">
        <f t="shared" si="4"/>
        <v>23.542999246285262</v>
      </c>
      <c r="F115" s="17">
        <f t="shared" si="5"/>
        <v>554.27281351058843</v>
      </c>
    </row>
    <row r="116" spans="2:6" x14ac:dyDescent="0.2">
      <c r="B116" s="12">
        <v>112</v>
      </c>
      <c r="C116" s="12">
        <v>335.55358431570374</v>
      </c>
      <c r="D116" s="17">
        <f t="shared" si="6"/>
        <v>370.59827347969116</v>
      </c>
      <c r="E116" s="18">
        <f t="shared" si="4"/>
        <v>35.044689163987414</v>
      </c>
      <c r="F116" s="17">
        <f t="shared" si="5"/>
        <v>1228.1302386004968</v>
      </c>
    </row>
    <row r="117" spans="2:6" x14ac:dyDescent="0.2">
      <c r="B117" s="12">
        <v>113</v>
      </c>
      <c r="C117" s="12">
        <v>682</v>
      </c>
      <c r="D117" s="17">
        <f t="shared" si="6"/>
        <v>370.42037309896853</v>
      </c>
      <c r="E117" s="18">
        <f t="shared" si="4"/>
        <v>311.57962690103147</v>
      </c>
      <c r="F117" s="17">
        <f t="shared" si="5"/>
        <v>97081.863899785982</v>
      </c>
    </row>
    <row r="118" spans="2:6" x14ac:dyDescent="0.2">
      <c r="B118" s="12">
        <v>114</v>
      </c>
      <c r="C118" s="12">
        <v>206.96005824930458</v>
      </c>
      <c r="D118" s="17">
        <f t="shared" si="6"/>
        <v>370.24247271824595</v>
      </c>
      <c r="E118" s="18">
        <f t="shared" si="4"/>
        <v>163.28241446894137</v>
      </c>
      <c r="F118" s="17">
        <f t="shared" si="5"/>
        <v>26661.146874807153</v>
      </c>
    </row>
    <row r="119" spans="2:6" x14ac:dyDescent="0.2">
      <c r="B119" s="12">
        <v>115</v>
      </c>
      <c r="C119" s="12">
        <v>300.60443046725635</v>
      </c>
      <c r="D119" s="17">
        <f t="shared" si="6"/>
        <v>370.06457233752332</v>
      </c>
      <c r="E119" s="18">
        <f t="shared" si="4"/>
        <v>69.460141870266966</v>
      </c>
      <c r="F119" s="17">
        <f t="shared" si="5"/>
        <v>4824.7113086376139</v>
      </c>
    </row>
    <row r="120" spans="2:6" x14ac:dyDescent="0.2">
      <c r="B120" s="12">
        <v>116</v>
      </c>
      <c r="C120" s="12">
        <v>457.95061679765553</v>
      </c>
      <c r="D120" s="17">
        <f t="shared" si="6"/>
        <v>369.88667195680074</v>
      </c>
      <c r="E120" s="18">
        <f t="shared" si="4"/>
        <v>88.063944840854788</v>
      </c>
      <c r="F120" s="17">
        <f t="shared" si="5"/>
        <v>7755.2583809331145</v>
      </c>
    </row>
    <row r="121" spans="2:6" x14ac:dyDescent="0.2">
      <c r="B121" s="12">
        <v>117</v>
      </c>
      <c r="C121" s="12">
        <v>478.52970838033309</v>
      </c>
      <c r="D121" s="17">
        <f t="shared" si="6"/>
        <v>369.70877157607811</v>
      </c>
      <c r="E121" s="18">
        <f t="shared" si="4"/>
        <v>108.82093680425498</v>
      </c>
      <c r="F121" s="17">
        <f t="shared" si="5"/>
        <v>11841.996286955657</v>
      </c>
    </row>
    <row r="122" spans="2:6" x14ac:dyDescent="0.2">
      <c r="B122" s="12">
        <v>118</v>
      </c>
      <c r="C122" s="12">
        <v>380.90505958741056</v>
      </c>
      <c r="D122" s="17">
        <f t="shared" si="6"/>
        <v>369.53087119535553</v>
      </c>
      <c r="E122" s="18">
        <f t="shared" si="4"/>
        <v>11.374188392055032</v>
      </c>
      <c r="F122" s="17">
        <f t="shared" si="5"/>
        <v>129.37216157795945</v>
      </c>
    </row>
    <row r="123" spans="2:6" x14ac:dyDescent="0.2">
      <c r="B123" s="12">
        <v>119</v>
      </c>
      <c r="C123" s="12">
        <v>227.48443386711293</v>
      </c>
      <c r="D123" s="17">
        <f t="shared" si="6"/>
        <v>369.3529708146329</v>
      </c>
      <c r="E123" s="18">
        <f t="shared" si="4"/>
        <v>141.86853694751997</v>
      </c>
      <c r="F123" s="17">
        <f t="shared" si="5"/>
        <v>20126.681775629841</v>
      </c>
    </row>
    <row r="124" spans="2:6" x14ac:dyDescent="0.2">
      <c r="B124" s="12">
        <v>120</v>
      </c>
      <c r="C124" s="12">
        <v>188.19888361547487</v>
      </c>
      <c r="D124" s="17">
        <f t="shared" si="6"/>
        <v>369.17507043391032</v>
      </c>
      <c r="E124" s="18">
        <f t="shared" si="4"/>
        <v>180.97618681843545</v>
      </c>
      <c r="F124" s="17">
        <f t="shared" si="5"/>
        <v>32752.380195341251</v>
      </c>
    </row>
    <row r="125" spans="2:6" x14ac:dyDescent="0.2">
      <c r="B125" s="12">
        <v>121</v>
      </c>
      <c r="C125" s="12">
        <v>356.89226854063952</v>
      </c>
      <c r="D125" s="17">
        <f t="shared" si="6"/>
        <v>368.99717005318769</v>
      </c>
      <c r="E125" s="18">
        <f t="shared" si="4"/>
        <v>12.104901512548167</v>
      </c>
      <c r="F125" s="17">
        <f t="shared" si="5"/>
        <v>146.5286406284909</v>
      </c>
    </row>
    <row r="126" spans="2:6" x14ac:dyDescent="0.2">
      <c r="B126" s="12">
        <v>122</v>
      </c>
      <c r="C126" s="12">
        <v>395.81144628788996</v>
      </c>
      <c r="D126" s="17">
        <f t="shared" si="6"/>
        <v>368.81926967246505</v>
      </c>
      <c r="E126" s="18">
        <f t="shared" si="4"/>
        <v>26.99217661542491</v>
      </c>
      <c r="F126" s="17">
        <f t="shared" si="5"/>
        <v>728.57759843829137</v>
      </c>
    </row>
    <row r="127" spans="2:6" x14ac:dyDescent="0.2">
      <c r="B127" s="12">
        <v>123</v>
      </c>
      <c r="C127" s="12">
        <v>384.84715593501636</v>
      </c>
      <c r="D127" s="17">
        <f t="shared" si="6"/>
        <v>368.64136929174248</v>
      </c>
      <c r="E127" s="18">
        <f t="shared" si="4"/>
        <v>16.205786643273882</v>
      </c>
      <c r="F127" s="17">
        <f t="shared" si="5"/>
        <v>262.62752072731416</v>
      </c>
    </row>
    <row r="128" spans="2:6" x14ac:dyDescent="0.2">
      <c r="B128" s="12">
        <v>124</v>
      </c>
      <c r="C128" s="12">
        <v>220.71406381154409</v>
      </c>
      <c r="D128" s="17">
        <f t="shared" si="6"/>
        <v>368.46346891101985</v>
      </c>
      <c r="E128" s="18">
        <f t="shared" si="4"/>
        <v>147.74940509947575</v>
      </c>
      <c r="F128" s="17">
        <f t="shared" si="5"/>
        <v>21829.886707248992</v>
      </c>
    </row>
    <row r="129" spans="2:6" x14ac:dyDescent="0.2">
      <c r="B129" s="12">
        <v>125</v>
      </c>
      <c r="C129" s="12">
        <v>330.91637035720998</v>
      </c>
      <c r="D129" s="17">
        <f t="shared" si="6"/>
        <v>368.28556853029727</v>
      </c>
      <c r="E129" s="18">
        <f t="shared" si="4"/>
        <v>37.369198173087284</v>
      </c>
      <c r="F129" s="17">
        <f t="shared" si="5"/>
        <v>1396.45697209947</v>
      </c>
    </row>
    <row r="130" spans="2:6" x14ac:dyDescent="0.2">
      <c r="B130" s="12">
        <v>126</v>
      </c>
      <c r="C130" s="12">
        <v>364.91231951908082</v>
      </c>
      <c r="D130" s="17">
        <f t="shared" si="6"/>
        <v>368.10766814957464</v>
      </c>
      <c r="E130" s="18">
        <f t="shared" si="4"/>
        <v>3.195348630493811</v>
      </c>
      <c r="F130" s="17">
        <f t="shared" si="5"/>
        <v>10.210252870398673</v>
      </c>
    </row>
    <row r="131" spans="2:6" x14ac:dyDescent="0.2">
      <c r="B131" s="12">
        <v>127</v>
      </c>
      <c r="C131" s="12">
        <v>411.17129345727079</v>
      </c>
      <c r="D131" s="17">
        <f t="shared" si="6"/>
        <v>367.92976776885206</v>
      </c>
      <c r="E131" s="18">
        <f t="shared" si="4"/>
        <v>43.241525688418733</v>
      </c>
      <c r="F131" s="17">
        <f t="shared" si="5"/>
        <v>1869.8295438621772</v>
      </c>
    </row>
    <row r="132" spans="2:6" x14ac:dyDescent="0.2">
      <c r="B132" s="12">
        <v>128</v>
      </c>
      <c r="C132" s="12">
        <v>313.39665963466121</v>
      </c>
      <c r="D132" s="17">
        <f t="shared" si="6"/>
        <v>367.75186738812943</v>
      </c>
      <c r="E132" s="18">
        <f t="shared" si="4"/>
        <v>54.355207753468221</v>
      </c>
      <c r="F132" s="17">
        <f t="shared" si="5"/>
        <v>2954.4886099226919</v>
      </c>
    </row>
    <row r="133" spans="2:6" x14ac:dyDescent="0.2">
      <c r="B133" s="12">
        <v>129</v>
      </c>
      <c r="C133" s="12">
        <v>373.7244270673998</v>
      </c>
      <c r="D133" s="17">
        <f t="shared" si="6"/>
        <v>367.57396700740685</v>
      </c>
      <c r="E133" s="18">
        <f t="shared" ref="E133:E196" si="7">IF(B133="","",ABS(C133-D133))</f>
        <v>6.1504600599929518</v>
      </c>
      <c r="F133" s="17">
        <f t="shared" ref="F133:F196" si="8">IF(B133="","",E133^2)</f>
        <v>37.828158949568504</v>
      </c>
    </row>
    <row r="134" spans="2:6" x14ac:dyDescent="0.2">
      <c r="B134" s="12">
        <v>130</v>
      </c>
      <c r="C134" s="12">
        <v>283.86664945334127</v>
      </c>
      <c r="D134" s="17">
        <f t="shared" si="6"/>
        <v>367.39606662668422</v>
      </c>
      <c r="E134" s="18">
        <f t="shared" si="7"/>
        <v>83.529417173342949</v>
      </c>
      <c r="F134" s="17">
        <f t="shared" si="8"/>
        <v>6977.1635333183604</v>
      </c>
    </row>
    <row r="135" spans="2:6" x14ac:dyDescent="0.2">
      <c r="B135" s="12">
        <v>131</v>
      </c>
      <c r="C135" s="12">
        <v>459.81625609730332</v>
      </c>
      <c r="D135" s="17">
        <f t="shared" si="6"/>
        <v>367.21816624596158</v>
      </c>
      <c r="E135" s="18">
        <f t="shared" si="7"/>
        <v>92.59808985134174</v>
      </c>
      <c r="F135" s="17">
        <f t="shared" si="8"/>
        <v>8574.4062441171573</v>
      </c>
    </row>
    <row r="136" spans="2:6" x14ac:dyDescent="0.2">
      <c r="B136" s="12">
        <v>132</v>
      </c>
      <c r="C136" s="12">
        <v>674.65174874741842</v>
      </c>
      <c r="D136" s="17">
        <f t="shared" si="6"/>
        <v>367.04026586523901</v>
      </c>
      <c r="E136" s="18">
        <f t="shared" si="7"/>
        <v>307.61148288217942</v>
      </c>
      <c r="F136" s="17">
        <f t="shared" si="8"/>
        <v>94624.824400973361</v>
      </c>
    </row>
    <row r="137" spans="2:6" x14ac:dyDescent="0.2">
      <c r="B137" s="12">
        <v>133</v>
      </c>
      <c r="C137" s="12">
        <v>421.89390229262995</v>
      </c>
      <c r="D137" s="17">
        <f t="shared" si="6"/>
        <v>366.86236548451637</v>
      </c>
      <c r="E137" s="18">
        <f t="shared" si="7"/>
        <v>55.031536808113572</v>
      </c>
      <c r="F137" s="17">
        <f t="shared" si="8"/>
        <v>3028.4700434627589</v>
      </c>
    </row>
    <row r="138" spans="2:6" x14ac:dyDescent="0.2">
      <c r="B138" s="12">
        <v>134</v>
      </c>
      <c r="C138" s="12">
        <v>223.42221183377163</v>
      </c>
      <c r="D138" s="17">
        <f t="shared" si="6"/>
        <v>366.6844651037938</v>
      </c>
      <c r="E138" s="18">
        <f t="shared" si="7"/>
        <v>143.26225327002217</v>
      </c>
      <c r="F138" s="17">
        <f t="shared" si="8"/>
        <v>20524.073212003979</v>
      </c>
    </row>
    <row r="139" spans="2:6" x14ac:dyDescent="0.2">
      <c r="B139" s="12">
        <v>135</v>
      </c>
      <c r="C139" s="12">
        <v>243.09022466998837</v>
      </c>
      <c r="D139" s="17">
        <f t="shared" si="6"/>
        <v>366.50656472307116</v>
      </c>
      <c r="E139" s="18">
        <f t="shared" si="7"/>
        <v>123.41634005308279</v>
      </c>
      <c r="F139" s="17">
        <f t="shared" si="8"/>
        <v>15231.592992098167</v>
      </c>
    </row>
    <row r="140" spans="2:6" x14ac:dyDescent="0.2">
      <c r="B140" s="12">
        <v>136</v>
      </c>
      <c r="C140" s="12">
        <v>378.27907114981639</v>
      </c>
      <c r="D140" s="17">
        <f t="shared" si="6"/>
        <v>366.32866434234859</v>
      </c>
      <c r="E140" s="18">
        <f t="shared" si="7"/>
        <v>11.9504068074678</v>
      </c>
      <c r="F140" s="17">
        <f t="shared" si="8"/>
        <v>142.81222286397275</v>
      </c>
    </row>
    <row r="141" spans="2:6" x14ac:dyDescent="0.2">
      <c r="B141" s="12">
        <v>137</v>
      </c>
      <c r="C141" s="12">
        <v>488.82071801207002</v>
      </c>
      <c r="D141" s="17">
        <f t="shared" si="6"/>
        <v>366.15076396162596</v>
      </c>
      <c r="E141" s="18">
        <f t="shared" si="7"/>
        <v>122.66995405044406</v>
      </c>
      <c r="F141" s="17">
        <f t="shared" si="8"/>
        <v>15047.917626738057</v>
      </c>
    </row>
    <row r="142" spans="2:6" x14ac:dyDescent="0.2">
      <c r="B142" s="12">
        <v>138</v>
      </c>
      <c r="C142" s="12">
        <v>876.69281536004291</v>
      </c>
      <c r="D142" s="17">
        <f t="shared" si="6"/>
        <v>365.97286358090338</v>
      </c>
      <c r="E142" s="18">
        <f t="shared" si="7"/>
        <v>510.71995177913954</v>
      </c>
      <c r="F142" s="17">
        <f t="shared" si="8"/>
        <v>260834.86914528662</v>
      </c>
    </row>
    <row r="143" spans="2:6" x14ac:dyDescent="0.2">
      <c r="B143" s="12">
        <v>139</v>
      </c>
      <c r="C143" s="12">
        <v>241.02517397825059</v>
      </c>
      <c r="D143" s="17">
        <f t="shared" si="6"/>
        <v>365.79496320018075</v>
      </c>
      <c r="E143" s="18">
        <f t="shared" si="7"/>
        <v>124.76978922193015</v>
      </c>
      <c r="F143" s="17">
        <f t="shared" si="8"/>
        <v>15567.500302484877</v>
      </c>
    </row>
    <row r="144" spans="2:6" x14ac:dyDescent="0.2">
      <c r="B144" s="12">
        <v>140</v>
      </c>
      <c r="C144" s="12">
        <v>241.52190063985941</v>
      </c>
      <c r="D144" s="17">
        <f t="shared" si="6"/>
        <v>365.61706281945817</v>
      </c>
      <c r="E144" s="18">
        <f t="shared" si="7"/>
        <v>124.09516217959876</v>
      </c>
      <c r="F144" s="17">
        <f t="shared" si="8"/>
        <v>15399.609276380917</v>
      </c>
    </row>
    <row r="145" spans="2:6" x14ac:dyDescent="0.2">
      <c r="B145" s="12">
        <v>141</v>
      </c>
      <c r="C145" s="12">
        <v>336.84214109453615</v>
      </c>
      <c r="D145" s="17">
        <f t="shared" si="6"/>
        <v>365.43916243873554</v>
      </c>
      <c r="E145" s="18">
        <f t="shared" si="7"/>
        <v>28.597021344199391</v>
      </c>
      <c r="F145" s="17">
        <f t="shared" si="8"/>
        <v>817.78962976059552</v>
      </c>
    </row>
    <row r="146" spans="2:6" x14ac:dyDescent="0.2">
      <c r="B146" s="12">
        <v>142</v>
      </c>
      <c r="C146" s="12">
        <v>321.37526385165989</v>
      </c>
      <c r="D146" s="17">
        <f t="shared" ref="D146:D209" si="9">IF(B146="","",a+b*B146)</f>
        <v>365.2612620580129</v>
      </c>
      <c r="E146" s="18">
        <f t="shared" si="7"/>
        <v>43.885998206353008</v>
      </c>
      <c r="F146" s="17">
        <f t="shared" si="8"/>
        <v>1925.9808385680194</v>
      </c>
    </row>
    <row r="147" spans="2:6" x14ac:dyDescent="0.2">
      <c r="B147" s="12">
        <v>143</v>
      </c>
      <c r="C147" s="12">
        <v>383.86163184811494</v>
      </c>
      <c r="D147" s="17">
        <f t="shared" si="9"/>
        <v>365.08336167729033</v>
      </c>
      <c r="E147" s="18">
        <f t="shared" si="7"/>
        <v>18.778270170824612</v>
      </c>
      <c r="F147" s="17">
        <f t="shared" si="8"/>
        <v>352.62343060848139</v>
      </c>
    </row>
    <row r="148" spans="2:6" x14ac:dyDescent="0.2">
      <c r="B148" s="12">
        <v>144</v>
      </c>
      <c r="C148" s="12">
        <v>296.54220843391505</v>
      </c>
      <c r="D148" s="17">
        <f t="shared" si="9"/>
        <v>364.90546129656769</v>
      </c>
      <c r="E148" s="18">
        <f t="shared" si="7"/>
        <v>68.363252862652644</v>
      </c>
      <c r="F148" s="17">
        <f t="shared" si="8"/>
        <v>4673.5343419629853</v>
      </c>
    </row>
    <row r="149" spans="2:6" x14ac:dyDescent="0.2">
      <c r="B149" s="12">
        <v>145</v>
      </c>
      <c r="C149" s="12">
        <v>211.72374406740923</v>
      </c>
      <c r="D149" s="17">
        <f t="shared" si="9"/>
        <v>364.72756091584512</v>
      </c>
      <c r="E149" s="18">
        <f t="shared" si="7"/>
        <v>153.00381684843589</v>
      </c>
      <c r="F149" s="17">
        <f t="shared" si="8"/>
        <v>23410.167970189716</v>
      </c>
    </row>
    <row r="150" spans="2:6" x14ac:dyDescent="0.2">
      <c r="B150" s="12">
        <v>146</v>
      </c>
      <c r="C150" s="12">
        <v>375.60572082366929</v>
      </c>
      <c r="D150" s="17">
        <f t="shared" si="9"/>
        <v>364.54966053512248</v>
      </c>
      <c r="E150" s="18">
        <f t="shared" si="7"/>
        <v>11.056060288546803</v>
      </c>
      <c r="F150" s="17">
        <f t="shared" si="8"/>
        <v>122.23646910398162</v>
      </c>
    </row>
    <row r="151" spans="2:6" x14ac:dyDescent="0.2">
      <c r="B151" s="12">
        <v>147</v>
      </c>
      <c r="C151" s="12">
        <v>482.06289577748987</v>
      </c>
      <c r="D151" s="17">
        <f t="shared" si="9"/>
        <v>364.37176015439991</v>
      </c>
      <c r="E151" s="18">
        <f t="shared" si="7"/>
        <v>117.69113562308996</v>
      </c>
      <c r="F151" s="17">
        <f t="shared" si="8"/>
        <v>13851.203404252556</v>
      </c>
    </row>
    <row r="152" spans="2:6" x14ac:dyDescent="0.2">
      <c r="B152" s="12">
        <v>148</v>
      </c>
      <c r="C152" s="12">
        <v>728.49181797920687</v>
      </c>
      <c r="D152" s="17">
        <f t="shared" si="9"/>
        <v>364.19385977367727</v>
      </c>
      <c r="E152" s="18">
        <f t="shared" si="7"/>
        <v>364.2979582055296</v>
      </c>
      <c r="F152" s="17">
        <f t="shared" si="8"/>
        <v>132713.0023527178</v>
      </c>
    </row>
    <row r="153" spans="2:6" x14ac:dyDescent="0.2">
      <c r="B153" s="12">
        <v>149</v>
      </c>
      <c r="C153" s="12">
        <v>759.06883058241533</v>
      </c>
      <c r="D153" s="17">
        <f t="shared" si="9"/>
        <v>364.01595939295464</v>
      </c>
      <c r="E153" s="18">
        <f t="shared" si="7"/>
        <v>395.05287118946069</v>
      </c>
      <c r="F153" s="17">
        <f t="shared" si="8"/>
        <v>156066.77103503663</v>
      </c>
    </row>
    <row r="154" spans="2:6" x14ac:dyDescent="0.2">
      <c r="B154" s="12">
        <v>150</v>
      </c>
      <c r="C154" s="12">
        <v>302.08858685462371</v>
      </c>
      <c r="D154" s="17">
        <f t="shared" si="9"/>
        <v>363.83805901223207</v>
      </c>
      <c r="E154" s="18">
        <f t="shared" si="7"/>
        <v>61.749472157608352</v>
      </c>
      <c r="F154" s="17">
        <f t="shared" si="8"/>
        <v>3812.9973117432492</v>
      </c>
    </row>
    <row r="155" spans="2:6" x14ac:dyDescent="0.2">
      <c r="B155" s="12">
        <v>151</v>
      </c>
      <c r="C155" s="12">
        <v>330.82747749435578</v>
      </c>
      <c r="D155" s="17">
        <f t="shared" si="9"/>
        <v>363.66015863150943</v>
      </c>
      <c r="E155" s="18">
        <f t="shared" si="7"/>
        <v>32.832681137153656</v>
      </c>
      <c r="F155" s="17">
        <f t="shared" si="8"/>
        <v>1077.9849506540056</v>
      </c>
    </row>
    <row r="156" spans="2:6" x14ac:dyDescent="0.2">
      <c r="B156" s="12">
        <v>152</v>
      </c>
      <c r="C156" s="12">
        <v>421.89390229262995</v>
      </c>
      <c r="D156" s="17">
        <f t="shared" si="9"/>
        <v>363.48225825078686</v>
      </c>
      <c r="E156" s="18">
        <f t="shared" si="7"/>
        <v>58.41164404184309</v>
      </c>
      <c r="F156" s="17">
        <f t="shared" si="8"/>
        <v>3411.9201596709831</v>
      </c>
    </row>
    <row r="157" spans="2:6" x14ac:dyDescent="0.2">
      <c r="B157" s="12">
        <v>153</v>
      </c>
      <c r="C157" s="12">
        <v>238.31702595602306</v>
      </c>
      <c r="D157" s="17">
        <f t="shared" si="9"/>
        <v>363.30435787006422</v>
      </c>
      <c r="E157" s="18">
        <f t="shared" si="7"/>
        <v>124.98733191404116</v>
      </c>
      <c r="F157" s="17">
        <f t="shared" si="8"/>
        <v>15621.833138990693</v>
      </c>
    </row>
    <row r="158" spans="2:6" x14ac:dyDescent="0.2">
      <c r="B158" s="12">
        <v>154</v>
      </c>
      <c r="C158" s="12">
        <v>277.59335333282542</v>
      </c>
      <c r="D158" s="17">
        <f t="shared" si="9"/>
        <v>363.12645748934165</v>
      </c>
      <c r="E158" s="18">
        <f t="shared" si="7"/>
        <v>85.533104156516231</v>
      </c>
      <c r="F158" s="17">
        <f t="shared" si="8"/>
        <v>7315.9119066494541</v>
      </c>
    </row>
    <row r="159" spans="2:6" x14ac:dyDescent="0.2">
      <c r="B159" s="12">
        <v>155</v>
      </c>
      <c r="C159" s="12">
        <v>383.62577180211065</v>
      </c>
      <c r="D159" s="17">
        <f t="shared" si="9"/>
        <v>362.94855710861901</v>
      </c>
      <c r="E159" s="18">
        <f t="shared" si="7"/>
        <v>20.677214693491635</v>
      </c>
      <c r="F159" s="17">
        <f t="shared" si="8"/>
        <v>427.54720748074635</v>
      </c>
    </row>
    <row r="160" spans="2:6" x14ac:dyDescent="0.2">
      <c r="B160" s="12">
        <v>156</v>
      </c>
      <c r="C160" s="12">
        <v>407.6267133412598</v>
      </c>
      <c r="D160" s="17">
        <f t="shared" si="9"/>
        <v>362.77065672789644</v>
      </c>
      <c r="E160" s="18">
        <f t="shared" si="7"/>
        <v>44.856056613363364</v>
      </c>
      <c r="F160" s="17">
        <f t="shared" si="8"/>
        <v>2012.0658149012593</v>
      </c>
    </row>
    <row r="161" spans="2:6" x14ac:dyDescent="0.2">
      <c r="B161" s="12">
        <v>157</v>
      </c>
      <c r="C161" s="12">
        <v>312.41113554775978</v>
      </c>
      <c r="D161" s="17">
        <f t="shared" si="9"/>
        <v>362.5927563471738</v>
      </c>
      <c r="E161" s="18">
        <f t="shared" si="7"/>
        <v>50.18162079941402</v>
      </c>
      <c r="F161" s="17">
        <f t="shared" si="8"/>
        <v>2518.195066056182</v>
      </c>
    </row>
    <row r="162" spans="2:6" x14ac:dyDescent="0.2">
      <c r="B162" s="12">
        <v>158</v>
      </c>
      <c r="C162" s="12">
        <v>522.67256828991424</v>
      </c>
      <c r="D162" s="17">
        <f t="shared" si="9"/>
        <v>362.41485596645123</v>
      </c>
      <c r="E162" s="18">
        <f t="shared" si="7"/>
        <v>160.25771232346301</v>
      </c>
      <c r="F162" s="17">
        <f t="shared" si="8"/>
        <v>25682.534359149828</v>
      </c>
    </row>
    <row r="163" spans="2:6" x14ac:dyDescent="0.2">
      <c r="B163" s="12">
        <v>159</v>
      </c>
      <c r="C163" s="12">
        <v>207.01877197702234</v>
      </c>
      <c r="D163" s="17">
        <f t="shared" si="9"/>
        <v>362.23695558572859</v>
      </c>
      <c r="E163" s="18">
        <f t="shared" si="7"/>
        <v>155.21818360870625</v>
      </c>
      <c r="F163" s="17">
        <f t="shared" si="8"/>
        <v>24092.684522786047</v>
      </c>
    </row>
    <row r="164" spans="2:6" x14ac:dyDescent="0.2">
      <c r="B164" s="12">
        <v>160</v>
      </c>
      <c r="C164" s="12">
        <v>481.20305870648025</v>
      </c>
      <c r="D164" s="17">
        <f t="shared" si="9"/>
        <v>362.05905520500596</v>
      </c>
      <c r="E164" s="18">
        <f t="shared" si="7"/>
        <v>119.14400350147429</v>
      </c>
      <c r="F164" s="17">
        <f t="shared" si="8"/>
        <v>14195.293570359318</v>
      </c>
    </row>
    <row r="165" spans="2:6" x14ac:dyDescent="0.2">
      <c r="B165" s="12">
        <v>161</v>
      </c>
      <c r="C165" s="12">
        <v>180.77358591655872</v>
      </c>
      <c r="D165" s="17">
        <f t="shared" si="9"/>
        <v>361.88115482428339</v>
      </c>
      <c r="E165" s="18">
        <f t="shared" si="7"/>
        <v>181.10756890772467</v>
      </c>
      <c r="F165" s="17">
        <f t="shared" si="8"/>
        <v>32799.951515666238</v>
      </c>
    </row>
    <row r="166" spans="2:6" x14ac:dyDescent="0.2">
      <c r="B166" s="12">
        <v>162</v>
      </c>
      <c r="C166" s="12">
        <v>421.89390229262995</v>
      </c>
      <c r="D166" s="17">
        <f t="shared" si="9"/>
        <v>361.70325444356075</v>
      </c>
      <c r="E166" s="18">
        <f t="shared" si="7"/>
        <v>60.190647849069194</v>
      </c>
      <c r="F166" s="17">
        <f t="shared" si="8"/>
        <v>3622.9140884906578</v>
      </c>
    </row>
    <row r="167" spans="2:6" x14ac:dyDescent="0.2">
      <c r="B167" s="12">
        <v>163</v>
      </c>
      <c r="C167" s="12">
        <v>277.58517227832232</v>
      </c>
      <c r="D167" s="17">
        <f t="shared" si="9"/>
        <v>361.52535406283818</v>
      </c>
      <c r="E167" s="18">
        <f t="shared" si="7"/>
        <v>83.940181784515858</v>
      </c>
      <c r="F167" s="17">
        <f t="shared" si="8"/>
        <v>7045.9541180175675</v>
      </c>
    </row>
    <row r="168" spans="2:6" x14ac:dyDescent="0.2">
      <c r="B168" s="12">
        <v>164</v>
      </c>
      <c r="C168" s="12">
        <v>312.09648199566249</v>
      </c>
      <c r="D168" s="17">
        <f t="shared" si="9"/>
        <v>361.34745368211554</v>
      </c>
      <c r="E168" s="18">
        <f t="shared" si="7"/>
        <v>49.250971686453056</v>
      </c>
      <c r="F168" s="17">
        <f t="shared" si="8"/>
        <v>2425.6582120598005</v>
      </c>
    </row>
    <row r="169" spans="2:6" x14ac:dyDescent="0.2">
      <c r="B169" s="12">
        <v>165</v>
      </c>
      <c r="C169" s="12">
        <v>327.48541495302129</v>
      </c>
      <c r="D169" s="17">
        <f t="shared" si="9"/>
        <v>361.16955330139297</v>
      </c>
      <c r="E169" s="18">
        <f t="shared" si="7"/>
        <v>33.684138348371675</v>
      </c>
      <c r="F169" s="17">
        <f t="shared" si="8"/>
        <v>1134.6211762722432</v>
      </c>
    </row>
    <row r="170" spans="2:6" x14ac:dyDescent="0.2">
      <c r="B170" s="12">
        <v>166</v>
      </c>
      <c r="C170" s="12">
        <v>365.09175194912837</v>
      </c>
      <c r="D170" s="17">
        <f t="shared" si="9"/>
        <v>360.99165292067033</v>
      </c>
      <c r="E170" s="18">
        <f t="shared" si="7"/>
        <v>4.1000990284580325</v>
      </c>
      <c r="F170" s="17">
        <f t="shared" si="8"/>
        <v>16.810812043162503</v>
      </c>
    </row>
    <row r="171" spans="2:6" x14ac:dyDescent="0.2">
      <c r="B171" s="12">
        <v>167</v>
      </c>
      <c r="C171" s="12">
        <v>421.89390229262995</v>
      </c>
      <c r="D171" s="17">
        <f t="shared" si="9"/>
        <v>360.8137525399477</v>
      </c>
      <c r="E171" s="18">
        <f t="shared" si="7"/>
        <v>61.080149752682246</v>
      </c>
      <c r="F171" s="17">
        <f t="shared" si="8"/>
        <v>3730.7846938100888</v>
      </c>
    </row>
    <row r="172" spans="2:6" x14ac:dyDescent="0.2">
      <c r="B172" s="12">
        <v>168</v>
      </c>
      <c r="C172" s="12">
        <v>218.00591578931653</v>
      </c>
      <c r="D172" s="17">
        <f t="shared" si="9"/>
        <v>360.63585215922512</v>
      </c>
      <c r="E172" s="18">
        <f t="shared" si="7"/>
        <v>142.62993636990859</v>
      </c>
      <c r="F172" s="17">
        <f t="shared" si="8"/>
        <v>20343.298748884175</v>
      </c>
    </row>
    <row r="173" spans="2:6" x14ac:dyDescent="0.2">
      <c r="B173" s="12">
        <v>169</v>
      </c>
      <c r="C173" s="12">
        <v>279.16167736295438</v>
      </c>
      <c r="D173" s="17">
        <f t="shared" si="9"/>
        <v>360.45795177850249</v>
      </c>
      <c r="E173" s="18">
        <f t="shared" si="7"/>
        <v>81.296274415548112</v>
      </c>
      <c r="F173" s="17">
        <f t="shared" si="8"/>
        <v>6609.0842338481025</v>
      </c>
    </row>
    <row r="174" spans="2:6" x14ac:dyDescent="0.2">
      <c r="B174" s="12">
        <v>170</v>
      </c>
      <c r="C174" s="12">
        <v>376.94239598674284</v>
      </c>
      <c r="D174" s="17">
        <f t="shared" si="9"/>
        <v>360.28005139777991</v>
      </c>
      <c r="E174" s="18">
        <f t="shared" si="7"/>
        <v>16.662344588962924</v>
      </c>
      <c r="F174" s="17">
        <f t="shared" si="8"/>
        <v>277.63372720134203</v>
      </c>
    </row>
    <row r="175" spans="2:6" x14ac:dyDescent="0.2">
      <c r="B175" s="12">
        <v>171</v>
      </c>
      <c r="C175" s="12">
        <v>391.08533946654205</v>
      </c>
      <c r="D175" s="17">
        <f t="shared" si="9"/>
        <v>360.10215101705728</v>
      </c>
      <c r="E175" s="18">
        <f t="shared" si="7"/>
        <v>30.983188449484771</v>
      </c>
      <c r="F175" s="17">
        <f t="shared" si="8"/>
        <v>959.95796649628653</v>
      </c>
    </row>
    <row r="176" spans="2:6" x14ac:dyDescent="0.2">
      <c r="B176" s="12">
        <v>172</v>
      </c>
      <c r="C176" s="12">
        <v>421.89390229262995</v>
      </c>
      <c r="D176" s="17">
        <f t="shared" si="9"/>
        <v>359.9242506363347</v>
      </c>
      <c r="E176" s="18">
        <f t="shared" si="7"/>
        <v>61.969651656295241</v>
      </c>
      <c r="F176" s="17">
        <f t="shared" si="8"/>
        <v>3840.2377264025754</v>
      </c>
    </row>
    <row r="177" spans="2:6" x14ac:dyDescent="0.2">
      <c r="B177" s="12">
        <v>173</v>
      </c>
      <c r="C177" s="12">
        <v>288.41776436723245</v>
      </c>
      <c r="D177" s="17">
        <f t="shared" si="9"/>
        <v>359.74635025561207</v>
      </c>
      <c r="E177" s="18">
        <f t="shared" si="7"/>
        <v>71.328585888379621</v>
      </c>
      <c r="F177" s="17">
        <f t="shared" si="8"/>
        <v>5087.7671648359483</v>
      </c>
    </row>
    <row r="178" spans="2:6" x14ac:dyDescent="0.2">
      <c r="B178" s="12">
        <v>174</v>
      </c>
      <c r="C178" s="12">
        <v>291.70826960398603</v>
      </c>
      <c r="D178" s="17">
        <f t="shared" si="9"/>
        <v>359.5684498748895</v>
      </c>
      <c r="E178" s="18">
        <f t="shared" si="7"/>
        <v>67.86018027090347</v>
      </c>
      <c r="F178" s="17">
        <f t="shared" si="8"/>
        <v>4605.0040663995169</v>
      </c>
    </row>
    <row r="179" spans="2:6" x14ac:dyDescent="0.2">
      <c r="B179" s="12">
        <v>175</v>
      </c>
      <c r="C179" s="12">
        <v>366.24899468215438</v>
      </c>
      <c r="D179" s="17">
        <f t="shared" si="9"/>
        <v>359.39054949416686</v>
      </c>
      <c r="E179" s="18">
        <f t="shared" si="7"/>
        <v>6.8584451879875132</v>
      </c>
      <c r="F179" s="17">
        <f t="shared" si="8"/>
        <v>47.038270396629073</v>
      </c>
    </row>
    <row r="180" spans="2:6" x14ac:dyDescent="0.2">
      <c r="B180" s="12">
        <v>176</v>
      </c>
      <c r="C180" s="12">
        <v>346.1873246637366</v>
      </c>
      <c r="D180" s="17">
        <f t="shared" si="9"/>
        <v>359.21264911344429</v>
      </c>
      <c r="E180" s="18">
        <f t="shared" si="7"/>
        <v>13.025324449707682</v>
      </c>
      <c r="F180" s="17">
        <f t="shared" si="8"/>
        <v>169.65907702015272</v>
      </c>
    </row>
    <row r="181" spans="2:6" x14ac:dyDescent="0.2">
      <c r="B181" s="12">
        <v>177</v>
      </c>
      <c r="C181" s="12">
        <v>171.48119112085237</v>
      </c>
      <c r="D181" s="17">
        <f t="shared" si="9"/>
        <v>359.03474873272165</v>
      </c>
      <c r="E181" s="18">
        <f t="shared" si="7"/>
        <v>187.55355761186928</v>
      </c>
      <c r="F181" s="17">
        <f t="shared" si="8"/>
        <v>35176.336972868768</v>
      </c>
    </row>
    <row r="182" spans="2:6" x14ac:dyDescent="0.2">
      <c r="B182" s="12">
        <v>178</v>
      </c>
      <c r="C182" s="12">
        <v>326.33183667841791</v>
      </c>
      <c r="D182" s="17">
        <f t="shared" si="9"/>
        <v>358.85684835199902</v>
      </c>
      <c r="E182" s="18">
        <f t="shared" si="7"/>
        <v>32.525011673581105</v>
      </c>
      <c r="F182" s="17">
        <f t="shared" si="8"/>
        <v>1057.8763843665872</v>
      </c>
    </row>
    <row r="183" spans="2:6" x14ac:dyDescent="0.2">
      <c r="B183" s="12">
        <v>179</v>
      </c>
      <c r="C183" s="12">
        <v>738.68061819073887</v>
      </c>
      <c r="D183" s="17">
        <f t="shared" si="9"/>
        <v>358.67894797127644</v>
      </c>
      <c r="E183" s="18">
        <f t="shared" si="7"/>
        <v>380.00167021946243</v>
      </c>
      <c r="F183" s="17">
        <f t="shared" si="8"/>
        <v>144401.26936958107</v>
      </c>
    </row>
    <row r="184" spans="2:6" x14ac:dyDescent="0.2">
      <c r="B184" s="12">
        <v>180</v>
      </c>
      <c r="C184" s="12">
        <v>339.51549142068325</v>
      </c>
      <c r="D184" s="17">
        <f t="shared" si="9"/>
        <v>358.50104759055381</v>
      </c>
      <c r="E184" s="18">
        <f t="shared" si="7"/>
        <v>18.985556169870563</v>
      </c>
      <c r="F184" s="17">
        <f t="shared" si="8"/>
        <v>360.45134307931022</v>
      </c>
    </row>
    <row r="185" spans="2:6" x14ac:dyDescent="0.2">
      <c r="B185" s="12">
        <v>181</v>
      </c>
      <c r="C185" s="12">
        <v>415.8974002786187</v>
      </c>
      <c r="D185" s="17">
        <f t="shared" si="9"/>
        <v>358.32314720983123</v>
      </c>
      <c r="E185" s="18">
        <f t="shared" si="7"/>
        <v>57.574253068787471</v>
      </c>
      <c r="F185" s="17">
        <f t="shared" si="8"/>
        <v>3314.7946164287837</v>
      </c>
    </row>
    <row r="186" spans="2:6" x14ac:dyDescent="0.2">
      <c r="B186" s="12">
        <v>182</v>
      </c>
      <c r="C186" s="12">
        <v>347.39724063276128</v>
      </c>
      <c r="D186" s="17">
        <f t="shared" si="9"/>
        <v>358.1452468291086</v>
      </c>
      <c r="E186" s="18">
        <f t="shared" si="7"/>
        <v>10.748006196347319</v>
      </c>
      <c r="F186" s="17">
        <f t="shared" si="8"/>
        <v>115.51963719672037</v>
      </c>
    </row>
    <row r="187" spans="2:6" x14ac:dyDescent="0.2">
      <c r="B187" s="12">
        <v>183</v>
      </c>
      <c r="C187" s="12">
        <v>268.10665420052595</v>
      </c>
      <c r="D187" s="17">
        <f t="shared" si="9"/>
        <v>357.96734644838602</v>
      </c>
      <c r="E187" s="18">
        <f t="shared" si="7"/>
        <v>89.860692247860072</v>
      </c>
      <c r="F187" s="17">
        <f t="shared" si="8"/>
        <v>8074.9440112646189</v>
      </c>
    </row>
    <row r="188" spans="2:6" x14ac:dyDescent="0.2">
      <c r="B188" s="12">
        <v>184</v>
      </c>
      <c r="C188" s="12">
        <v>294.84491766424395</v>
      </c>
      <c r="D188" s="17">
        <f t="shared" si="9"/>
        <v>357.78944606766339</v>
      </c>
      <c r="E188" s="18">
        <f t="shared" si="7"/>
        <v>62.94452840341944</v>
      </c>
      <c r="F188" s="17">
        <f t="shared" si="8"/>
        <v>3962.0136559288767</v>
      </c>
    </row>
    <row r="189" spans="2:6" x14ac:dyDescent="0.2">
      <c r="B189" s="12">
        <v>185</v>
      </c>
      <c r="C189" s="12">
        <v>383.62577180211065</v>
      </c>
      <c r="D189" s="17">
        <f t="shared" si="9"/>
        <v>357.61154568694081</v>
      </c>
      <c r="E189" s="18">
        <f t="shared" si="7"/>
        <v>26.014226115169834</v>
      </c>
      <c r="F189" s="17">
        <f t="shared" si="8"/>
        <v>676.73996037118422</v>
      </c>
    </row>
    <row r="190" spans="2:6" x14ac:dyDescent="0.2">
      <c r="B190" s="12">
        <v>186</v>
      </c>
      <c r="C190" s="12">
        <v>382.81465252918315</v>
      </c>
      <c r="D190" s="17">
        <f t="shared" si="9"/>
        <v>357.43364530621818</v>
      </c>
      <c r="E190" s="18">
        <f t="shared" si="7"/>
        <v>25.381007222964968</v>
      </c>
      <c r="F190" s="17">
        <f t="shared" si="8"/>
        <v>644.19552765219987</v>
      </c>
    </row>
    <row r="191" spans="2:6" x14ac:dyDescent="0.2">
      <c r="B191" s="12">
        <v>187</v>
      </c>
      <c r="C191" s="12">
        <v>324.73018663402792</v>
      </c>
      <c r="D191" s="17">
        <f t="shared" si="9"/>
        <v>357.25574492549561</v>
      </c>
      <c r="E191" s="18">
        <f t="shared" si="7"/>
        <v>32.525558291467689</v>
      </c>
      <c r="F191" s="17">
        <f t="shared" si="8"/>
        <v>1057.9119421716625</v>
      </c>
    </row>
    <row r="192" spans="2:6" x14ac:dyDescent="0.2">
      <c r="B192" s="12">
        <v>188</v>
      </c>
      <c r="C192" s="12">
        <v>295.18813442280128</v>
      </c>
      <c r="D192" s="17">
        <f t="shared" si="9"/>
        <v>357.07784454477297</v>
      </c>
      <c r="E192" s="18">
        <f t="shared" si="7"/>
        <v>61.889710121971689</v>
      </c>
      <c r="F192" s="17">
        <f t="shared" si="8"/>
        <v>3830.3362189816849</v>
      </c>
    </row>
    <row r="193" spans="2:6" x14ac:dyDescent="0.2">
      <c r="B193" s="12">
        <v>189</v>
      </c>
      <c r="C193" s="12">
        <v>323.07475020656517</v>
      </c>
      <c r="D193" s="17">
        <f t="shared" si="9"/>
        <v>356.89994416405034</v>
      </c>
      <c r="E193" s="18">
        <f t="shared" si="7"/>
        <v>33.825193957485169</v>
      </c>
      <c r="F193" s="17">
        <f t="shared" si="8"/>
        <v>1144.1437462614913</v>
      </c>
    </row>
    <row r="194" spans="2:6" x14ac:dyDescent="0.2">
      <c r="B194" s="12">
        <v>190</v>
      </c>
      <c r="C194" s="12">
        <v>378.27907114981639</v>
      </c>
      <c r="D194" s="17">
        <f t="shared" si="9"/>
        <v>356.72204378332776</v>
      </c>
      <c r="E194" s="18">
        <f t="shared" si="7"/>
        <v>21.557027366488626</v>
      </c>
      <c r="F194" s="17">
        <f t="shared" si="8"/>
        <v>464.70542887953951</v>
      </c>
    </row>
    <row r="195" spans="2:6" x14ac:dyDescent="0.2">
      <c r="B195" s="12">
        <v>191</v>
      </c>
      <c r="C195" s="12">
        <v>396.99297299322694</v>
      </c>
      <c r="D195" s="17">
        <f t="shared" si="9"/>
        <v>356.54414340260513</v>
      </c>
      <c r="E195" s="18">
        <f t="shared" si="7"/>
        <v>40.448829590621813</v>
      </c>
      <c r="F195" s="17">
        <f t="shared" si="8"/>
        <v>1636.1078152511627</v>
      </c>
    </row>
    <row r="196" spans="2:6" x14ac:dyDescent="0.2">
      <c r="B196" s="12">
        <v>192</v>
      </c>
      <c r="C196" s="12">
        <v>375.97743915290334</v>
      </c>
      <c r="D196" s="17">
        <f t="shared" si="9"/>
        <v>356.36624302188255</v>
      </c>
      <c r="E196" s="18">
        <f t="shared" si="7"/>
        <v>19.61119613102079</v>
      </c>
      <c r="F196" s="17">
        <f t="shared" si="8"/>
        <v>384.59901368936482</v>
      </c>
    </row>
    <row r="197" spans="2:6" x14ac:dyDescent="0.2">
      <c r="B197" s="12">
        <v>193</v>
      </c>
      <c r="C197" s="12">
        <v>194.9866576003825</v>
      </c>
      <c r="D197" s="17">
        <f t="shared" si="9"/>
        <v>356.18834264115992</v>
      </c>
      <c r="E197" s="18">
        <f t="shared" ref="E197:E260" si="10">IF(B197="","",ABS(C197-D197))</f>
        <v>161.20168504077742</v>
      </c>
      <c r="F197" s="17">
        <f t="shared" ref="F197:F260" si="11">IF(B197="","",E197^2)</f>
        <v>25985.983259986002</v>
      </c>
    </row>
    <row r="198" spans="2:6" x14ac:dyDescent="0.2">
      <c r="B198" s="12">
        <v>194</v>
      </c>
      <c r="C198" s="12">
        <v>327.77972229695206</v>
      </c>
      <c r="D198" s="17">
        <f t="shared" si="9"/>
        <v>356.01044226043734</v>
      </c>
      <c r="E198" s="18">
        <f t="shared" si="10"/>
        <v>28.230719963485285</v>
      </c>
      <c r="F198" s="17">
        <f t="shared" si="11"/>
        <v>796.97354965672662</v>
      </c>
    </row>
    <row r="199" spans="2:6" x14ac:dyDescent="0.2">
      <c r="B199" s="12">
        <v>195</v>
      </c>
      <c r="C199" s="12">
        <v>356.89226854063952</v>
      </c>
      <c r="D199" s="17">
        <f t="shared" si="9"/>
        <v>355.83254187971471</v>
      </c>
      <c r="E199" s="18">
        <f t="shared" si="10"/>
        <v>1.0597266609248095</v>
      </c>
      <c r="F199" s="17">
        <f t="shared" si="11"/>
        <v>1.1230205958748463</v>
      </c>
    </row>
    <row r="200" spans="2:6" x14ac:dyDescent="0.2">
      <c r="B200" s="12">
        <v>196</v>
      </c>
      <c r="C200" s="12">
        <v>434.80182756401047</v>
      </c>
      <c r="D200" s="17">
        <f t="shared" si="9"/>
        <v>355.65464149899208</v>
      </c>
      <c r="E200" s="18">
        <f t="shared" si="10"/>
        <v>79.147186065018388</v>
      </c>
      <c r="F200" s="17">
        <f t="shared" si="11"/>
        <v>6264.2770620106412</v>
      </c>
    </row>
    <row r="201" spans="2:6" x14ac:dyDescent="0.2">
      <c r="B201" s="12">
        <v>197</v>
      </c>
      <c r="C201" s="12">
        <v>421.89390229262995</v>
      </c>
      <c r="D201" s="17">
        <f t="shared" si="9"/>
        <v>355.4767411182695</v>
      </c>
      <c r="E201" s="18">
        <f t="shared" si="10"/>
        <v>66.417161174360444</v>
      </c>
      <c r="F201" s="17">
        <f t="shared" si="11"/>
        <v>4411.2392984609723</v>
      </c>
    </row>
    <row r="202" spans="2:6" x14ac:dyDescent="0.2">
      <c r="B202" s="12">
        <v>198</v>
      </c>
      <c r="C202" s="12">
        <v>219.3599898004303</v>
      </c>
      <c r="D202" s="17">
        <f t="shared" si="9"/>
        <v>355.29884073754687</v>
      </c>
      <c r="E202" s="18">
        <f t="shared" si="10"/>
        <v>135.93885093711657</v>
      </c>
      <c r="F202" s="17">
        <f t="shared" si="11"/>
        <v>18479.371194103598</v>
      </c>
    </row>
    <row r="203" spans="2:6" x14ac:dyDescent="0.2">
      <c r="B203" s="12">
        <v>199</v>
      </c>
      <c r="C203" s="12">
        <v>334.05301841746791</v>
      </c>
      <c r="D203" s="17">
        <f t="shared" si="9"/>
        <v>355.12094035682429</v>
      </c>
      <c r="E203" s="18">
        <f t="shared" si="10"/>
        <v>21.067921939356381</v>
      </c>
      <c r="F203" s="17">
        <f t="shared" si="11"/>
        <v>443.85733484281394</v>
      </c>
    </row>
    <row r="204" spans="2:6" x14ac:dyDescent="0.2">
      <c r="B204" s="12">
        <v>200</v>
      </c>
      <c r="C204" s="12">
        <v>274.01840843007903</v>
      </c>
      <c r="D204" s="17">
        <f t="shared" si="9"/>
        <v>354.94303997610166</v>
      </c>
      <c r="E204" s="18">
        <f t="shared" si="10"/>
        <v>80.924631546022624</v>
      </c>
      <c r="F204" s="17">
        <f t="shared" si="11"/>
        <v>6548.7959908595203</v>
      </c>
    </row>
    <row r="205" spans="2:6" x14ac:dyDescent="0.2">
      <c r="B205" s="12">
        <v>201</v>
      </c>
      <c r="C205" s="12">
        <v>374.54396559182425</v>
      </c>
      <c r="D205" s="17">
        <f t="shared" si="9"/>
        <v>354.76513959537908</v>
      </c>
      <c r="E205" s="18">
        <f t="shared" si="10"/>
        <v>19.778825996445164</v>
      </c>
      <c r="F205" s="17">
        <f t="shared" si="11"/>
        <v>391.20195779765504</v>
      </c>
    </row>
    <row r="206" spans="2:6" x14ac:dyDescent="0.2">
      <c r="B206" s="12">
        <v>202</v>
      </c>
      <c r="C206" s="12">
        <v>405.54316175994683</v>
      </c>
      <c r="D206" s="17">
        <f t="shared" si="9"/>
        <v>354.58723921465645</v>
      </c>
      <c r="E206" s="18">
        <f t="shared" si="10"/>
        <v>50.955922545290377</v>
      </c>
      <c r="F206" s="17">
        <f t="shared" si="11"/>
        <v>2596.506042441632</v>
      </c>
    </row>
    <row r="207" spans="2:6" x14ac:dyDescent="0.2">
      <c r="B207" s="12">
        <v>203</v>
      </c>
      <c r="C207" s="12">
        <v>301.95850447837012</v>
      </c>
      <c r="D207" s="17">
        <f t="shared" si="9"/>
        <v>354.40933883393387</v>
      </c>
      <c r="E207" s="18">
        <f t="shared" si="10"/>
        <v>52.450834355563757</v>
      </c>
      <c r="F207" s="17">
        <f t="shared" si="11"/>
        <v>2751.0900245947873</v>
      </c>
    </row>
    <row r="208" spans="2:6" x14ac:dyDescent="0.2">
      <c r="B208" s="12">
        <v>204</v>
      </c>
      <c r="C208" s="12">
        <v>368.55614708030492</v>
      </c>
      <c r="D208" s="17">
        <f t="shared" si="9"/>
        <v>354.23143845321124</v>
      </c>
      <c r="E208" s="18">
        <f t="shared" si="10"/>
        <v>14.324708627093685</v>
      </c>
      <c r="F208" s="17">
        <f t="shared" si="11"/>
        <v>205.19727725113225</v>
      </c>
    </row>
    <row r="209" spans="2:6" x14ac:dyDescent="0.2">
      <c r="B209" s="12">
        <v>205</v>
      </c>
      <c r="C209" s="12">
        <v>156.39099407960609</v>
      </c>
      <c r="D209" s="17">
        <f t="shared" si="9"/>
        <v>354.05353807248866</v>
      </c>
      <c r="E209" s="18">
        <f t="shared" si="10"/>
        <v>197.66254399288258</v>
      </c>
      <c r="F209" s="17">
        <f t="shared" si="11"/>
        <v>39070.481297738239</v>
      </c>
    </row>
    <row r="210" spans="2:6" x14ac:dyDescent="0.2">
      <c r="B210" s="12">
        <v>206</v>
      </c>
      <c r="C210" s="12">
        <v>519.87175034827339</v>
      </c>
      <c r="D210" s="17">
        <f t="shared" ref="D210:D273" si="12">IF(B210="","",a+b*B210)</f>
        <v>353.87563769176603</v>
      </c>
      <c r="E210" s="18">
        <f t="shared" si="10"/>
        <v>165.99611265650736</v>
      </c>
      <c r="F210" s="17">
        <f t="shared" si="11"/>
        <v>27554.709417071885</v>
      </c>
    </row>
    <row r="211" spans="2:6" x14ac:dyDescent="0.2">
      <c r="B211" s="12">
        <v>207</v>
      </c>
      <c r="C211" s="12">
        <v>410.4707821944541</v>
      </c>
      <c r="D211" s="17">
        <f t="shared" si="12"/>
        <v>353.6977373110434</v>
      </c>
      <c r="E211" s="18">
        <f t="shared" si="10"/>
        <v>56.773044883410705</v>
      </c>
      <c r="F211" s="17">
        <f t="shared" si="11"/>
        <v>3223.1786253337664</v>
      </c>
    </row>
    <row r="212" spans="2:6" x14ac:dyDescent="0.2">
      <c r="B212" s="12">
        <v>208</v>
      </c>
      <c r="C212" s="12">
        <v>197.69480562261003</v>
      </c>
      <c r="D212" s="17">
        <f t="shared" si="12"/>
        <v>353.51983693032082</v>
      </c>
      <c r="E212" s="18">
        <f t="shared" si="10"/>
        <v>155.82503130771079</v>
      </c>
      <c r="F212" s="17">
        <f t="shared" si="11"/>
        <v>24281.440382049048</v>
      </c>
    </row>
    <row r="213" spans="2:6" x14ac:dyDescent="0.2">
      <c r="B213" s="12">
        <v>209</v>
      </c>
      <c r="C213" s="12">
        <v>343.46296259824163</v>
      </c>
      <c r="D213" s="17">
        <f t="shared" si="12"/>
        <v>353.34193654959819</v>
      </c>
      <c r="E213" s="18">
        <f t="shared" si="10"/>
        <v>9.8789739513565564</v>
      </c>
      <c r="F213" s="17">
        <f t="shared" si="11"/>
        <v>97.594126331581379</v>
      </c>
    </row>
    <row r="214" spans="2:6" x14ac:dyDescent="0.2">
      <c r="B214" s="12">
        <v>210</v>
      </c>
      <c r="C214" s="12">
        <v>673.47022204208145</v>
      </c>
      <c r="D214" s="17">
        <f t="shared" si="12"/>
        <v>353.16403616887561</v>
      </c>
      <c r="E214" s="18">
        <f t="shared" si="10"/>
        <v>320.30618587320583</v>
      </c>
      <c r="F214" s="17">
        <f t="shared" si="11"/>
        <v>102596.05270864068</v>
      </c>
    </row>
    <row r="215" spans="2:6" x14ac:dyDescent="0.2">
      <c r="B215" s="12">
        <v>211</v>
      </c>
      <c r="C215" s="12">
        <v>289.74408154902642</v>
      </c>
      <c r="D215" s="17">
        <f t="shared" si="12"/>
        <v>352.98613578815298</v>
      </c>
      <c r="E215" s="18">
        <f t="shared" si="10"/>
        <v>63.24205423912656</v>
      </c>
      <c r="F215" s="17">
        <f t="shared" si="11"/>
        <v>3999.5574243846258</v>
      </c>
    </row>
    <row r="216" spans="2:6" x14ac:dyDescent="0.2">
      <c r="B216" s="12">
        <v>212</v>
      </c>
      <c r="C216" s="12">
        <v>276.23109826720855</v>
      </c>
      <c r="D216" s="17">
        <f t="shared" si="12"/>
        <v>352.8082354074304</v>
      </c>
      <c r="E216" s="18">
        <f t="shared" si="10"/>
        <v>76.577137140221851</v>
      </c>
      <c r="F216" s="17">
        <f t="shared" si="11"/>
        <v>5864.0579325923445</v>
      </c>
    </row>
    <row r="217" spans="2:6" x14ac:dyDescent="0.2">
      <c r="B217" s="12">
        <v>213</v>
      </c>
      <c r="C217" s="12">
        <v>305.82318587514663</v>
      </c>
      <c r="D217" s="17">
        <f t="shared" si="12"/>
        <v>352.63033502670777</v>
      </c>
      <c r="E217" s="18">
        <f t="shared" si="10"/>
        <v>46.807149151561134</v>
      </c>
      <c r="F217" s="17">
        <f t="shared" si="11"/>
        <v>2190.9092116964903</v>
      </c>
    </row>
    <row r="218" spans="2:6" x14ac:dyDescent="0.2">
      <c r="B218" s="12">
        <v>214</v>
      </c>
      <c r="C218" s="12">
        <v>306.09861234384437</v>
      </c>
      <c r="D218" s="17">
        <f t="shared" si="12"/>
        <v>352.45243464598514</v>
      </c>
      <c r="E218" s="18">
        <f t="shared" si="10"/>
        <v>46.35382230214077</v>
      </c>
      <c r="F218" s="17">
        <f t="shared" si="11"/>
        <v>2148.676842018443</v>
      </c>
    </row>
    <row r="219" spans="2:6" x14ac:dyDescent="0.2">
      <c r="B219" s="12">
        <v>215</v>
      </c>
      <c r="C219" s="12">
        <v>375.72549229716122</v>
      </c>
      <c r="D219" s="17">
        <f t="shared" si="12"/>
        <v>352.27453426526256</v>
      </c>
      <c r="E219" s="18">
        <f t="shared" si="10"/>
        <v>23.450958031898665</v>
      </c>
      <c r="F219" s="17">
        <f t="shared" si="11"/>
        <v>549.94743261387248</v>
      </c>
    </row>
    <row r="220" spans="2:6" x14ac:dyDescent="0.2">
      <c r="B220" s="12">
        <v>216</v>
      </c>
      <c r="C220" s="12">
        <v>350.3538128934656</v>
      </c>
      <c r="D220" s="17">
        <f t="shared" si="12"/>
        <v>352.09663388453993</v>
      </c>
      <c r="E220" s="18">
        <f t="shared" si="10"/>
        <v>1.7428209910743249</v>
      </c>
      <c r="F220" s="17">
        <f t="shared" si="11"/>
        <v>3.0374250069292921</v>
      </c>
    </row>
    <row r="221" spans="2:6" x14ac:dyDescent="0.2">
      <c r="B221" s="12">
        <v>217</v>
      </c>
      <c r="C221" s="12">
        <v>890.98069931285897</v>
      </c>
      <c r="D221" s="17">
        <f t="shared" si="12"/>
        <v>351.91873350381735</v>
      </c>
      <c r="E221" s="18">
        <f t="shared" si="10"/>
        <v>539.06196580904157</v>
      </c>
      <c r="F221" s="17">
        <f t="shared" si="11"/>
        <v>290587.80298190832</v>
      </c>
    </row>
    <row r="222" spans="2:6" x14ac:dyDescent="0.2">
      <c r="B222" s="12">
        <v>218</v>
      </c>
      <c r="C222" s="12">
        <v>395.21765559249724</v>
      </c>
      <c r="D222" s="17">
        <f t="shared" si="12"/>
        <v>351.74083312309472</v>
      </c>
      <c r="E222" s="18">
        <f t="shared" si="10"/>
        <v>43.476822469402521</v>
      </c>
      <c r="F222" s="17">
        <f t="shared" si="11"/>
        <v>1890.2340920359438</v>
      </c>
    </row>
    <row r="223" spans="2:6" x14ac:dyDescent="0.2">
      <c r="B223" s="12">
        <v>219</v>
      </c>
      <c r="C223" s="12">
        <v>374.26904566059574</v>
      </c>
      <c r="D223" s="17">
        <f t="shared" si="12"/>
        <v>351.56293274237214</v>
      </c>
      <c r="E223" s="18">
        <f t="shared" si="10"/>
        <v>22.706112918223596</v>
      </c>
      <c r="F223" s="17">
        <f t="shared" si="11"/>
        <v>515.56756385512051</v>
      </c>
    </row>
    <row r="224" spans="2:6" x14ac:dyDescent="0.2">
      <c r="B224" s="12">
        <v>220</v>
      </c>
      <c r="C224" s="12">
        <v>473.79220884013097</v>
      </c>
      <c r="D224" s="17">
        <f t="shared" si="12"/>
        <v>351.38503236164951</v>
      </c>
      <c r="E224" s="18">
        <f t="shared" si="10"/>
        <v>122.40717647848146</v>
      </c>
      <c r="F224" s="17">
        <f t="shared" si="11"/>
        <v>14983.516853434105</v>
      </c>
    </row>
    <row r="225" spans="2:6" x14ac:dyDescent="0.2">
      <c r="B225" s="12">
        <v>221</v>
      </c>
      <c r="C225" s="12">
        <v>421.89390229262995</v>
      </c>
      <c r="D225" s="17">
        <f t="shared" si="12"/>
        <v>351.20713198092693</v>
      </c>
      <c r="E225" s="18">
        <f t="shared" si="10"/>
        <v>70.686770311703015</v>
      </c>
      <c r="F225" s="17">
        <f t="shared" si="11"/>
        <v>4996.6194970994584</v>
      </c>
    </row>
    <row r="226" spans="2:6" x14ac:dyDescent="0.2">
      <c r="B226" s="12">
        <v>222</v>
      </c>
      <c r="C226" s="12">
        <v>334.45628074510051</v>
      </c>
      <c r="D226" s="17">
        <f t="shared" si="12"/>
        <v>351.0292316002043</v>
      </c>
      <c r="E226" s="18">
        <f t="shared" si="10"/>
        <v>16.572950855103784</v>
      </c>
      <c r="F226" s="17">
        <f t="shared" si="11"/>
        <v>274.66270004568526</v>
      </c>
    </row>
    <row r="227" spans="2:6" x14ac:dyDescent="0.2">
      <c r="B227" s="12">
        <v>223</v>
      </c>
      <c r="C227" s="12">
        <v>456.38229276752656</v>
      </c>
      <c r="D227" s="17">
        <f t="shared" si="12"/>
        <v>350.85133121948172</v>
      </c>
      <c r="E227" s="18">
        <f t="shared" si="10"/>
        <v>105.53096154804484</v>
      </c>
      <c r="F227" s="17">
        <f t="shared" si="11"/>
        <v>11136.783845254919</v>
      </c>
    </row>
    <row r="228" spans="2:6" x14ac:dyDescent="0.2">
      <c r="B228" s="12">
        <v>224</v>
      </c>
      <c r="C228" s="12">
        <v>384.9624469651842</v>
      </c>
      <c r="D228" s="17">
        <f t="shared" si="12"/>
        <v>350.67343083875909</v>
      </c>
      <c r="E228" s="18">
        <f t="shared" si="10"/>
        <v>34.289016126425111</v>
      </c>
      <c r="F228" s="17">
        <f t="shared" si="11"/>
        <v>1175.7366269182412</v>
      </c>
    </row>
    <row r="229" spans="2:6" x14ac:dyDescent="0.2">
      <c r="B229" s="12">
        <v>225</v>
      </c>
      <c r="C229" s="12">
        <v>310.74152350362704</v>
      </c>
      <c r="D229" s="17">
        <f t="shared" si="12"/>
        <v>350.49553045803646</v>
      </c>
      <c r="E229" s="18">
        <f t="shared" si="10"/>
        <v>39.754006954409419</v>
      </c>
      <c r="F229" s="17">
        <f t="shared" si="11"/>
        <v>1580.3810689312324</v>
      </c>
    </row>
    <row r="230" spans="2:6" x14ac:dyDescent="0.2">
      <c r="B230" s="12">
        <v>226</v>
      </c>
      <c r="C230" s="12">
        <v>421.89390229262995</v>
      </c>
      <c r="D230" s="17">
        <f t="shared" si="12"/>
        <v>350.31763007731388</v>
      </c>
      <c r="E230" s="18">
        <f t="shared" si="10"/>
        <v>71.576272215316067</v>
      </c>
      <c r="F230" s="17">
        <f t="shared" si="11"/>
        <v>5123.1627442410263</v>
      </c>
    </row>
    <row r="231" spans="2:6" x14ac:dyDescent="0.2">
      <c r="B231" s="12">
        <v>227</v>
      </c>
      <c r="C231" s="12">
        <v>216.65184177820277</v>
      </c>
      <c r="D231" s="17">
        <f t="shared" si="12"/>
        <v>350.13972969659125</v>
      </c>
      <c r="E231" s="18">
        <f t="shared" si="10"/>
        <v>133.48788791838848</v>
      </c>
      <c r="F231" s="17">
        <f t="shared" si="11"/>
        <v>17819.016220912246</v>
      </c>
    </row>
    <row r="232" spans="2:6" x14ac:dyDescent="0.2">
      <c r="B232" s="12">
        <v>228</v>
      </c>
      <c r="C232" s="12">
        <v>313.66480602579145</v>
      </c>
      <c r="D232" s="17">
        <f t="shared" si="12"/>
        <v>349.96182931586867</v>
      </c>
      <c r="E232" s="18">
        <f t="shared" si="10"/>
        <v>36.29702329007722</v>
      </c>
      <c r="F232" s="17">
        <f t="shared" si="11"/>
        <v>1317.4738997204081</v>
      </c>
    </row>
    <row r="233" spans="2:6" x14ac:dyDescent="0.2">
      <c r="B233" s="12">
        <v>229</v>
      </c>
      <c r="C233" s="12">
        <v>570.67739867776379</v>
      </c>
      <c r="D233" s="17">
        <f t="shared" si="12"/>
        <v>349.78392893514604</v>
      </c>
      <c r="E233" s="18">
        <f t="shared" si="10"/>
        <v>220.89346974261775</v>
      </c>
      <c r="F233" s="17">
        <f t="shared" si="11"/>
        <v>48793.924974932786</v>
      </c>
    </row>
    <row r="234" spans="2:6" x14ac:dyDescent="0.2">
      <c r="B234" s="12">
        <v>230</v>
      </c>
      <c r="C234" s="12">
        <v>421.89390229262995</v>
      </c>
      <c r="D234" s="17">
        <f t="shared" si="12"/>
        <v>349.60602855442346</v>
      </c>
      <c r="E234" s="18">
        <f t="shared" si="10"/>
        <v>72.287873738206486</v>
      </c>
      <c r="F234" s="17">
        <f t="shared" si="11"/>
        <v>5225.5366895908828</v>
      </c>
    </row>
    <row r="235" spans="2:6" x14ac:dyDescent="0.2">
      <c r="B235" s="12">
        <v>231</v>
      </c>
      <c r="C235" s="12">
        <v>254.56591408938826</v>
      </c>
      <c r="D235" s="17">
        <f t="shared" si="12"/>
        <v>349.42812817370083</v>
      </c>
      <c r="E235" s="18">
        <f t="shared" si="10"/>
        <v>94.862214084312569</v>
      </c>
      <c r="F235" s="17">
        <f t="shared" si="11"/>
        <v>8998.8396609779502</v>
      </c>
    </row>
    <row r="236" spans="2:6" x14ac:dyDescent="0.2">
      <c r="B236" s="12">
        <v>232</v>
      </c>
      <c r="C236" s="12">
        <v>368.55614708030492</v>
      </c>
      <c r="D236" s="17">
        <f t="shared" si="12"/>
        <v>349.25022779297819</v>
      </c>
      <c r="E236" s="18">
        <f t="shared" si="10"/>
        <v>19.305919287326731</v>
      </c>
      <c r="F236" s="17">
        <f t="shared" si="11"/>
        <v>372.71851952877427</v>
      </c>
    </row>
    <row r="237" spans="2:6" x14ac:dyDescent="0.2">
      <c r="B237" s="12">
        <v>233</v>
      </c>
      <c r="C237" s="12">
        <v>511.03311971844306</v>
      </c>
      <c r="D237" s="17">
        <f t="shared" si="12"/>
        <v>349.07232741225562</v>
      </c>
      <c r="E237" s="18">
        <f t="shared" si="10"/>
        <v>161.96079230618744</v>
      </c>
      <c r="F237" s="17">
        <f t="shared" si="11"/>
        <v>26231.298244447986</v>
      </c>
    </row>
    <row r="238" spans="2:6" x14ac:dyDescent="0.2">
      <c r="B238" s="12">
        <v>234</v>
      </c>
      <c r="C238" s="12">
        <v>357.23365519673348</v>
      </c>
      <c r="D238" s="17">
        <f t="shared" si="12"/>
        <v>348.89442703153298</v>
      </c>
      <c r="E238" s="18">
        <f t="shared" si="10"/>
        <v>8.3392281652004954</v>
      </c>
      <c r="F238" s="17">
        <f t="shared" si="11"/>
        <v>69.54272639127322</v>
      </c>
    </row>
    <row r="239" spans="2:6" x14ac:dyDescent="0.2">
      <c r="B239" s="12">
        <v>235</v>
      </c>
      <c r="C239" s="12">
        <v>192.11949626627327</v>
      </c>
      <c r="D239" s="17">
        <f t="shared" si="12"/>
        <v>348.71652665081041</v>
      </c>
      <c r="E239" s="18">
        <f t="shared" si="10"/>
        <v>156.59703038453713</v>
      </c>
      <c r="F239" s="17">
        <f t="shared" si="11"/>
        <v>24522.629925255646</v>
      </c>
    </row>
    <row r="240" spans="2:6" x14ac:dyDescent="0.2">
      <c r="B240" s="12">
        <v>236</v>
      </c>
      <c r="C240" s="12">
        <v>304.45604511456219</v>
      </c>
      <c r="D240" s="17">
        <f t="shared" si="12"/>
        <v>348.53862627008778</v>
      </c>
      <c r="E240" s="18">
        <f t="shared" si="10"/>
        <v>44.082581155525588</v>
      </c>
      <c r="F240" s="17">
        <f t="shared" si="11"/>
        <v>1943.2739613334998</v>
      </c>
    </row>
    <row r="241" spans="2:6" x14ac:dyDescent="0.2">
      <c r="B241" s="12">
        <v>237</v>
      </c>
      <c r="C241" s="12">
        <v>252.42363869302847</v>
      </c>
      <c r="D241" s="17">
        <f t="shared" si="12"/>
        <v>348.3607258893652</v>
      </c>
      <c r="E241" s="18">
        <f t="shared" si="10"/>
        <v>95.937087196336734</v>
      </c>
      <c r="F241" s="17">
        <f t="shared" si="11"/>
        <v>9203.9246997175178</v>
      </c>
    </row>
    <row r="242" spans="2:6" x14ac:dyDescent="0.2">
      <c r="B242" s="12">
        <v>238</v>
      </c>
      <c r="C242" s="12">
        <v>420.59748336377476</v>
      </c>
      <c r="D242" s="17">
        <f t="shared" si="12"/>
        <v>348.18282550864257</v>
      </c>
      <c r="E242" s="18">
        <f t="shared" si="10"/>
        <v>72.414657855132191</v>
      </c>
      <c r="F242" s="17">
        <f t="shared" si="11"/>
        <v>5243.8826722758586</v>
      </c>
    </row>
    <row r="243" spans="2:6" x14ac:dyDescent="0.2">
      <c r="B243" s="12">
        <v>239</v>
      </c>
      <c r="C243" s="12">
        <v>463.22014627166794</v>
      </c>
      <c r="D243" s="17">
        <f t="shared" si="12"/>
        <v>348.00492512791999</v>
      </c>
      <c r="E243" s="18">
        <f t="shared" si="10"/>
        <v>115.21522114374795</v>
      </c>
      <c r="F243" s="17">
        <f t="shared" si="11"/>
        <v>13274.547183202745</v>
      </c>
    </row>
    <row r="244" spans="2:6" x14ac:dyDescent="0.2">
      <c r="B244" s="12">
        <v>240</v>
      </c>
      <c r="C244" s="12">
        <v>257.15995073141784</v>
      </c>
      <c r="D244" s="17">
        <f t="shared" si="12"/>
        <v>347.82702474719736</v>
      </c>
      <c r="E244" s="18">
        <f t="shared" si="10"/>
        <v>90.667074015779519</v>
      </c>
      <c r="F244" s="17">
        <f t="shared" si="11"/>
        <v>8220.5183105828419</v>
      </c>
    </row>
    <row r="245" spans="2:6" x14ac:dyDescent="0.2">
      <c r="B245" s="12">
        <v>241</v>
      </c>
      <c r="C245" s="12">
        <v>280.09956150539722</v>
      </c>
      <c r="D245" s="17">
        <f t="shared" si="12"/>
        <v>347.64912436647478</v>
      </c>
      <c r="E245" s="18">
        <f t="shared" si="10"/>
        <v>67.549562861077561</v>
      </c>
      <c r="F245" s="17">
        <f t="shared" si="11"/>
        <v>4562.9434427226688</v>
      </c>
    </row>
    <row r="246" spans="2:6" x14ac:dyDescent="0.2">
      <c r="B246" s="12">
        <v>242</v>
      </c>
      <c r="C246" s="12">
        <v>246.08133621330416</v>
      </c>
      <c r="D246" s="17">
        <f t="shared" si="12"/>
        <v>347.47122398575215</v>
      </c>
      <c r="E246" s="18">
        <f t="shared" si="10"/>
        <v>101.38988777244799</v>
      </c>
      <c r="F246" s="17">
        <f t="shared" si="11"/>
        <v>10279.909342509598</v>
      </c>
    </row>
    <row r="247" spans="2:6" x14ac:dyDescent="0.2">
      <c r="B247" s="12">
        <v>243</v>
      </c>
      <c r="C247" s="12">
        <v>291.40371714282008</v>
      </c>
      <c r="D247" s="17">
        <f t="shared" si="12"/>
        <v>347.29332360502951</v>
      </c>
      <c r="E247" s="18">
        <f t="shared" si="10"/>
        <v>55.889606462209429</v>
      </c>
      <c r="F247" s="17">
        <f t="shared" si="11"/>
        <v>3123.6481105006419</v>
      </c>
    </row>
    <row r="248" spans="2:6" x14ac:dyDescent="0.2">
      <c r="B248" s="12">
        <v>244</v>
      </c>
      <c r="C248" s="12">
        <v>328.20413945488349</v>
      </c>
      <c r="D248" s="17">
        <f t="shared" si="12"/>
        <v>347.11542322430694</v>
      </c>
      <c r="E248" s="18">
        <f t="shared" si="10"/>
        <v>18.911283769423449</v>
      </c>
      <c r="F248" s="17">
        <f t="shared" si="11"/>
        <v>357.63665380765877</v>
      </c>
    </row>
    <row r="249" spans="2:6" x14ac:dyDescent="0.2">
      <c r="B249" s="12">
        <v>245</v>
      </c>
      <c r="C249" s="12">
        <v>216.16379203133914</v>
      </c>
      <c r="D249" s="17">
        <f t="shared" si="12"/>
        <v>346.9375228435843</v>
      </c>
      <c r="E249" s="18">
        <f t="shared" si="10"/>
        <v>130.77373081224516</v>
      </c>
      <c r="F249" s="17">
        <f t="shared" si="11"/>
        <v>17101.76867055356</v>
      </c>
    </row>
    <row r="250" spans="2:6" x14ac:dyDescent="0.2">
      <c r="B250" s="12">
        <v>246</v>
      </c>
      <c r="C250" s="12">
        <v>345.02125489700376</v>
      </c>
      <c r="D250" s="17">
        <f t="shared" si="12"/>
        <v>346.75962246286173</v>
      </c>
      <c r="E250" s="18">
        <f t="shared" si="10"/>
        <v>1.7383675658579705</v>
      </c>
      <c r="F250" s="17">
        <f t="shared" si="11"/>
        <v>3.0219217940269654</v>
      </c>
    </row>
    <row r="251" spans="2:6" x14ac:dyDescent="0.2">
      <c r="B251" s="12">
        <v>247</v>
      </c>
      <c r="C251" s="12">
        <v>287.09725826878827</v>
      </c>
      <c r="D251" s="17">
        <f t="shared" si="12"/>
        <v>346.58172208213909</v>
      </c>
      <c r="E251" s="18">
        <f t="shared" si="10"/>
        <v>59.484463813350828</v>
      </c>
      <c r="F251" s="17">
        <f t="shared" si="11"/>
        <v>3538.4014351618443</v>
      </c>
    </row>
    <row r="252" spans="2:6" x14ac:dyDescent="0.2">
      <c r="B252" s="12">
        <v>248</v>
      </c>
      <c r="C252" s="12">
        <v>207.13095971497347</v>
      </c>
      <c r="D252" s="17">
        <f t="shared" si="12"/>
        <v>346.40382170141652</v>
      </c>
      <c r="E252" s="18">
        <f t="shared" si="10"/>
        <v>139.27286198644305</v>
      </c>
      <c r="F252" s="17">
        <f t="shared" si="11"/>
        <v>19396.930085894812</v>
      </c>
    </row>
    <row r="253" spans="2:6" x14ac:dyDescent="0.2">
      <c r="B253" s="12">
        <v>249</v>
      </c>
      <c r="C253" s="12">
        <v>23.014314656897319</v>
      </c>
      <c r="D253" s="17">
        <f t="shared" si="12"/>
        <v>346.22592132069389</v>
      </c>
      <c r="E253" s="18">
        <f t="shared" si="10"/>
        <v>323.21160666379654</v>
      </c>
      <c r="F253" s="17">
        <f t="shared" si="11"/>
        <v>104465.74268219274</v>
      </c>
    </row>
    <row r="254" spans="2:6" x14ac:dyDescent="0.2">
      <c r="B254" s="12">
        <v>250</v>
      </c>
      <c r="C254" s="12">
        <v>849.43236586962848</v>
      </c>
      <c r="D254" s="17">
        <f t="shared" si="12"/>
        <v>346.04802093997131</v>
      </c>
      <c r="E254" s="18">
        <f t="shared" si="10"/>
        <v>503.38434492965717</v>
      </c>
      <c r="F254" s="17">
        <f t="shared" si="11"/>
        <v>253395.79872026006</v>
      </c>
    </row>
    <row r="255" spans="2:6" x14ac:dyDescent="0.2">
      <c r="B255" s="12">
        <v>251</v>
      </c>
      <c r="C255" s="12">
        <v>265.10824365247714</v>
      </c>
      <c r="D255" s="17">
        <f t="shared" si="12"/>
        <v>345.87012055924868</v>
      </c>
      <c r="E255" s="18">
        <f t="shared" si="10"/>
        <v>80.761876906771533</v>
      </c>
      <c r="F255" s="17">
        <f t="shared" si="11"/>
        <v>6522.4807615045174</v>
      </c>
    </row>
    <row r="256" spans="2:6" x14ac:dyDescent="0.2">
      <c r="B256" s="12">
        <v>252</v>
      </c>
      <c r="C256" s="12">
        <v>383.27483978883231</v>
      </c>
      <c r="D256" s="17">
        <f t="shared" si="12"/>
        <v>345.6922201785261</v>
      </c>
      <c r="E256" s="18">
        <f t="shared" si="10"/>
        <v>37.58261961030621</v>
      </c>
      <c r="F256" s="17">
        <f t="shared" si="11"/>
        <v>1412.4532967729729</v>
      </c>
    </row>
    <row r="257" spans="2:6" x14ac:dyDescent="0.2">
      <c r="B257" s="12">
        <v>253</v>
      </c>
      <c r="C257" s="12">
        <v>366.91770006652445</v>
      </c>
      <c r="D257" s="17">
        <f t="shared" si="12"/>
        <v>345.51431979780347</v>
      </c>
      <c r="E257" s="18">
        <f t="shared" si="10"/>
        <v>21.40338026872098</v>
      </c>
      <c r="F257" s="17">
        <f t="shared" si="11"/>
        <v>458.10468692747457</v>
      </c>
    </row>
    <row r="258" spans="2:6" x14ac:dyDescent="0.2">
      <c r="B258" s="12">
        <v>254</v>
      </c>
      <c r="C258" s="12">
        <v>306.19044717437299</v>
      </c>
      <c r="D258" s="17">
        <f t="shared" si="12"/>
        <v>345.33641941708083</v>
      </c>
      <c r="E258" s="18">
        <f t="shared" si="10"/>
        <v>39.145972242707842</v>
      </c>
      <c r="F258" s="17">
        <f t="shared" si="11"/>
        <v>1532.4071428268528</v>
      </c>
    </row>
    <row r="259" spans="2:6" x14ac:dyDescent="0.2">
      <c r="B259" s="12">
        <v>255</v>
      </c>
      <c r="C259" s="12">
        <v>165.92854458743639</v>
      </c>
      <c r="D259" s="17">
        <f t="shared" si="12"/>
        <v>345.15851903635826</v>
      </c>
      <c r="E259" s="18">
        <f t="shared" si="10"/>
        <v>179.22997444892187</v>
      </c>
      <c r="F259" s="17">
        <f t="shared" si="11"/>
        <v>32123.383740961184</v>
      </c>
    </row>
    <row r="260" spans="2:6" x14ac:dyDescent="0.2">
      <c r="B260" s="12">
        <v>256</v>
      </c>
      <c r="C260" s="12">
        <v>381.80660927940488</v>
      </c>
      <c r="D260" s="17">
        <f t="shared" si="12"/>
        <v>344.98061865563562</v>
      </c>
      <c r="E260" s="18">
        <f t="shared" si="10"/>
        <v>36.825990623769258</v>
      </c>
      <c r="F260" s="17">
        <f t="shared" si="11"/>
        <v>1356.1535854219412</v>
      </c>
    </row>
    <row r="261" spans="2:6" x14ac:dyDescent="0.2">
      <c r="B261" s="12">
        <v>257</v>
      </c>
      <c r="C261" s="12">
        <v>413.4200519070551</v>
      </c>
      <c r="D261" s="17">
        <f t="shared" si="12"/>
        <v>344.80271827491305</v>
      </c>
      <c r="E261" s="18">
        <f t="shared" ref="E261:E324" si="13">IF(B261="","",ABS(C261-D261))</f>
        <v>68.617333632142049</v>
      </c>
      <c r="F261" s="17">
        <f t="shared" ref="F261:F324" si="14">IF(B261="","",E261^2)</f>
        <v>4708.3384747846922</v>
      </c>
    </row>
    <row r="262" spans="2:6" x14ac:dyDescent="0.2">
      <c r="B262" s="12">
        <v>258</v>
      </c>
      <c r="C262" s="12">
        <v>364.62620796770557</v>
      </c>
      <c r="D262" s="17">
        <f t="shared" si="12"/>
        <v>344.62481789419041</v>
      </c>
      <c r="E262" s="18">
        <f t="shared" si="13"/>
        <v>20.001390073515154</v>
      </c>
      <c r="F262" s="17">
        <f t="shared" si="14"/>
        <v>400.05560487291052</v>
      </c>
    </row>
    <row r="263" spans="2:6" x14ac:dyDescent="0.2">
      <c r="B263" s="12">
        <v>259</v>
      </c>
      <c r="C263" s="12">
        <v>228.14190181619949</v>
      </c>
      <c r="D263" s="17">
        <f t="shared" si="12"/>
        <v>344.44691751346784</v>
      </c>
      <c r="E263" s="18">
        <f t="shared" si="13"/>
        <v>116.30501569726835</v>
      </c>
      <c r="F263" s="17">
        <f t="shared" si="14"/>
        <v>13526.856676341837</v>
      </c>
    </row>
    <row r="264" spans="2:6" x14ac:dyDescent="0.2">
      <c r="B264" s="12">
        <v>260</v>
      </c>
      <c r="C264" s="12">
        <v>243.56483609164974</v>
      </c>
      <c r="D264" s="17">
        <f t="shared" si="12"/>
        <v>344.2690171327452</v>
      </c>
      <c r="E264" s="18">
        <f t="shared" si="13"/>
        <v>100.70418104109547</v>
      </c>
      <c r="F264" s="17">
        <f t="shared" si="14"/>
        <v>10141.332079157732</v>
      </c>
    </row>
    <row r="265" spans="2:6" x14ac:dyDescent="0.2">
      <c r="B265" s="12">
        <v>261</v>
      </c>
      <c r="C265" s="12">
        <v>253.69209918897334</v>
      </c>
      <c r="D265" s="17">
        <f t="shared" si="12"/>
        <v>344.09111675202257</v>
      </c>
      <c r="E265" s="18">
        <f t="shared" si="13"/>
        <v>90.399017563049227</v>
      </c>
      <c r="F265" s="17">
        <f t="shared" si="14"/>
        <v>8171.9823763644827</v>
      </c>
    </row>
    <row r="266" spans="2:6" x14ac:dyDescent="0.2">
      <c r="B266" s="12">
        <v>262</v>
      </c>
      <c r="C266" s="12">
        <v>340.21025104851407</v>
      </c>
      <c r="D266" s="17">
        <f t="shared" si="12"/>
        <v>343.9132163713</v>
      </c>
      <c r="E266" s="18">
        <f t="shared" si="13"/>
        <v>3.7029653227859285</v>
      </c>
      <c r="F266" s="17">
        <f t="shared" si="14"/>
        <v>13.711952181755096</v>
      </c>
    </row>
    <row r="267" spans="2:6" x14ac:dyDescent="0.2">
      <c r="B267" s="12">
        <v>263</v>
      </c>
      <c r="C267" s="12">
        <v>181.84484255496372</v>
      </c>
      <c r="D267" s="17">
        <f t="shared" si="12"/>
        <v>343.73531599057736</v>
      </c>
      <c r="E267" s="18">
        <f t="shared" si="13"/>
        <v>161.89047343561364</v>
      </c>
      <c r="F267" s="17">
        <f t="shared" si="14"/>
        <v>26208.525389207127</v>
      </c>
    </row>
    <row r="268" spans="2:6" x14ac:dyDescent="0.2">
      <c r="B268" s="12">
        <v>264</v>
      </c>
      <c r="C268" s="12">
        <v>452.28131412685161</v>
      </c>
      <c r="D268" s="17">
        <f t="shared" si="12"/>
        <v>343.55741560985479</v>
      </c>
      <c r="E268" s="18">
        <f t="shared" si="13"/>
        <v>108.72389851699683</v>
      </c>
      <c r="F268" s="17">
        <f t="shared" si="14"/>
        <v>11820.886108734225</v>
      </c>
    </row>
    <row r="269" spans="2:6" x14ac:dyDescent="0.2">
      <c r="B269" s="12">
        <v>265</v>
      </c>
      <c r="C269" s="12">
        <v>529.75351849933816</v>
      </c>
      <c r="D269" s="17">
        <f t="shared" si="12"/>
        <v>343.37951522913215</v>
      </c>
      <c r="E269" s="18">
        <f t="shared" si="13"/>
        <v>186.374003270206</v>
      </c>
      <c r="F269" s="17">
        <f t="shared" si="14"/>
        <v>34735.269094962758</v>
      </c>
    </row>
    <row r="270" spans="2:6" x14ac:dyDescent="0.2">
      <c r="B270" s="12">
        <v>266</v>
      </c>
      <c r="C270" s="12">
        <v>235.93365224574521</v>
      </c>
      <c r="D270" s="17">
        <f t="shared" si="12"/>
        <v>343.20161484840958</v>
      </c>
      <c r="E270" s="18">
        <f t="shared" si="13"/>
        <v>107.26796260266437</v>
      </c>
      <c r="F270" s="17">
        <f t="shared" si="14"/>
        <v>11506.415800926601</v>
      </c>
    </row>
    <row r="271" spans="2:6" x14ac:dyDescent="0.2">
      <c r="B271" s="12">
        <v>267</v>
      </c>
      <c r="C271" s="12">
        <v>146.419601717082</v>
      </c>
      <c r="D271" s="17">
        <f t="shared" si="12"/>
        <v>343.02371446768694</v>
      </c>
      <c r="E271" s="18">
        <f t="shared" si="13"/>
        <v>196.60411275060494</v>
      </c>
      <c r="F271" s="17">
        <f t="shared" si="14"/>
        <v>38653.177150452582</v>
      </c>
    </row>
    <row r="272" spans="2:6" x14ac:dyDescent="0.2">
      <c r="B272" s="12">
        <v>268</v>
      </c>
      <c r="C272" s="12">
        <v>403.50186957462364</v>
      </c>
      <c r="D272" s="17">
        <f t="shared" si="12"/>
        <v>342.84581408696437</v>
      </c>
      <c r="E272" s="18">
        <f t="shared" si="13"/>
        <v>60.656055487659273</v>
      </c>
      <c r="F272" s="17">
        <f t="shared" si="14"/>
        <v>3679.1570673220008</v>
      </c>
    </row>
    <row r="273" spans="2:6" x14ac:dyDescent="0.2">
      <c r="B273" s="12">
        <v>269</v>
      </c>
      <c r="C273" s="12">
        <v>260.16181786057837</v>
      </c>
      <c r="D273" s="17">
        <f t="shared" si="12"/>
        <v>342.66791370624173</v>
      </c>
      <c r="E273" s="18">
        <f t="shared" si="13"/>
        <v>82.506095845663367</v>
      </c>
      <c r="F273" s="17">
        <f t="shared" si="14"/>
        <v>6807.2558516937897</v>
      </c>
    </row>
    <row r="274" spans="2:6" x14ac:dyDescent="0.2">
      <c r="B274" s="12">
        <v>270</v>
      </c>
      <c r="C274" s="12">
        <v>202.46327000118384</v>
      </c>
      <c r="D274" s="17">
        <f t="shared" ref="D274:D337" si="15">IF(B274="","",a+b*B274)</f>
        <v>342.49001332551916</v>
      </c>
      <c r="E274" s="18">
        <f t="shared" si="13"/>
        <v>140.02674332433531</v>
      </c>
      <c r="F274" s="17">
        <f t="shared" si="14"/>
        <v>19607.488846019285</v>
      </c>
    </row>
    <row r="275" spans="2:6" x14ac:dyDescent="0.2">
      <c r="B275" s="12">
        <v>271</v>
      </c>
      <c r="C275" s="12">
        <v>360.24278084834214</v>
      </c>
      <c r="D275" s="17">
        <f t="shared" si="15"/>
        <v>342.31211294479652</v>
      </c>
      <c r="E275" s="18">
        <f t="shared" si="13"/>
        <v>17.930667903545611</v>
      </c>
      <c r="F275" s="17">
        <f t="shared" si="14"/>
        <v>321.50885146724079</v>
      </c>
    </row>
    <row r="276" spans="2:6" x14ac:dyDescent="0.2">
      <c r="B276" s="12">
        <v>272</v>
      </c>
      <c r="C276" s="12">
        <v>202.4035670794957</v>
      </c>
      <c r="D276" s="17">
        <f t="shared" si="15"/>
        <v>342.13421256407389</v>
      </c>
      <c r="E276" s="18">
        <f t="shared" si="13"/>
        <v>139.73064548457819</v>
      </c>
      <c r="F276" s="17">
        <f t="shared" si="14"/>
        <v>19524.653287536872</v>
      </c>
    </row>
    <row r="277" spans="2:6" x14ac:dyDescent="0.2">
      <c r="B277" s="12">
        <v>273</v>
      </c>
      <c r="C277" s="12">
        <v>324.95350563076357</v>
      </c>
      <c r="D277" s="17">
        <f t="shared" si="15"/>
        <v>341.95631218335132</v>
      </c>
      <c r="E277" s="18">
        <f t="shared" si="13"/>
        <v>17.002806552587742</v>
      </c>
      <c r="F277" s="17">
        <f t="shared" si="14"/>
        <v>289.09543066472065</v>
      </c>
    </row>
    <row r="278" spans="2:6" x14ac:dyDescent="0.2">
      <c r="B278" s="12">
        <v>274</v>
      </c>
      <c r="C278" s="12">
        <v>639.3976985111907</v>
      </c>
      <c r="D278" s="17">
        <f t="shared" si="15"/>
        <v>341.77841180262868</v>
      </c>
      <c r="E278" s="18">
        <f t="shared" si="13"/>
        <v>297.61928670856202</v>
      </c>
      <c r="F278" s="17">
        <f t="shared" si="14"/>
        <v>88577.239820913237</v>
      </c>
    </row>
    <row r="279" spans="2:6" x14ac:dyDescent="0.2">
      <c r="B279" s="12">
        <v>275</v>
      </c>
      <c r="C279" s="12">
        <v>220.73063270805758</v>
      </c>
      <c r="D279" s="17">
        <f t="shared" si="15"/>
        <v>341.60051142190611</v>
      </c>
      <c r="E279" s="18">
        <f t="shared" si="13"/>
        <v>120.86987871384852</v>
      </c>
      <c r="F279" s="17">
        <f t="shared" si="14"/>
        <v>14609.527580300452</v>
      </c>
    </row>
    <row r="280" spans="2:6" x14ac:dyDescent="0.2">
      <c r="B280" s="12">
        <v>276</v>
      </c>
      <c r="C280" s="12">
        <v>329.79972894566532</v>
      </c>
      <c r="D280" s="17">
        <f t="shared" si="15"/>
        <v>341.42261104118347</v>
      </c>
      <c r="E280" s="18">
        <f t="shared" si="13"/>
        <v>11.62288209551815</v>
      </c>
      <c r="F280" s="17">
        <f t="shared" si="14"/>
        <v>135.0913882063164</v>
      </c>
    </row>
    <row r="281" spans="2:6" x14ac:dyDescent="0.2">
      <c r="B281" s="12">
        <v>277</v>
      </c>
      <c r="C281" s="12">
        <v>150.72606059111382</v>
      </c>
      <c r="D281" s="17">
        <f t="shared" si="15"/>
        <v>341.2447106604609</v>
      </c>
      <c r="E281" s="18">
        <f t="shared" si="13"/>
        <v>190.51865006934707</v>
      </c>
      <c r="F281" s="17">
        <f t="shared" si="14"/>
        <v>36297.356024246321</v>
      </c>
    </row>
    <row r="282" spans="2:6" x14ac:dyDescent="0.2">
      <c r="B282" s="12">
        <v>278</v>
      </c>
      <c r="C282" s="12">
        <v>372.83572748695224</v>
      </c>
      <c r="D282" s="17">
        <f t="shared" si="15"/>
        <v>341.06681027973826</v>
      </c>
      <c r="E282" s="18">
        <f t="shared" si="13"/>
        <v>31.768917207213974</v>
      </c>
      <c r="F282" s="17">
        <f t="shared" si="14"/>
        <v>1009.2641005188161</v>
      </c>
    </row>
    <row r="283" spans="2:6" x14ac:dyDescent="0.2">
      <c r="B283" s="12">
        <v>279</v>
      </c>
      <c r="C283" s="12">
        <v>726.45184525684579</v>
      </c>
      <c r="D283" s="17">
        <f t="shared" si="15"/>
        <v>340.88890989901563</v>
      </c>
      <c r="E283" s="18">
        <f t="shared" si="13"/>
        <v>385.56293535783016</v>
      </c>
      <c r="F283" s="17">
        <f t="shared" si="14"/>
        <v>148658.7771217463</v>
      </c>
    </row>
    <row r="284" spans="2:6" x14ac:dyDescent="0.2">
      <c r="B284" s="12">
        <v>280</v>
      </c>
      <c r="C284" s="12">
        <v>350.1244518817465</v>
      </c>
      <c r="D284" s="17">
        <f t="shared" si="15"/>
        <v>340.71100951829305</v>
      </c>
      <c r="E284" s="18">
        <f t="shared" si="13"/>
        <v>9.4134423634534414</v>
      </c>
      <c r="F284" s="17">
        <f t="shared" si="14"/>
        <v>88.612897130059906</v>
      </c>
    </row>
    <row r="285" spans="2:6" x14ac:dyDescent="0.2">
      <c r="B285" s="12">
        <v>281</v>
      </c>
      <c r="C285" s="12">
        <v>289.20899307542959</v>
      </c>
      <c r="D285" s="17">
        <f t="shared" si="15"/>
        <v>340.53310913757042</v>
      </c>
      <c r="E285" s="18">
        <f t="shared" si="13"/>
        <v>51.324116062140831</v>
      </c>
      <c r="F285" s="17">
        <f t="shared" si="14"/>
        <v>2634.1648895601024</v>
      </c>
    </row>
    <row r="286" spans="2:6" x14ac:dyDescent="0.2">
      <c r="B286" s="12">
        <v>282</v>
      </c>
      <c r="C286" s="12">
        <v>244.03266952847002</v>
      </c>
      <c r="D286" s="17">
        <f t="shared" si="15"/>
        <v>340.35520875684784</v>
      </c>
      <c r="E286" s="18">
        <f t="shared" si="13"/>
        <v>96.322539228377821</v>
      </c>
      <c r="F286" s="17">
        <f t="shared" si="14"/>
        <v>9278.0315634023846</v>
      </c>
    </row>
    <row r="287" spans="2:6" x14ac:dyDescent="0.2">
      <c r="B287" s="12">
        <v>283</v>
      </c>
      <c r="C287" s="12">
        <v>364.62620796770557</v>
      </c>
      <c r="D287" s="17">
        <f t="shared" si="15"/>
        <v>340.17730837612521</v>
      </c>
      <c r="E287" s="18">
        <f t="shared" si="13"/>
        <v>24.448899591580357</v>
      </c>
      <c r="F287" s="17">
        <f t="shared" si="14"/>
        <v>597.74869123917813</v>
      </c>
    </row>
    <row r="288" spans="2:6" x14ac:dyDescent="0.2">
      <c r="B288" s="12">
        <v>284</v>
      </c>
      <c r="C288" s="12">
        <v>285.17737727024939</v>
      </c>
      <c r="D288" s="17">
        <f t="shared" si="15"/>
        <v>339.99940799540263</v>
      </c>
      <c r="E288" s="18">
        <f t="shared" si="13"/>
        <v>54.82203072515324</v>
      </c>
      <c r="F288" s="17">
        <f t="shared" si="14"/>
        <v>3005.4550528296459</v>
      </c>
    </row>
    <row r="289" spans="2:6" x14ac:dyDescent="0.2">
      <c r="B289" s="12">
        <v>285</v>
      </c>
      <c r="C289" s="12">
        <v>274.01044060310596</v>
      </c>
      <c r="D289" s="17">
        <f t="shared" si="15"/>
        <v>339.82150761468</v>
      </c>
      <c r="E289" s="18">
        <f t="shared" si="13"/>
        <v>65.811067011574039</v>
      </c>
      <c r="F289" s="17">
        <f t="shared" si="14"/>
        <v>4331.0965412018886</v>
      </c>
    </row>
    <row r="290" spans="2:6" x14ac:dyDescent="0.2">
      <c r="B290" s="12">
        <v>286</v>
      </c>
      <c r="C290" s="12">
        <v>394.49121423885356</v>
      </c>
      <c r="D290" s="17">
        <f t="shared" si="15"/>
        <v>339.64360723395743</v>
      </c>
      <c r="E290" s="18">
        <f t="shared" si="13"/>
        <v>54.847607004896133</v>
      </c>
      <c r="F290" s="17">
        <f t="shared" si="14"/>
        <v>3008.2599941635312</v>
      </c>
    </row>
    <row r="291" spans="2:6" x14ac:dyDescent="0.2">
      <c r="B291" s="12">
        <v>287</v>
      </c>
      <c r="C291" s="12">
        <v>446.43623660796572</v>
      </c>
      <c r="D291" s="17">
        <f t="shared" si="15"/>
        <v>339.46570685323479</v>
      </c>
      <c r="E291" s="18">
        <f t="shared" si="13"/>
        <v>106.97052975473093</v>
      </c>
      <c r="F291" s="17">
        <f t="shared" si="14"/>
        <v>11442.694236007776</v>
      </c>
    </row>
    <row r="292" spans="2:6" x14ac:dyDescent="0.2">
      <c r="B292" s="12">
        <v>288</v>
      </c>
      <c r="C292" s="12">
        <v>220.58102203412759</v>
      </c>
      <c r="D292" s="17">
        <f t="shared" si="15"/>
        <v>339.28780647251222</v>
      </c>
      <c r="E292" s="18">
        <f t="shared" si="13"/>
        <v>118.70678443838463</v>
      </c>
      <c r="F292" s="17">
        <f t="shared" si="14"/>
        <v>14091.300671701116</v>
      </c>
    </row>
    <row r="293" spans="2:6" x14ac:dyDescent="0.2">
      <c r="B293" s="12">
        <v>289</v>
      </c>
      <c r="C293" s="12">
        <v>510.31741195728836</v>
      </c>
      <c r="D293" s="17">
        <f t="shared" si="15"/>
        <v>339.10990609178958</v>
      </c>
      <c r="E293" s="18">
        <f t="shared" si="13"/>
        <v>171.20750586549877</v>
      </c>
      <c r="F293" s="17">
        <f t="shared" si="14"/>
        <v>29312.010064684797</v>
      </c>
    </row>
    <row r="294" spans="2:6" x14ac:dyDescent="0.2">
      <c r="B294" s="12">
        <v>290</v>
      </c>
      <c r="C294" s="12">
        <v>344.03533097945524</v>
      </c>
      <c r="D294" s="17">
        <f t="shared" si="15"/>
        <v>338.93200571106695</v>
      </c>
      <c r="E294" s="18">
        <f t="shared" si="13"/>
        <v>5.1033252683882893</v>
      </c>
      <c r="F294" s="17">
        <f t="shared" si="14"/>
        <v>26.043928794970405</v>
      </c>
    </row>
    <row r="295" spans="2:6" x14ac:dyDescent="0.2">
      <c r="B295" s="12">
        <v>291</v>
      </c>
      <c r="C295" s="12">
        <v>279.06130910787067</v>
      </c>
      <c r="D295" s="17">
        <f t="shared" si="15"/>
        <v>338.75410533034437</v>
      </c>
      <c r="E295" s="18">
        <f t="shared" si="13"/>
        <v>59.692796222473703</v>
      </c>
      <c r="F295" s="17">
        <f t="shared" si="14"/>
        <v>3563.2299208577706</v>
      </c>
    </row>
    <row r="296" spans="2:6" x14ac:dyDescent="0.2">
      <c r="B296" s="12">
        <v>292</v>
      </c>
      <c r="C296" s="12">
        <v>330.16184700910651</v>
      </c>
      <c r="D296" s="17">
        <f t="shared" si="15"/>
        <v>338.57620494962174</v>
      </c>
      <c r="E296" s="18">
        <f t="shared" si="13"/>
        <v>8.4143579405152309</v>
      </c>
      <c r="F296" s="17">
        <f t="shared" si="14"/>
        <v>70.801419551111721</v>
      </c>
    </row>
    <row r="297" spans="2:6" x14ac:dyDescent="0.2">
      <c r="B297" s="12">
        <v>293</v>
      </c>
      <c r="C297" s="12">
        <v>364.62620796770557</v>
      </c>
      <c r="D297" s="17">
        <f t="shared" si="15"/>
        <v>338.39830456889916</v>
      </c>
      <c r="E297" s="18">
        <f t="shared" si="13"/>
        <v>26.227903398806404</v>
      </c>
      <c r="F297" s="17">
        <f t="shared" si="14"/>
        <v>687.90291669712053</v>
      </c>
    </row>
    <row r="298" spans="2:6" x14ac:dyDescent="0.2">
      <c r="B298" s="12">
        <v>294</v>
      </c>
      <c r="C298" s="12">
        <v>226.14065706342581</v>
      </c>
      <c r="D298" s="17">
        <f t="shared" si="15"/>
        <v>338.22040418817653</v>
      </c>
      <c r="E298" s="18">
        <f t="shared" si="13"/>
        <v>112.07974712475072</v>
      </c>
      <c r="F298" s="17">
        <f t="shared" si="14"/>
        <v>12561.869715548068</v>
      </c>
    </row>
    <row r="299" spans="2:6" x14ac:dyDescent="0.2">
      <c r="B299" s="12">
        <v>295</v>
      </c>
      <c r="C299" s="12">
        <v>354.69129255846497</v>
      </c>
      <c r="D299" s="17">
        <f t="shared" si="15"/>
        <v>338.04250380745395</v>
      </c>
      <c r="E299" s="18">
        <f t="shared" si="13"/>
        <v>16.648788751011011</v>
      </c>
      <c r="F299" s="17">
        <f t="shared" si="14"/>
        <v>277.18216687579081</v>
      </c>
    </row>
    <row r="300" spans="2:6" x14ac:dyDescent="0.2">
      <c r="B300" s="12">
        <v>296</v>
      </c>
      <c r="C300" s="12">
        <v>378.00122779157027</v>
      </c>
      <c r="D300" s="17">
        <f t="shared" si="15"/>
        <v>337.86460342673132</v>
      </c>
      <c r="E300" s="18">
        <f t="shared" si="13"/>
        <v>40.136624364838951</v>
      </c>
      <c r="F300" s="17">
        <f t="shared" si="14"/>
        <v>1610.9486154041838</v>
      </c>
    </row>
    <row r="301" spans="2:6" x14ac:dyDescent="0.2">
      <c r="B301" s="12">
        <v>297</v>
      </c>
      <c r="C301" s="12">
        <v>294.27468972550793</v>
      </c>
      <c r="D301" s="17">
        <f t="shared" si="15"/>
        <v>337.68670304600869</v>
      </c>
      <c r="E301" s="18">
        <f t="shared" si="13"/>
        <v>43.412013320500762</v>
      </c>
      <c r="F301" s="17">
        <f t="shared" si="14"/>
        <v>1884.6029005393357</v>
      </c>
    </row>
    <row r="302" spans="2:6" x14ac:dyDescent="0.2">
      <c r="B302" s="12">
        <v>298</v>
      </c>
      <c r="C302" s="12">
        <v>265.23522893371927</v>
      </c>
      <c r="D302" s="17">
        <f t="shared" si="15"/>
        <v>337.50880266528611</v>
      </c>
      <c r="E302" s="18">
        <f t="shared" si="13"/>
        <v>72.273573731566842</v>
      </c>
      <c r="F302" s="17">
        <f t="shared" si="14"/>
        <v>5223.4694599322283</v>
      </c>
    </row>
    <row r="303" spans="2:6" x14ac:dyDescent="0.2">
      <c r="B303" s="12">
        <v>299</v>
      </c>
      <c r="C303" s="12">
        <v>528.32861473225148</v>
      </c>
      <c r="D303" s="17">
        <f t="shared" si="15"/>
        <v>337.33090228456354</v>
      </c>
      <c r="E303" s="18">
        <f t="shared" si="13"/>
        <v>190.99771244768795</v>
      </c>
      <c r="F303" s="17">
        <f t="shared" si="14"/>
        <v>36480.126160249689</v>
      </c>
    </row>
    <row r="304" spans="2:6" x14ac:dyDescent="0.2">
      <c r="B304" s="12">
        <v>300</v>
      </c>
      <c r="C304" s="12">
        <v>284.66640218211563</v>
      </c>
      <c r="D304" s="17">
        <f t="shared" si="15"/>
        <v>337.1530019038409</v>
      </c>
      <c r="E304" s="18">
        <f t="shared" si="13"/>
        <v>52.48659972172527</v>
      </c>
      <c r="F304" s="17">
        <f t="shared" si="14"/>
        <v>2754.8431503486113</v>
      </c>
    </row>
    <row r="305" spans="2:6" x14ac:dyDescent="0.2">
      <c r="B305" s="12">
        <v>301</v>
      </c>
      <c r="C305" s="12">
        <v>407.17581919830224</v>
      </c>
      <c r="D305" s="17">
        <f t="shared" si="15"/>
        <v>336.97510152311827</v>
      </c>
      <c r="E305" s="18">
        <f t="shared" si="13"/>
        <v>70.200717675183967</v>
      </c>
      <c r="F305" s="17">
        <f t="shared" si="14"/>
        <v>4928.1407621108865</v>
      </c>
    </row>
    <row r="306" spans="2:6" x14ac:dyDescent="0.2">
      <c r="B306" s="12">
        <v>302</v>
      </c>
      <c r="C306" s="12">
        <v>192.35516304008812</v>
      </c>
      <c r="D306" s="17">
        <f t="shared" si="15"/>
        <v>336.79720114239569</v>
      </c>
      <c r="E306" s="18">
        <f t="shared" si="13"/>
        <v>144.44203810230758</v>
      </c>
      <c r="F306" s="17">
        <f t="shared" si="14"/>
        <v>20863.502371148476</v>
      </c>
    </row>
    <row r="307" spans="2:6" x14ac:dyDescent="0.2">
      <c r="B307" s="12">
        <v>303</v>
      </c>
      <c r="C307" s="12">
        <v>364.62620796770557</v>
      </c>
      <c r="D307" s="17">
        <f t="shared" si="15"/>
        <v>336.61930076167306</v>
      </c>
      <c r="E307" s="18">
        <f t="shared" si="13"/>
        <v>28.006907206032508</v>
      </c>
      <c r="F307" s="17">
        <f t="shared" si="14"/>
        <v>784.38685124731569</v>
      </c>
    </row>
    <row r="308" spans="2:6" x14ac:dyDescent="0.2">
      <c r="B308" s="12">
        <v>304</v>
      </c>
      <c r="C308" s="12">
        <v>299.18609053966514</v>
      </c>
      <c r="D308" s="17">
        <f t="shared" si="15"/>
        <v>336.44140038095048</v>
      </c>
      <c r="E308" s="18">
        <f t="shared" si="13"/>
        <v>37.255309841285339</v>
      </c>
      <c r="F308" s="17">
        <f t="shared" si="14"/>
        <v>1387.9581113701722</v>
      </c>
    </row>
    <row r="309" spans="2:6" x14ac:dyDescent="0.2">
      <c r="B309" s="12">
        <v>305</v>
      </c>
      <c r="C309" s="12">
        <v>360.78041346075617</v>
      </c>
      <c r="D309" s="17">
        <f t="shared" si="15"/>
        <v>336.26350000022785</v>
      </c>
      <c r="E309" s="18">
        <f t="shared" si="13"/>
        <v>24.516913460528315</v>
      </c>
      <c r="F309" s="17">
        <f t="shared" si="14"/>
        <v>601.07904563103443</v>
      </c>
    </row>
    <row r="310" spans="2:6" x14ac:dyDescent="0.2">
      <c r="B310" s="12">
        <v>306</v>
      </c>
      <c r="C310" s="12">
        <v>152.21525951338401</v>
      </c>
      <c r="D310" s="17">
        <f t="shared" si="15"/>
        <v>336.08559961950527</v>
      </c>
      <c r="E310" s="18">
        <f t="shared" si="13"/>
        <v>183.87034010612126</v>
      </c>
      <c r="F310" s="17">
        <f t="shared" si="14"/>
        <v>33808.301970740707</v>
      </c>
    </row>
    <row r="311" spans="2:6" x14ac:dyDescent="0.2">
      <c r="B311" s="12">
        <v>307</v>
      </c>
      <c r="C311" s="12">
        <v>358.87157283598532</v>
      </c>
      <c r="D311" s="17">
        <f t="shared" si="15"/>
        <v>335.90769923878264</v>
      </c>
      <c r="E311" s="18">
        <f t="shared" si="13"/>
        <v>22.963873597202678</v>
      </c>
      <c r="F311" s="17">
        <f t="shared" si="14"/>
        <v>527.33949058830228</v>
      </c>
    </row>
    <row r="312" spans="2:6" x14ac:dyDescent="0.2">
      <c r="B312" s="12">
        <v>308</v>
      </c>
      <c r="C312" s="12">
        <v>454.61210638740931</v>
      </c>
      <c r="D312" s="17">
        <f t="shared" si="15"/>
        <v>335.72979885806001</v>
      </c>
      <c r="E312" s="18">
        <f t="shared" si="13"/>
        <v>118.8823075293493</v>
      </c>
      <c r="F312" s="17">
        <f t="shared" si="14"/>
        <v>14133.003043502782</v>
      </c>
    </row>
    <row r="313" spans="2:6" x14ac:dyDescent="0.2">
      <c r="B313" s="12">
        <v>309</v>
      </c>
      <c r="C313" s="12">
        <v>441.27446798659639</v>
      </c>
      <c r="D313" s="17">
        <f t="shared" si="15"/>
        <v>335.55189847733743</v>
      </c>
      <c r="E313" s="18">
        <f t="shared" si="13"/>
        <v>105.72256950925896</v>
      </c>
      <c r="F313" s="17">
        <f t="shared" si="14"/>
        <v>11177.261703640092</v>
      </c>
    </row>
    <row r="314" spans="2:6" x14ac:dyDescent="0.2">
      <c r="B314" s="12">
        <v>310</v>
      </c>
      <c r="C314" s="12">
        <v>242.04255586607692</v>
      </c>
      <c r="D314" s="17">
        <f t="shared" si="15"/>
        <v>335.3739980966148</v>
      </c>
      <c r="E314" s="18">
        <f t="shared" si="13"/>
        <v>93.331442230537874</v>
      </c>
      <c r="F314" s="17">
        <f t="shared" si="14"/>
        <v>8710.7581088322277</v>
      </c>
    </row>
    <row r="315" spans="2:6" x14ac:dyDescent="0.2">
      <c r="B315" s="12">
        <v>311</v>
      </c>
      <c r="C315" s="12">
        <v>281.59823009976043</v>
      </c>
      <c r="D315" s="17">
        <f t="shared" si="15"/>
        <v>335.19609771589222</v>
      </c>
      <c r="E315" s="18">
        <f t="shared" si="13"/>
        <v>53.597867616131794</v>
      </c>
      <c r="F315" s="17">
        <f t="shared" si="14"/>
        <v>2872.7314129963893</v>
      </c>
    </row>
    <row r="316" spans="2:6" x14ac:dyDescent="0.2">
      <c r="B316" s="12">
        <v>312</v>
      </c>
      <c r="C316" s="12">
        <v>294.27468972550793</v>
      </c>
      <c r="D316" s="17">
        <f t="shared" si="15"/>
        <v>335.01819733516959</v>
      </c>
      <c r="E316" s="18">
        <f t="shared" si="13"/>
        <v>40.743507609661663</v>
      </c>
      <c r="F316" s="17">
        <f t="shared" si="14"/>
        <v>1660.0334123385578</v>
      </c>
    </row>
    <row r="317" spans="2:6" x14ac:dyDescent="0.2">
      <c r="B317" s="12">
        <v>313</v>
      </c>
      <c r="C317" s="12">
        <v>418.56593937207623</v>
      </c>
      <c r="D317" s="17">
        <f t="shared" si="15"/>
        <v>334.84029695444701</v>
      </c>
      <c r="E317" s="18">
        <f t="shared" si="13"/>
        <v>83.725642417629217</v>
      </c>
      <c r="F317" s="17">
        <f t="shared" si="14"/>
        <v>7009.9831982447131</v>
      </c>
    </row>
    <row r="318" spans="2:6" x14ac:dyDescent="0.2">
      <c r="B318" s="12">
        <v>314</v>
      </c>
      <c r="C318" s="12">
        <v>222.13816755787846</v>
      </c>
      <c r="D318" s="17">
        <f t="shared" si="15"/>
        <v>334.66239657372438</v>
      </c>
      <c r="E318" s="18">
        <f t="shared" si="13"/>
        <v>112.52422901584592</v>
      </c>
      <c r="F318" s="17">
        <f t="shared" si="14"/>
        <v>12661.70211561054</v>
      </c>
    </row>
    <row r="319" spans="2:6" x14ac:dyDescent="0.2">
      <c r="B319" s="12">
        <v>315</v>
      </c>
      <c r="C319" s="12">
        <v>310.54516601685344</v>
      </c>
      <c r="D319" s="17">
        <f t="shared" si="15"/>
        <v>334.4844961930018</v>
      </c>
      <c r="E319" s="18">
        <f t="shared" si="13"/>
        <v>23.93933017614836</v>
      </c>
      <c r="F319" s="17">
        <f t="shared" si="14"/>
        <v>573.09152928264746</v>
      </c>
    </row>
    <row r="320" spans="2:6" x14ac:dyDescent="0.2">
      <c r="B320" s="12">
        <v>316</v>
      </c>
      <c r="C320" s="12">
        <v>295.55129555515396</v>
      </c>
      <c r="D320" s="17">
        <f t="shared" si="15"/>
        <v>334.30659581227917</v>
      </c>
      <c r="E320" s="18">
        <f t="shared" si="13"/>
        <v>38.755300257125214</v>
      </c>
      <c r="F320" s="17">
        <f t="shared" si="14"/>
        <v>1501.9732980199296</v>
      </c>
    </row>
    <row r="321" spans="2:6" x14ac:dyDescent="0.2">
      <c r="B321" s="12">
        <v>317</v>
      </c>
      <c r="C321" s="12">
        <v>462.22658581274908</v>
      </c>
      <c r="D321" s="17">
        <f t="shared" si="15"/>
        <v>334.12869543155659</v>
      </c>
      <c r="E321" s="18">
        <f t="shared" si="13"/>
        <v>128.09789038119249</v>
      </c>
      <c r="F321" s="17">
        <f t="shared" si="14"/>
        <v>16409.069520112007</v>
      </c>
    </row>
    <row r="322" spans="2:6" x14ac:dyDescent="0.2">
      <c r="B322" s="12">
        <v>318</v>
      </c>
      <c r="C322" s="12">
        <v>345.93560284864401</v>
      </c>
      <c r="D322" s="17">
        <f t="shared" si="15"/>
        <v>333.95079505083396</v>
      </c>
      <c r="E322" s="18">
        <f t="shared" si="13"/>
        <v>11.984807797810049</v>
      </c>
      <c r="F322" s="17">
        <f t="shared" si="14"/>
        <v>143.63561795044856</v>
      </c>
    </row>
    <row r="323" spans="2:6" x14ac:dyDescent="0.2">
      <c r="B323" s="12">
        <v>319</v>
      </c>
      <c r="C323" s="12">
        <v>325.20227232572296</v>
      </c>
      <c r="D323" s="17">
        <f t="shared" si="15"/>
        <v>333.77289467011133</v>
      </c>
      <c r="E323" s="18">
        <f t="shared" si="13"/>
        <v>8.5706223443883687</v>
      </c>
      <c r="F323" s="17">
        <f t="shared" si="14"/>
        <v>73.455567370129174</v>
      </c>
    </row>
    <row r="324" spans="2:6" x14ac:dyDescent="0.2">
      <c r="B324" s="12">
        <v>320</v>
      </c>
      <c r="C324" s="12">
        <v>299.88920443784377</v>
      </c>
      <c r="D324" s="17">
        <f t="shared" si="15"/>
        <v>333.59499428938875</v>
      </c>
      <c r="E324" s="18">
        <f t="shared" si="13"/>
        <v>33.705789851544978</v>
      </c>
      <c r="F324" s="17">
        <f t="shared" si="14"/>
        <v>1136.0802695165123</v>
      </c>
    </row>
    <row r="325" spans="2:6" x14ac:dyDescent="0.2">
      <c r="B325" s="12">
        <v>321</v>
      </c>
      <c r="C325" s="12">
        <v>329.79972894566532</v>
      </c>
      <c r="D325" s="17">
        <f t="shared" si="15"/>
        <v>333.41709390866612</v>
      </c>
      <c r="E325" s="18">
        <f t="shared" ref="E325:E388" si="16">IF(B325="","",ABS(C325-D325))</f>
        <v>3.6173649630007958</v>
      </c>
      <c r="F325" s="17">
        <f t="shared" ref="F325:F388" si="17">IF(B325="","",E325^2)</f>
        <v>13.08532927554575</v>
      </c>
    </row>
    <row r="326" spans="2:6" x14ac:dyDescent="0.2">
      <c r="B326" s="12">
        <v>322</v>
      </c>
      <c r="C326" s="12">
        <v>523.95249634053857</v>
      </c>
      <c r="D326" s="17">
        <f t="shared" si="15"/>
        <v>333.23919352794354</v>
      </c>
      <c r="E326" s="18">
        <f t="shared" si="16"/>
        <v>190.71330281259503</v>
      </c>
      <c r="F326" s="17">
        <f t="shared" si="17"/>
        <v>36371.563869688565</v>
      </c>
    </row>
    <row r="327" spans="2:6" x14ac:dyDescent="0.2">
      <c r="B327" s="12">
        <v>323</v>
      </c>
      <c r="C327" s="12">
        <v>270.61525386138089</v>
      </c>
      <c r="D327" s="17">
        <f t="shared" si="15"/>
        <v>333.06129314722091</v>
      </c>
      <c r="E327" s="18">
        <f t="shared" si="16"/>
        <v>62.446039285840016</v>
      </c>
      <c r="F327" s="17">
        <f t="shared" si="17"/>
        <v>3899.5078224886747</v>
      </c>
    </row>
    <row r="328" spans="2:6" x14ac:dyDescent="0.2">
      <c r="B328" s="12">
        <v>324</v>
      </c>
      <c r="C328" s="12">
        <v>624.3883628653881</v>
      </c>
      <c r="D328" s="17">
        <f t="shared" si="15"/>
        <v>332.88339276649833</v>
      </c>
      <c r="E328" s="18">
        <f t="shared" si="16"/>
        <v>291.50497009888977</v>
      </c>
      <c r="F328" s="17">
        <f t="shared" si="17"/>
        <v>84975.147592354624</v>
      </c>
    </row>
    <row r="329" spans="2:6" x14ac:dyDescent="0.2">
      <c r="B329" s="12">
        <v>325</v>
      </c>
      <c r="C329" s="12">
        <v>305.97832534013497</v>
      </c>
      <c r="D329" s="17">
        <f t="shared" si="15"/>
        <v>332.7054923857757</v>
      </c>
      <c r="E329" s="18">
        <f t="shared" si="16"/>
        <v>26.727167045640726</v>
      </c>
      <c r="F329" s="17">
        <f t="shared" si="17"/>
        <v>714.3414582855836</v>
      </c>
    </row>
    <row r="330" spans="2:6" x14ac:dyDescent="0.2">
      <c r="B330" s="12">
        <v>326</v>
      </c>
      <c r="C330" s="12">
        <v>294.28283505920911</v>
      </c>
      <c r="D330" s="17">
        <f t="shared" si="15"/>
        <v>332.52759200505307</v>
      </c>
      <c r="E330" s="18">
        <f t="shared" si="16"/>
        <v>38.24475694584396</v>
      </c>
      <c r="F330" s="17">
        <f t="shared" si="17"/>
        <v>1462.6614338466798</v>
      </c>
    </row>
    <row r="331" spans="2:6" x14ac:dyDescent="0.2">
      <c r="B331" s="12">
        <v>327</v>
      </c>
      <c r="C331" s="12">
        <v>470.83950356081272</v>
      </c>
      <c r="D331" s="17">
        <f t="shared" si="15"/>
        <v>332.34969162433049</v>
      </c>
      <c r="E331" s="18">
        <f t="shared" si="16"/>
        <v>138.48981193648223</v>
      </c>
      <c r="F331" s="17">
        <f t="shared" si="17"/>
        <v>19179.428010202217</v>
      </c>
    </row>
    <row r="332" spans="2:6" x14ac:dyDescent="0.2">
      <c r="B332" s="12">
        <v>328</v>
      </c>
      <c r="C332" s="12">
        <v>337.32756296438538</v>
      </c>
      <c r="D332" s="17">
        <f t="shared" si="15"/>
        <v>332.17179124360786</v>
      </c>
      <c r="E332" s="18">
        <f t="shared" si="16"/>
        <v>5.1557717207775227</v>
      </c>
      <c r="F332" s="17">
        <f t="shared" si="17"/>
        <v>26.581982036769219</v>
      </c>
    </row>
    <row r="333" spans="2:6" x14ac:dyDescent="0.2">
      <c r="B333" s="12">
        <v>329</v>
      </c>
      <c r="C333" s="12">
        <v>249.15497172032315</v>
      </c>
      <c r="D333" s="17">
        <f t="shared" si="15"/>
        <v>331.99389086288528</v>
      </c>
      <c r="E333" s="18">
        <f t="shared" si="16"/>
        <v>82.838919142562133</v>
      </c>
      <c r="F333" s="17">
        <f t="shared" si="17"/>
        <v>6862.2865247079471</v>
      </c>
    </row>
    <row r="334" spans="2:6" x14ac:dyDescent="0.2">
      <c r="B334" s="12">
        <v>330</v>
      </c>
      <c r="C334" s="12">
        <v>254.22079767065944</v>
      </c>
      <c r="D334" s="17">
        <f t="shared" si="15"/>
        <v>331.81599048216265</v>
      </c>
      <c r="E334" s="18">
        <f t="shared" si="16"/>
        <v>77.59519281150321</v>
      </c>
      <c r="F334" s="17">
        <f t="shared" si="17"/>
        <v>6021.0139474543594</v>
      </c>
    </row>
    <row r="335" spans="2:6" x14ac:dyDescent="0.2">
      <c r="B335" s="12">
        <v>331</v>
      </c>
      <c r="C335" s="12">
        <v>243.5444152214144</v>
      </c>
      <c r="D335" s="17">
        <f t="shared" si="15"/>
        <v>331.63809010144007</v>
      </c>
      <c r="E335" s="18">
        <f t="shared" si="16"/>
        <v>88.093674880025674</v>
      </c>
      <c r="F335" s="17">
        <f t="shared" si="17"/>
        <v>7760.4955538676668</v>
      </c>
    </row>
    <row r="336" spans="2:6" x14ac:dyDescent="0.2">
      <c r="B336" s="12">
        <v>332</v>
      </c>
      <c r="C336" s="12">
        <v>424.90394223780663</v>
      </c>
      <c r="D336" s="17">
        <f t="shared" si="15"/>
        <v>331.46018972071744</v>
      </c>
      <c r="E336" s="18">
        <f t="shared" si="16"/>
        <v>93.443752517089194</v>
      </c>
      <c r="F336" s="17">
        <f t="shared" si="17"/>
        <v>8731.734884475014</v>
      </c>
    </row>
    <row r="337" spans="2:6" x14ac:dyDescent="0.2">
      <c r="B337" s="12">
        <v>333</v>
      </c>
      <c r="C337" s="12">
        <v>701.43628584717476</v>
      </c>
      <c r="D337" s="17">
        <f t="shared" si="15"/>
        <v>331.28228933999486</v>
      </c>
      <c r="E337" s="18">
        <f t="shared" si="16"/>
        <v>370.1539965071799</v>
      </c>
      <c r="F337" s="17">
        <f t="shared" si="17"/>
        <v>137013.98113023734</v>
      </c>
    </row>
    <row r="338" spans="2:6" x14ac:dyDescent="0.2">
      <c r="B338" s="12">
        <v>334</v>
      </c>
      <c r="C338" s="12">
        <v>503.8747546646004</v>
      </c>
      <c r="D338" s="17">
        <f t="shared" ref="D338:D401" si="18">IF(B338="","",a+b*B338)</f>
        <v>331.10438895927223</v>
      </c>
      <c r="E338" s="18">
        <f t="shared" si="16"/>
        <v>172.77036570532817</v>
      </c>
      <c r="F338" s="17">
        <f t="shared" si="17"/>
        <v>29849.599265952838</v>
      </c>
    </row>
    <row r="339" spans="2:6" x14ac:dyDescent="0.2">
      <c r="B339" s="12">
        <v>335</v>
      </c>
      <c r="C339" s="12">
        <v>204.22213984712354</v>
      </c>
      <c r="D339" s="17">
        <f t="shared" si="18"/>
        <v>330.92648857854965</v>
      </c>
      <c r="E339" s="18">
        <f t="shared" si="16"/>
        <v>126.70434873142611</v>
      </c>
      <c r="F339" s="17">
        <f t="shared" si="17"/>
        <v>16053.991987454841</v>
      </c>
    </row>
    <row r="340" spans="2:6" x14ac:dyDescent="0.2">
      <c r="B340" s="12">
        <v>336</v>
      </c>
      <c r="C340" s="12">
        <v>331.59733330045043</v>
      </c>
      <c r="D340" s="17">
        <f t="shared" si="18"/>
        <v>330.74858819782702</v>
      </c>
      <c r="E340" s="18">
        <f t="shared" si="16"/>
        <v>0.84874510262341119</v>
      </c>
      <c r="F340" s="17">
        <f t="shared" si="17"/>
        <v>0.72036824922722476</v>
      </c>
    </row>
    <row r="341" spans="2:6" x14ac:dyDescent="0.2">
      <c r="B341" s="12">
        <v>337</v>
      </c>
      <c r="C341" s="12">
        <v>237.25909930987871</v>
      </c>
      <c r="D341" s="17">
        <f t="shared" si="18"/>
        <v>330.57068781710439</v>
      </c>
      <c r="E341" s="18">
        <f t="shared" si="16"/>
        <v>93.311588507225679</v>
      </c>
      <c r="F341" s="17">
        <f t="shared" si="17"/>
        <v>8707.0525497418112</v>
      </c>
    </row>
    <row r="342" spans="2:6" x14ac:dyDescent="0.2">
      <c r="B342" s="12">
        <v>338</v>
      </c>
      <c r="C342" s="12">
        <v>483.3006077948437</v>
      </c>
      <c r="D342" s="17">
        <f t="shared" si="18"/>
        <v>330.39278743638181</v>
      </c>
      <c r="E342" s="18">
        <f t="shared" si="16"/>
        <v>152.90782035846189</v>
      </c>
      <c r="F342" s="17">
        <f t="shared" si="17"/>
        <v>23380.801526775653</v>
      </c>
    </row>
    <row r="343" spans="2:6" x14ac:dyDescent="0.2">
      <c r="B343" s="12">
        <v>339</v>
      </c>
      <c r="C343" s="12">
        <v>228.34203383592163</v>
      </c>
      <c r="D343" s="17">
        <f t="shared" si="18"/>
        <v>330.21488705565918</v>
      </c>
      <c r="E343" s="18">
        <f t="shared" si="16"/>
        <v>101.87285321973755</v>
      </c>
      <c r="F343" s="17">
        <f t="shared" si="17"/>
        <v>10378.078223130191</v>
      </c>
    </row>
    <row r="344" spans="2:6" x14ac:dyDescent="0.2">
      <c r="B344" s="12">
        <v>340</v>
      </c>
      <c r="C344" s="12">
        <v>282.86669059570528</v>
      </c>
      <c r="D344" s="17">
        <f t="shared" si="18"/>
        <v>330.0369866749366</v>
      </c>
      <c r="E344" s="18">
        <f t="shared" si="16"/>
        <v>47.170296079231321</v>
      </c>
      <c r="F344" s="17">
        <f t="shared" si="17"/>
        <v>2225.0368322023455</v>
      </c>
    </row>
    <row r="345" spans="2:6" x14ac:dyDescent="0.2">
      <c r="B345" s="12">
        <v>341</v>
      </c>
      <c r="C345" s="12">
        <v>399.06518899361566</v>
      </c>
      <c r="D345" s="17">
        <f t="shared" si="18"/>
        <v>329.85908629421397</v>
      </c>
      <c r="E345" s="18">
        <f t="shared" si="16"/>
        <v>69.206102699401697</v>
      </c>
      <c r="F345" s="17">
        <f t="shared" si="17"/>
        <v>4789.4846508401351</v>
      </c>
    </row>
    <row r="346" spans="2:6" x14ac:dyDescent="0.2">
      <c r="B346" s="12">
        <v>342</v>
      </c>
      <c r="C346" s="12">
        <v>224.8850419762569</v>
      </c>
      <c r="D346" s="17">
        <f t="shared" si="18"/>
        <v>329.68118591349139</v>
      </c>
      <c r="E346" s="18">
        <f t="shared" si="16"/>
        <v>104.79614393723449</v>
      </c>
      <c r="F346" s="17">
        <f t="shared" si="17"/>
        <v>10982.23178411357</v>
      </c>
    </row>
    <row r="347" spans="2:6" x14ac:dyDescent="0.2">
      <c r="B347" s="12">
        <v>343</v>
      </c>
      <c r="C347" s="12">
        <v>855.53213181074807</v>
      </c>
      <c r="D347" s="17">
        <f t="shared" si="18"/>
        <v>329.50328553276876</v>
      </c>
      <c r="E347" s="18">
        <f t="shared" si="16"/>
        <v>526.02884627797926</v>
      </c>
      <c r="F347" s="17">
        <f t="shared" si="17"/>
        <v>276706.34711654193</v>
      </c>
    </row>
    <row r="348" spans="2:6" x14ac:dyDescent="0.2">
      <c r="B348" s="12">
        <v>344</v>
      </c>
      <c r="C348" s="12">
        <v>263.35447902409629</v>
      </c>
      <c r="D348" s="17">
        <f t="shared" si="18"/>
        <v>329.32538515204612</v>
      </c>
      <c r="E348" s="18">
        <f t="shared" si="16"/>
        <v>65.970906127949831</v>
      </c>
      <c r="F348" s="17">
        <f t="shared" si="17"/>
        <v>4352.1604553427687</v>
      </c>
    </row>
    <row r="349" spans="2:6" x14ac:dyDescent="0.2">
      <c r="B349" s="12">
        <v>345</v>
      </c>
      <c r="C349" s="12">
        <v>287.94053257948474</v>
      </c>
      <c r="D349" s="17">
        <f t="shared" si="18"/>
        <v>329.14748477132355</v>
      </c>
      <c r="E349" s="18">
        <f t="shared" si="16"/>
        <v>41.206952191838809</v>
      </c>
      <c r="F349" s="17">
        <f t="shared" si="17"/>
        <v>1698.0129089404893</v>
      </c>
    </row>
    <row r="350" spans="2:6" x14ac:dyDescent="0.2">
      <c r="B350" s="12">
        <v>346</v>
      </c>
      <c r="C350" s="12">
        <v>434.95234627721419</v>
      </c>
      <c r="D350" s="17">
        <f t="shared" si="18"/>
        <v>328.96958439060091</v>
      </c>
      <c r="E350" s="18">
        <f t="shared" si="16"/>
        <v>105.98276188661328</v>
      </c>
      <c r="F350" s="17">
        <f t="shared" si="17"/>
        <v>11232.345817114567</v>
      </c>
    </row>
    <row r="351" spans="2:6" x14ac:dyDescent="0.2">
      <c r="B351" s="12">
        <v>347</v>
      </c>
      <c r="C351" s="12">
        <v>381.98176986397704</v>
      </c>
      <c r="D351" s="17">
        <f t="shared" si="18"/>
        <v>328.79168400987834</v>
      </c>
      <c r="E351" s="18">
        <f t="shared" si="16"/>
        <v>53.190085854098697</v>
      </c>
      <c r="F351" s="17">
        <f t="shared" si="17"/>
        <v>2829.1852331663904</v>
      </c>
    </row>
    <row r="352" spans="2:6" x14ac:dyDescent="0.2">
      <c r="B352" s="12">
        <v>348</v>
      </c>
      <c r="C352" s="12">
        <v>218.13567805233109</v>
      </c>
      <c r="D352" s="17">
        <f t="shared" si="18"/>
        <v>328.61378362915571</v>
      </c>
      <c r="E352" s="18">
        <f t="shared" si="16"/>
        <v>110.47810557682462</v>
      </c>
      <c r="F352" s="17">
        <f t="shared" si="17"/>
        <v>12205.411811844007</v>
      </c>
    </row>
    <row r="353" spans="2:6" x14ac:dyDescent="0.2">
      <c r="B353" s="12">
        <v>349</v>
      </c>
      <c r="C353" s="12">
        <v>289.23324285883405</v>
      </c>
      <c r="D353" s="17">
        <f t="shared" si="18"/>
        <v>328.43588324843313</v>
      </c>
      <c r="E353" s="18">
        <f t="shared" si="16"/>
        <v>39.202640389599082</v>
      </c>
      <c r="F353" s="17">
        <f t="shared" si="17"/>
        <v>1536.8470135162254</v>
      </c>
    </row>
    <row r="354" spans="2:6" x14ac:dyDescent="0.2">
      <c r="B354" s="12">
        <v>350</v>
      </c>
      <c r="C354" s="12">
        <v>272.71900662814636</v>
      </c>
      <c r="D354" s="17">
        <f t="shared" si="18"/>
        <v>328.2579828677105</v>
      </c>
      <c r="E354" s="18">
        <f t="shared" si="16"/>
        <v>55.538976239564136</v>
      </c>
      <c r="F354" s="17">
        <f t="shared" si="17"/>
        <v>3084.5778817388696</v>
      </c>
    </row>
    <row r="355" spans="2:6" x14ac:dyDescent="0.2">
      <c r="B355" s="12">
        <v>351</v>
      </c>
      <c r="C355" s="12">
        <v>378.96838091480049</v>
      </c>
      <c r="D355" s="17">
        <f t="shared" si="18"/>
        <v>328.08008248698792</v>
      </c>
      <c r="E355" s="18">
        <f t="shared" si="16"/>
        <v>50.888298427812572</v>
      </c>
      <c r="F355" s="17">
        <f t="shared" si="17"/>
        <v>2589.6189168781116</v>
      </c>
    </row>
    <row r="356" spans="2:6" x14ac:dyDescent="0.2">
      <c r="B356" s="12">
        <v>352</v>
      </c>
      <c r="C356" s="12">
        <v>412.64791195164844</v>
      </c>
      <c r="D356" s="17">
        <f t="shared" si="18"/>
        <v>327.90218210626529</v>
      </c>
      <c r="E356" s="18">
        <f t="shared" si="16"/>
        <v>84.745729845383153</v>
      </c>
      <c r="F356" s="17">
        <f t="shared" si="17"/>
        <v>7181.8387270266649</v>
      </c>
    </row>
    <row r="357" spans="2:6" x14ac:dyDescent="0.2">
      <c r="B357" s="12">
        <v>353</v>
      </c>
      <c r="C357" s="12">
        <v>244.15185983838893</v>
      </c>
      <c r="D357" s="17">
        <f t="shared" si="18"/>
        <v>327.72428172554271</v>
      </c>
      <c r="E357" s="18">
        <f t="shared" si="16"/>
        <v>83.57242188715378</v>
      </c>
      <c r="F357" s="17">
        <f t="shared" si="17"/>
        <v>6984.34970008442</v>
      </c>
    </row>
    <row r="358" spans="2:6" x14ac:dyDescent="0.2">
      <c r="B358" s="12">
        <v>354</v>
      </c>
      <c r="C358" s="12">
        <v>245.08711631722255</v>
      </c>
      <c r="D358" s="17">
        <f t="shared" si="18"/>
        <v>327.54638134482008</v>
      </c>
      <c r="E358" s="18">
        <f t="shared" si="16"/>
        <v>82.459265027597525</v>
      </c>
      <c r="F358" s="17">
        <f t="shared" si="17"/>
        <v>6799.5303888915678</v>
      </c>
    </row>
    <row r="359" spans="2:6" x14ac:dyDescent="0.2">
      <c r="B359" s="12">
        <v>355</v>
      </c>
      <c r="C359" s="12">
        <v>205.49060034306842</v>
      </c>
      <c r="D359" s="17">
        <f t="shared" si="18"/>
        <v>327.36848096409744</v>
      </c>
      <c r="E359" s="18">
        <f t="shared" si="16"/>
        <v>121.87788062102902</v>
      </c>
      <c r="F359" s="17">
        <f t="shared" si="17"/>
        <v>14854.217784673801</v>
      </c>
    </row>
    <row r="360" spans="2:6" x14ac:dyDescent="0.2">
      <c r="B360" s="12">
        <v>356</v>
      </c>
      <c r="C360" s="12">
        <v>411.98456561571112</v>
      </c>
      <c r="D360" s="17">
        <f t="shared" si="18"/>
        <v>327.19058058337487</v>
      </c>
      <c r="E360" s="18">
        <f t="shared" si="16"/>
        <v>84.793985032336252</v>
      </c>
      <c r="F360" s="17">
        <f t="shared" si="17"/>
        <v>7190.019897664064</v>
      </c>
    </row>
    <row r="361" spans="2:6" x14ac:dyDescent="0.2">
      <c r="B361" s="12">
        <v>357</v>
      </c>
      <c r="C361" s="12">
        <v>343.78359287757934</v>
      </c>
      <c r="D361" s="17">
        <f t="shared" si="18"/>
        <v>327.01268020265223</v>
      </c>
      <c r="E361" s="18">
        <f t="shared" si="16"/>
        <v>16.770912674927104</v>
      </c>
      <c r="F361" s="17">
        <f t="shared" si="17"/>
        <v>281.26351195003059</v>
      </c>
    </row>
    <row r="362" spans="2:6" x14ac:dyDescent="0.2">
      <c r="B362" s="12">
        <v>358</v>
      </c>
      <c r="C362" s="12">
        <v>271.16866400083359</v>
      </c>
      <c r="D362" s="17">
        <f t="shared" si="18"/>
        <v>326.83477982192966</v>
      </c>
      <c r="E362" s="18">
        <f t="shared" si="16"/>
        <v>55.666115821096071</v>
      </c>
      <c r="F362" s="17">
        <f t="shared" si="17"/>
        <v>3098.7164506076824</v>
      </c>
    </row>
    <row r="363" spans="2:6" x14ac:dyDescent="0.2">
      <c r="B363" s="12">
        <v>359</v>
      </c>
      <c r="C363" s="12">
        <v>289.23324285883405</v>
      </c>
      <c r="D363" s="17">
        <f t="shared" si="18"/>
        <v>326.65687944120702</v>
      </c>
      <c r="E363" s="18">
        <f t="shared" si="16"/>
        <v>37.423636582372978</v>
      </c>
      <c r="F363" s="17">
        <f t="shared" si="17"/>
        <v>1400.528575049525</v>
      </c>
    </row>
    <row r="364" spans="2:6" x14ac:dyDescent="0.2">
      <c r="B364" s="12">
        <v>360</v>
      </c>
      <c r="C364" s="12">
        <v>323.45742646594101</v>
      </c>
      <c r="D364" s="17">
        <f t="shared" si="18"/>
        <v>326.47897906048445</v>
      </c>
      <c r="E364" s="18">
        <f t="shared" si="16"/>
        <v>3.0215525945434365</v>
      </c>
      <c r="F364" s="17">
        <f t="shared" si="17"/>
        <v>9.1297800815921732</v>
      </c>
    </row>
    <row r="365" spans="2:6" x14ac:dyDescent="0.2">
      <c r="B365" s="12">
        <v>361</v>
      </c>
      <c r="C365" s="12">
        <v>313.11745078990793</v>
      </c>
      <c r="D365" s="17">
        <f t="shared" si="18"/>
        <v>326.30107867976182</v>
      </c>
      <c r="E365" s="18">
        <f t="shared" si="16"/>
        <v>13.183627889853881</v>
      </c>
      <c r="F365" s="17">
        <f t="shared" si="17"/>
        <v>173.8080443381331</v>
      </c>
    </row>
    <row r="366" spans="2:6" x14ac:dyDescent="0.2">
      <c r="B366" s="12">
        <v>362</v>
      </c>
      <c r="C366" s="12">
        <v>392.24397154364124</v>
      </c>
      <c r="D366" s="17">
        <f t="shared" si="18"/>
        <v>326.12317829903918</v>
      </c>
      <c r="E366" s="18">
        <f t="shared" si="16"/>
        <v>66.120793244602055</v>
      </c>
      <c r="F366" s="17">
        <f t="shared" si="17"/>
        <v>4371.9592992954131</v>
      </c>
    </row>
    <row r="367" spans="2:6" x14ac:dyDescent="0.2">
      <c r="B367" s="12">
        <v>363</v>
      </c>
      <c r="C367" s="12">
        <v>245.08711631722255</v>
      </c>
      <c r="D367" s="17">
        <f t="shared" si="18"/>
        <v>325.94527791831661</v>
      </c>
      <c r="E367" s="18">
        <f t="shared" si="16"/>
        <v>80.858161601094054</v>
      </c>
      <c r="F367" s="17">
        <f t="shared" si="17"/>
        <v>6538.0422975086412</v>
      </c>
    </row>
    <row r="368" spans="2:6" x14ac:dyDescent="0.2">
      <c r="B368" s="12">
        <v>364</v>
      </c>
      <c r="C368" s="12">
        <v>480.74652796310448</v>
      </c>
      <c r="D368" s="17">
        <f t="shared" si="18"/>
        <v>325.76737753759403</v>
      </c>
      <c r="E368" s="18">
        <f t="shared" si="16"/>
        <v>154.97915042551045</v>
      </c>
      <c r="F368" s="17">
        <f t="shared" si="17"/>
        <v>24018.537066612997</v>
      </c>
    </row>
    <row r="369" spans="2:6" x14ac:dyDescent="0.2">
      <c r="B369" s="12">
        <v>365</v>
      </c>
      <c r="C369" s="12">
        <v>190.91967674874419</v>
      </c>
      <c r="D369" s="17">
        <f t="shared" si="18"/>
        <v>325.5894771568714</v>
      </c>
      <c r="E369" s="18">
        <f t="shared" si="16"/>
        <v>134.6698004081272</v>
      </c>
      <c r="F369" s="17">
        <f t="shared" si="17"/>
        <v>18135.955141964816</v>
      </c>
    </row>
    <row r="370" spans="2:6" x14ac:dyDescent="0.2">
      <c r="B370" s="12">
        <v>366</v>
      </c>
      <c r="C370" s="12">
        <v>364.62620796770557</v>
      </c>
      <c r="D370" s="17">
        <f t="shared" si="18"/>
        <v>325.41157677614876</v>
      </c>
      <c r="E370" s="18">
        <f t="shared" si="16"/>
        <v>39.214631191556805</v>
      </c>
      <c r="F370" s="17">
        <f t="shared" si="17"/>
        <v>1537.7872994898198</v>
      </c>
    </row>
    <row r="371" spans="2:6" x14ac:dyDescent="0.2">
      <c r="B371" s="12">
        <v>367</v>
      </c>
      <c r="C371" s="12">
        <v>201.12509765375481</v>
      </c>
      <c r="D371" s="17">
        <f t="shared" si="18"/>
        <v>325.23367639542619</v>
      </c>
      <c r="E371" s="18">
        <f t="shared" si="16"/>
        <v>124.10857874167138</v>
      </c>
      <c r="F371" s="17">
        <f t="shared" si="17"/>
        <v>15402.939317277645</v>
      </c>
    </row>
    <row r="372" spans="2:6" x14ac:dyDescent="0.2">
      <c r="B372" s="12">
        <v>368</v>
      </c>
      <c r="C372" s="12">
        <v>298.36692421227093</v>
      </c>
      <c r="D372" s="17">
        <f t="shared" si="18"/>
        <v>325.05577601470355</v>
      </c>
      <c r="E372" s="18">
        <f t="shared" si="16"/>
        <v>26.688851802432623</v>
      </c>
      <c r="F372" s="17">
        <f t="shared" si="17"/>
        <v>712.29481053221105</v>
      </c>
    </row>
    <row r="373" spans="2:6" x14ac:dyDescent="0.2">
      <c r="B373" s="12">
        <v>369</v>
      </c>
      <c r="C373" s="12">
        <v>258.76594117275283</v>
      </c>
      <c r="D373" s="17">
        <f t="shared" si="18"/>
        <v>324.87787563398098</v>
      </c>
      <c r="E373" s="18">
        <f t="shared" si="16"/>
        <v>66.111934461228145</v>
      </c>
      <c r="F373" s="17">
        <f t="shared" si="17"/>
        <v>4370.787878205726</v>
      </c>
    </row>
    <row r="374" spans="2:6" x14ac:dyDescent="0.2">
      <c r="B374" s="12">
        <v>370</v>
      </c>
      <c r="C374" s="12">
        <v>404.8071341589914</v>
      </c>
      <c r="D374" s="17">
        <f t="shared" si="18"/>
        <v>324.69997525325834</v>
      </c>
      <c r="E374" s="18">
        <f t="shared" si="16"/>
        <v>80.107158905733058</v>
      </c>
      <c r="F374" s="17">
        <f t="shared" si="17"/>
        <v>6417.156907948367</v>
      </c>
    </row>
    <row r="375" spans="2:6" x14ac:dyDescent="0.2">
      <c r="B375" s="12">
        <v>371</v>
      </c>
      <c r="C375" s="12">
        <v>372.29772499418607</v>
      </c>
      <c r="D375" s="17">
        <f t="shared" si="18"/>
        <v>324.52207487253577</v>
      </c>
      <c r="E375" s="18">
        <f t="shared" si="16"/>
        <v>47.775650121650301</v>
      </c>
      <c r="F375" s="17">
        <f t="shared" si="17"/>
        <v>2282.5127445463445</v>
      </c>
    </row>
    <row r="376" spans="2:6" x14ac:dyDescent="0.2">
      <c r="B376" s="12">
        <v>372</v>
      </c>
      <c r="C376" s="12">
        <v>183.11389487879171</v>
      </c>
      <c r="D376" s="17">
        <f t="shared" si="18"/>
        <v>324.34417449181313</v>
      </c>
      <c r="E376" s="18">
        <f t="shared" si="16"/>
        <v>141.23027961302142</v>
      </c>
      <c r="F376" s="17">
        <f t="shared" si="17"/>
        <v>19945.991879572215</v>
      </c>
    </row>
    <row r="377" spans="2:6" x14ac:dyDescent="0.2">
      <c r="B377" s="12">
        <v>373</v>
      </c>
      <c r="C377" s="12">
        <v>225.29747338477603</v>
      </c>
      <c r="D377" s="17">
        <f t="shared" si="18"/>
        <v>324.1662741110905</v>
      </c>
      <c r="E377" s="18">
        <f t="shared" si="16"/>
        <v>98.868800726314475</v>
      </c>
      <c r="F377" s="17">
        <f t="shared" si="17"/>
        <v>9775.0397570596815</v>
      </c>
    </row>
    <row r="378" spans="2:6" x14ac:dyDescent="0.2">
      <c r="B378" s="12">
        <v>374</v>
      </c>
      <c r="C378" s="12">
        <v>279.06130910787067</v>
      </c>
      <c r="D378" s="17">
        <f t="shared" si="18"/>
        <v>323.98837373036793</v>
      </c>
      <c r="E378" s="18">
        <f t="shared" si="16"/>
        <v>44.927064622497255</v>
      </c>
      <c r="F378" s="17">
        <f t="shared" si="17"/>
        <v>2018.4411355940445</v>
      </c>
    </row>
    <row r="379" spans="2:6" x14ac:dyDescent="0.2">
      <c r="B379" s="12">
        <v>375</v>
      </c>
      <c r="C379" s="12">
        <v>320.11344296969889</v>
      </c>
      <c r="D379" s="17">
        <f t="shared" si="18"/>
        <v>323.81047334964529</v>
      </c>
      <c r="E379" s="18">
        <f t="shared" si="16"/>
        <v>3.6970303799463977</v>
      </c>
      <c r="F379" s="17">
        <f t="shared" si="17"/>
        <v>13.668033630246606</v>
      </c>
    </row>
    <row r="380" spans="2:6" x14ac:dyDescent="0.2">
      <c r="B380" s="12"/>
      <c r="C380" s="12"/>
      <c r="D380" s="17" t="str">
        <f t="shared" si="18"/>
        <v/>
      </c>
      <c r="E380" s="18" t="str">
        <f t="shared" si="16"/>
        <v/>
      </c>
      <c r="F380" s="17" t="str">
        <f t="shared" si="17"/>
        <v/>
      </c>
    </row>
    <row r="381" spans="2:6" x14ac:dyDescent="0.2">
      <c r="B381" s="12"/>
      <c r="C381" s="12"/>
      <c r="D381" s="17" t="str">
        <f t="shared" si="18"/>
        <v/>
      </c>
      <c r="E381" s="18" t="str">
        <f t="shared" si="16"/>
        <v/>
      </c>
      <c r="F381" s="17" t="str">
        <f t="shared" si="17"/>
        <v/>
      </c>
    </row>
    <row r="382" spans="2:6" x14ac:dyDescent="0.2">
      <c r="B382" s="12"/>
      <c r="C382" s="12"/>
      <c r="D382" s="17" t="str">
        <f t="shared" si="18"/>
        <v/>
      </c>
      <c r="E382" s="18" t="str">
        <f t="shared" si="16"/>
        <v/>
      </c>
      <c r="F382" s="17" t="str">
        <f t="shared" si="17"/>
        <v/>
      </c>
    </row>
    <row r="383" spans="2:6" x14ac:dyDescent="0.2">
      <c r="B383" s="12"/>
      <c r="C383" s="12"/>
      <c r="D383" s="17" t="str">
        <f t="shared" si="18"/>
        <v/>
      </c>
      <c r="E383" s="18" t="str">
        <f t="shared" si="16"/>
        <v/>
      </c>
      <c r="F383" s="17" t="str">
        <f t="shared" si="17"/>
        <v/>
      </c>
    </row>
    <row r="384" spans="2:6" x14ac:dyDescent="0.2">
      <c r="B384" s="12"/>
      <c r="C384" s="12"/>
      <c r="D384" s="17" t="str">
        <f t="shared" si="18"/>
        <v/>
      </c>
      <c r="E384" s="18" t="str">
        <f t="shared" si="16"/>
        <v/>
      </c>
      <c r="F384" s="17" t="str">
        <f t="shared" si="17"/>
        <v/>
      </c>
    </row>
    <row r="385" spans="2:6" x14ac:dyDescent="0.2">
      <c r="B385" s="12"/>
      <c r="C385" s="12"/>
      <c r="D385" s="17" t="str">
        <f t="shared" si="18"/>
        <v/>
      </c>
      <c r="E385" s="18" t="str">
        <f t="shared" si="16"/>
        <v/>
      </c>
      <c r="F385" s="17" t="str">
        <f t="shared" si="17"/>
        <v/>
      </c>
    </row>
    <row r="386" spans="2:6" x14ac:dyDescent="0.2">
      <c r="B386" s="12"/>
      <c r="C386" s="12"/>
      <c r="D386" s="17" t="str">
        <f t="shared" si="18"/>
        <v/>
      </c>
      <c r="E386" s="18" t="str">
        <f t="shared" si="16"/>
        <v/>
      </c>
      <c r="F386" s="17" t="str">
        <f t="shared" si="17"/>
        <v/>
      </c>
    </row>
    <row r="387" spans="2:6" x14ac:dyDescent="0.2">
      <c r="B387" s="12"/>
      <c r="C387" s="12"/>
      <c r="D387" s="17" t="str">
        <f t="shared" si="18"/>
        <v/>
      </c>
      <c r="E387" s="18" t="str">
        <f t="shared" si="16"/>
        <v/>
      </c>
      <c r="F387" s="17" t="str">
        <f t="shared" si="17"/>
        <v/>
      </c>
    </row>
    <row r="388" spans="2:6" x14ac:dyDescent="0.2">
      <c r="B388" s="12"/>
      <c r="C388" s="12"/>
      <c r="D388" s="17" t="str">
        <f t="shared" si="18"/>
        <v/>
      </c>
      <c r="E388" s="18" t="str">
        <f t="shared" si="16"/>
        <v/>
      </c>
      <c r="F388" s="17" t="str">
        <f t="shared" si="17"/>
        <v/>
      </c>
    </row>
    <row r="389" spans="2:6" x14ac:dyDescent="0.2">
      <c r="B389" s="12"/>
      <c r="C389" s="12"/>
      <c r="D389" s="17" t="str">
        <f t="shared" si="18"/>
        <v/>
      </c>
      <c r="E389" s="18" t="str">
        <f t="shared" ref="E389:E452" si="19">IF(B389="","",ABS(C389-D389))</f>
        <v/>
      </c>
      <c r="F389" s="17" t="str">
        <f t="shared" ref="F389:F452" si="20">IF(B389="","",E389^2)</f>
        <v/>
      </c>
    </row>
    <row r="390" spans="2:6" x14ac:dyDescent="0.2">
      <c r="B390" s="12"/>
      <c r="C390" s="12"/>
      <c r="D390" s="17" t="str">
        <f t="shared" si="18"/>
        <v/>
      </c>
      <c r="E390" s="18" t="str">
        <f t="shared" si="19"/>
        <v/>
      </c>
      <c r="F390" s="17" t="str">
        <f t="shared" si="20"/>
        <v/>
      </c>
    </row>
    <row r="391" spans="2:6" x14ac:dyDescent="0.2">
      <c r="B391" s="12"/>
      <c r="C391" s="12"/>
      <c r="D391" s="17" t="str">
        <f t="shared" si="18"/>
        <v/>
      </c>
      <c r="E391" s="18" t="str">
        <f t="shared" si="19"/>
        <v/>
      </c>
      <c r="F391" s="17" t="str">
        <f t="shared" si="20"/>
        <v/>
      </c>
    </row>
    <row r="392" spans="2:6" x14ac:dyDescent="0.2">
      <c r="B392" s="12"/>
      <c r="C392" s="12"/>
      <c r="D392" s="17" t="str">
        <f t="shared" si="18"/>
        <v/>
      </c>
      <c r="E392" s="18" t="str">
        <f t="shared" si="19"/>
        <v/>
      </c>
      <c r="F392" s="17" t="str">
        <f t="shared" si="20"/>
        <v/>
      </c>
    </row>
    <row r="393" spans="2:6" x14ac:dyDescent="0.2">
      <c r="B393" s="12"/>
      <c r="C393" s="12"/>
      <c r="D393" s="17" t="str">
        <f t="shared" si="18"/>
        <v/>
      </c>
      <c r="E393" s="18" t="str">
        <f t="shared" si="19"/>
        <v/>
      </c>
      <c r="F393" s="17" t="str">
        <f t="shared" si="20"/>
        <v/>
      </c>
    </row>
    <row r="394" spans="2:6" x14ac:dyDescent="0.2">
      <c r="B394" s="12"/>
      <c r="C394" s="12"/>
      <c r="D394" s="17" t="str">
        <f t="shared" si="18"/>
        <v/>
      </c>
      <c r="E394" s="18" t="str">
        <f t="shared" si="19"/>
        <v/>
      </c>
      <c r="F394" s="17" t="str">
        <f t="shared" si="20"/>
        <v/>
      </c>
    </row>
    <row r="395" spans="2:6" x14ac:dyDescent="0.2">
      <c r="B395" s="12"/>
      <c r="C395" s="12"/>
      <c r="D395" s="17" t="str">
        <f t="shared" si="18"/>
        <v/>
      </c>
      <c r="E395" s="18" t="str">
        <f t="shared" si="19"/>
        <v/>
      </c>
      <c r="F395" s="17" t="str">
        <f t="shared" si="20"/>
        <v/>
      </c>
    </row>
    <row r="396" spans="2:6" x14ac:dyDescent="0.2">
      <c r="B396" s="12"/>
      <c r="C396" s="12"/>
      <c r="D396" s="17" t="str">
        <f t="shared" si="18"/>
        <v/>
      </c>
      <c r="E396" s="18" t="str">
        <f t="shared" si="19"/>
        <v/>
      </c>
      <c r="F396" s="17" t="str">
        <f t="shared" si="20"/>
        <v/>
      </c>
    </row>
    <row r="397" spans="2:6" x14ac:dyDescent="0.2">
      <c r="B397" s="12"/>
      <c r="C397" s="12"/>
      <c r="D397" s="17" t="str">
        <f t="shared" si="18"/>
        <v/>
      </c>
      <c r="E397" s="18" t="str">
        <f t="shared" si="19"/>
        <v/>
      </c>
      <c r="F397" s="17" t="str">
        <f t="shared" si="20"/>
        <v/>
      </c>
    </row>
    <row r="398" spans="2:6" x14ac:dyDescent="0.2">
      <c r="B398" s="12"/>
      <c r="C398" s="12"/>
      <c r="D398" s="17" t="str">
        <f t="shared" si="18"/>
        <v/>
      </c>
      <c r="E398" s="18" t="str">
        <f t="shared" si="19"/>
        <v/>
      </c>
      <c r="F398" s="17" t="str">
        <f t="shared" si="20"/>
        <v/>
      </c>
    </row>
    <row r="399" spans="2:6" x14ac:dyDescent="0.2">
      <c r="B399" s="12"/>
      <c r="C399" s="12"/>
      <c r="D399" s="17" t="str">
        <f t="shared" si="18"/>
        <v/>
      </c>
      <c r="E399" s="18" t="str">
        <f t="shared" si="19"/>
        <v/>
      </c>
      <c r="F399" s="17" t="str">
        <f t="shared" si="20"/>
        <v/>
      </c>
    </row>
    <row r="400" spans="2:6" x14ac:dyDescent="0.2">
      <c r="B400" s="12"/>
      <c r="C400" s="12"/>
      <c r="D400" s="17" t="str">
        <f t="shared" si="18"/>
        <v/>
      </c>
      <c r="E400" s="18" t="str">
        <f t="shared" si="19"/>
        <v/>
      </c>
      <c r="F400" s="17" t="str">
        <f t="shared" si="20"/>
        <v/>
      </c>
    </row>
    <row r="401" spans="2:6" x14ac:dyDescent="0.2">
      <c r="B401" s="12"/>
      <c r="C401" s="12"/>
      <c r="D401" s="17" t="str">
        <f t="shared" si="18"/>
        <v/>
      </c>
      <c r="E401" s="18" t="str">
        <f t="shared" si="19"/>
        <v/>
      </c>
      <c r="F401" s="17" t="str">
        <f t="shared" si="20"/>
        <v/>
      </c>
    </row>
    <row r="402" spans="2:6" x14ac:dyDescent="0.2">
      <c r="B402" s="12"/>
      <c r="C402" s="12"/>
      <c r="D402" s="17" t="str">
        <f t="shared" ref="D402:D465" si="21">IF(B402="","",a+b*B402)</f>
        <v/>
      </c>
      <c r="E402" s="18" t="str">
        <f t="shared" si="19"/>
        <v/>
      </c>
      <c r="F402" s="17" t="str">
        <f t="shared" si="20"/>
        <v/>
      </c>
    </row>
    <row r="403" spans="2:6" x14ac:dyDescent="0.2">
      <c r="B403" s="12"/>
      <c r="C403" s="12"/>
      <c r="D403" s="17" t="str">
        <f t="shared" si="21"/>
        <v/>
      </c>
      <c r="E403" s="18" t="str">
        <f t="shared" si="19"/>
        <v/>
      </c>
      <c r="F403" s="17" t="str">
        <f t="shared" si="20"/>
        <v/>
      </c>
    </row>
    <row r="404" spans="2:6" x14ac:dyDescent="0.2">
      <c r="B404" s="12"/>
      <c r="C404" s="12"/>
      <c r="D404" s="17" t="str">
        <f t="shared" si="21"/>
        <v/>
      </c>
      <c r="E404" s="18" t="str">
        <f t="shared" si="19"/>
        <v/>
      </c>
      <c r="F404" s="17" t="str">
        <f t="shared" si="20"/>
        <v/>
      </c>
    </row>
    <row r="405" spans="2:6" x14ac:dyDescent="0.2">
      <c r="B405" s="12"/>
      <c r="C405" s="12"/>
      <c r="D405" s="17" t="str">
        <f t="shared" si="21"/>
        <v/>
      </c>
      <c r="E405" s="18" t="str">
        <f t="shared" si="19"/>
        <v/>
      </c>
      <c r="F405" s="17" t="str">
        <f t="shared" si="20"/>
        <v/>
      </c>
    </row>
    <row r="406" spans="2:6" x14ac:dyDescent="0.2">
      <c r="B406" s="12"/>
      <c r="C406" s="12"/>
      <c r="D406" s="17" t="str">
        <f t="shared" si="21"/>
        <v/>
      </c>
      <c r="E406" s="18" t="str">
        <f t="shared" si="19"/>
        <v/>
      </c>
      <c r="F406" s="17" t="str">
        <f t="shared" si="20"/>
        <v/>
      </c>
    </row>
    <row r="407" spans="2:6" x14ac:dyDescent="0.2">
      <c r="B407" s="12"/>
      <c r="C407" s="12"/>
      <c r="D407" s="17" t="str">
        <f t="shared" si="21"/>
        <v/>
      </c>
      <c r="E407" s="18" t="str">
        <f t="shared" si="19"/>
        <v/>
      </c>
      <c r="F407" s="17" t="str">
        <f t="shared" si="20"/>
        <v/>
      </c>
    </row>
    <row r="408" spans="2:6" x14ac:dyDescent="0.2">
      <c r="B408" s="12"/>
      <c r="C408" s="12"/>
      <c r="D408" s="17" t="str">
        <f t="shared" si="21"/>
        <v/>
      </c>
      <c r="E408" s="18" t="str">
        <f t="shared" si="19"/>
        <v/>
      </c>
      <c r="F408" s="17" t="str">
        <f t="shared" si="20"/>
        <v/>
      </c>
    </row>
    <row r="409" spans="2:6" x14ac:dyDescent="0.2">
      <c r="B409" s="12"/>
      <c r="C409" s="12"/>
      <c r="D409" s="17" t="str">
        <f t="shared" si="21"/>
        <v/>
      </c>
      <c r="E409" s="18" t="str">
        <f t="shared" si="19"/>
        <v/>
      </c>
      <c r="F409" s="17" t="str">
        <f t="shared" si="20"/>
        <v/>
      </c>
    </row>
    <row r="410" spans="2:6" x14ac:dyDescent="0.2">
      <c r="B410" s="12"/>
      <c r="C410" s="12"/>
      <c r="D410" s="17" t="str">
        <f t="shared" si="21"/>
        <v/>
      </c>
      <c r="E410" s="18" t="str">
        <f t="shared" si="19"/>
        <v/>
      </c>
      <c r="F410" s="17" t="str">
        <f t="shared" si="20"/>
        <v/>
      </c>
    </row>
    <row r="411" spans="2:6" x14ac:dyDescent="0.2">
      <c r="B411" s="12"/>
      <c r="C411" s="12"/>
      <c r="D411" s="17" t="str">
        <f t="shared" si="21"/>
        <v/>
      </c>
      <c r="E411" s="18" t="str">
        <f t="shared" si="19"/>
        <v/>
      </c>
      <c r="F411" s="17" t="str">
        <f t="shared" si="20"/>
        <v/>
      </c>
    </row>
    <row r="412" spans="2:6" x14ac:dyDescent="0.2">
      <c r="B412" s="12"/>
      <c r="C412" s="12"/>
      <c r="D412" s="17" t="str">
        <f t="shared" si="21"/>
        <v/>
      </c>
      <c r="E412" s="18" t="str">
        <f t="shared" si="19"/>
        <v/>
      </c>
      <c r="F412" s="17" t="str">
        <f t="shared" si="20"/>
        <v/>
      </c>
    </row>
    <row r="413" spans="2:6" x14ac:dyDescent="0.2">
      <c r="B413" s="12"/>
      <c r="C413" s="12"/>
      <c r="D413" s="17" t="str">
        <f t="shared" si="21"/>
        <v/>
      </c>
      <c r="E413" s="18" t="str">
        <f t="shared" si="19"/>
        <v/>
      </c>
      <c r="F413" s="17" t="str">
        <f t="shared" si="20"/>
        <v/>
      </c>
    </row>
    <row r="414" spans="2:6" x14ac:dyDescent="0.2">
      <c r="B414" s="12"/>
      <c r="C414" s="12"/>
      <c r="D414" s="17" t="str">
        <f t="shared" si="21"/>
        <v/>
      </c>
      <c r="E414" s="18" t="str">
        <f t="shared" si="19"/>
        <v/>
      </c>
      <c r="F414" s="17" t="str">
        <f t="shared" si="20"/>
        <v/>
      </c>
    </row>
    <row r="415" spans="2:6" x14ac:dyDescent="0.2">
      <c r="B415" s="12"/>
      <c r="C415" s="12"/>
      <c r="D415" s="17" t="str">
        <f t="shared" si="21"/>
        <v/>
      </c>
      <c r="E415" s="18" t="str">
        <f t="shared" si="19"/>
        <v/>
      </c>
      <c r="F415" s="17" t="str">
        <f t="shared" si="20"/>
        <v/>
      </c>
    </row>
    <row r="416" spans="2:6" x14ac:dyDescent="0.2">
      <c r="B416" s="12"/>
      <c r="C416" s="12"/>
      <c r="D416" s="17" t="str">
        <f t="shared" si="21"/>
        <v/>
      </c>
      <c r="E416" s="18" t="str">
        <f t="shared" si="19"/>
        <v/>
      </c>
      <c r="F416" s="17" t="str">
        <f t="shared" si="20"/>
        <v/>
      </c>
    </row>
    <row r="417" spans="2:6" x14ac:dyDescent="0.2">
      <c r="B417" s="12"/>
      <c r="C417" s="12"/>
      <c r="D417" s="17" t="str">
        <f t="shared" si="21"/>
        <v/>
      </c>
      <c r="E417" s="18" t="str">
        <f t="shared" si="19"/>
        <v/>
      </c>
      <c r="F417" s="17" t="str">
        <f t="shared" si="20"/>
        <v/>
      </c>
    </row>
    <row r="418" spans="2:6" x14ac:dyDescent="0.2">
      <c r="B418" s="12"/>
      <c r="C418" s="12"/>
      <c r="D418" s="17" t="str">
        <f t="shared" si="21"/>
        <v/>
      </c>
      <c r="E418" s="18" t="str">
        <f t="shared" si="19"/>
        <v/>
      </c>
      <c r="F418" s="17" t="str">
        <f t="shared" si="20"/>
        <v/>
      </c>
    </row>
    <row r="419" spans="2:6" x14ac:dyDescent="0.2">
      <c r="B419" s="12"/>
      <c r="C419" s="12"/>
      <c r="D419" s="17" t="str">
        <f t="shared" si="21"/>
        <v/>
      </c>
      <c r="E419" s="18" t="str">
        <f t="shared" si="19"/>
        <v/>
      </c>
      <c r="F419" s="17" t="str">
        <f t="shared" si="20"/>
        <v/>
      </c>
    </row>
    <row r="420" spans="2:6" x14ac:dyDescent="0.2">
      <c r="B420" s="12"/>
      <c r="C420" s="12"/>
      <c r="D420" s="17" t="str">
        <f t="shared" si="21"/>
        <v/>
      </c>
      <c r="E420" s="18" t="str">
        <f t="shared" si="19"/>
        <v/>
      </c>
      <c r="F420" s="17" t="str">
        <f t="shared" si="20"/>
        <v/>
      </c>
    </row>
    <row r="421" spans="2:6" x14ac:dyDescent="0.2">
      <c r="B421" s="12"/>
      <c r="C421" s="12"/>
      <c r="D421" s="17" t="str">
        <f t="shared" si="21"/>
        <v/>
      </c>
      <c r="E421" s="18" t="str">
        <f t="shared" si="19"/>
        <v/>
      </c>
      <c r="F421" s="17" t="str">
        <f t="shared" si="20"/>
        <v/>
      </c>
    </row>
    <row r="422" spans="2:6" x14ac:dyDescent="0.2">
      <c r="B422" s="12"/>
      <c r="C422" s="12"/>
      <c r="D422" s="17" t="str">
        <f t="shared" si="21"/>
        <v/>
      </c>
      <c r="E422" s="18" t="str">
        <f t="shared" si="19"/>
        <v/>
      </c>
      <c r="F422" s="17" t="str">
        <f t="shared" si="20"/>
        <v/>
      </c>
    </row>
    <row r="423" spans="2:6" x14ac:dyDescent="0.2">
      <c r="B423" s="12"/>
      <c r="C423" s="12"/>
      <c r="D423" s="17" t="str">
        <f t="shared" si="21"/>
        <v/>
      </c>
      <c r="E423" s="18" t="str">
        <f t="shared" si="19"/>
        <v/>
      </c>
      <c r="F423" s="17" t="str">
        <f t="shared" si="20"/>
        <v/>
      </c>
    </row>
    <row r="424" spans="2:6" x14ac:dyDescent="0.2">
      <c r="B424" s="12"/>
      <c r="C424" s="12"/>
      <c r="D424" s="17" t="str">
        <f t="shared" si="21"/>
        <v/>
      </c>
      <c r="E424" s="18" t="str">
        <f t="shared" si="19"/>
        <v/>
      </c>
      <c r="F424" s="17" t="str">
        <f t="shared" si="20"/>
        <v/>
      </c>
    </row>
    <row r="425" spans="2:6" x14ac:dyDescent="0.2">
      <c r="B425" s="12"/>
      <c r="C425" s="12"/>
      <c r="D425" s="17" t="str">
        <f t="shared" si="21"/>
        <v/>
      </c>
      <c r="E425" s="18" t="str">
        <f t="shared" si="19"/>
        <v/>
      </c>
      <c r="F425" s="17" t="str">
        <f t="shared" si="20"/>
        <v/>
      </c>
    </row>
    <row r="426" spans="2:6" x14ac:dyDescent="0.2">
      <c r="B426" s="12"/>
      <c r="C426" s="12"/>
      <c r="D426" s="17" t="str">
        <f t="shared" si="21"/>
        <v/>
      </c>
      <c r="E426" s="18" t="str">
        <f t="shared" si="19"/>
        <v/>
      </c>
      <c r="F426" s="17" t="str">
        <f t="shared" si="20"/>
        <v/>
      </c>
    </row>
    <row r="427" spans="2:6" x14ac:dyDescent="0.2">
      <c r="B427" s="12"/>
      <c r="C427" s="12"/>
      <c r="D427" s="17" t="str">
        <f t="shared" si="21"/>
        <v/>
      </c>
      <c r="E427" s="18" t="str">
        <f t="shared" si="19"/>
        <v/>
      </c>
      <c r="F427" s="17" t="str">
        <f t="shared" si="20"/>
        <v/>
      </c>
    </row>
    <row r="428" spans="2:6" x14ac:dyDescent="0.2">
      <c r="B428" s="12"/>
      <c r="C428" s="12"/>
      <c r="D428" s="17" t="str">
        <f t="shared" si="21"/>
        <v/>
      </c>
      <c r="E428" s="18" t="str">
        <f t="shared" si="19"/>
        <v/>
      </c>
      <c r="F428" s="17" t="str">
        <f t="shared" si="20"/>
        <v/>
      </c>
    </row>
    <row r="429" spans="2:6" x14ac:dyDescent="0.2">
      <c r="B429" s="12"/>
      <c r="C429" s="12"/>
      <c r="D429" s="17" t="str">
        <f t="shared" si="21"/>
        <v/>
      </c>
      <c r="E429" s="18" t="str">
        <f t="shared" si="19"/>
        <v/>
      </c>
      <c r="F429" s="17" t="str">
        <f t="shared" si="20"/>
        <v/>
      </c>
    </row>
    <row r="430" spans="2:6" x14ac:dyDescent="0.2">
      <c r="B430" s="12"/>
      <c r="C430" s="12"/>
      <c r="D430" s="17" t="str">
        <f t="shared" si="21"/>
        <v/>
      </c>
      <c r="E430" s="18" t="str">
        <f t="shared" si="19"/>
        <v/>
      </c>
      <c r="F430" s="17" t="str">
        <f t="shared" si="20"/>
        <v/>
      </c>
    </row>
    <row r="431" spans="2:6" x14ac:dyDescent="0.2">
      <c r="B431" s="12"/>
      <c r="C431" s="12"/>
      <c r="D431" s="17" t="str">
        <f t="shared" si="21"/>
        <v/>
      </c>
      <c r="E431" s="18" t="str">
        <f t="shared" si="19"/>
        <v/>
      </c>
      <c r="F431" s="17" t="str">
        <f t="shared" si="20"/>
        <v/>
      </c>
    </row>
    <row r="432" spans="2:6" x14ac:dyDescent="0.2">
      <c r="B432" s="12"/>
      <c r="C432" s="12"/>
      <c r="D432" s="17" t="str">
        <f t="shared" si="21"/>
        <v/>
      </c>
      <c r="E432" s="18" t="str">
        <f t="shared" si="19"/>
        <v/>
      </c>
      <c r="F432" s="17" t="str">
        <f t="shared" si="20"/>
        <v/>
      </c>
    </row>
    <row r="433" spans="2:6" x14ac:dyDescent="0.2">
      <c r="B433" s="12"/>
      <c r="C433" s="12"/>
      <c r="D433" s="17" t="str">
        <f t="shared" si="21"/>
        <v/>
      </c>
      <c r="E433" s="18" t="str">
        <f t="shared" si="19"/>
        <v/>
      </c>
      <c r="F433" s="17" t="str">
        <f t="shared" si="20"/>
        <v/>
      </c>
    </row>
    <row r="434" spans="2:6" x14ac:dyDescent="0.2">
      <c r="B434" s="12"/>
      <c r="C434" s="12"/>
      <c r="D434" s="17" t="str">
        <f t="shared" si="21"/>
        <v/>
      </c>
      <c r="E434" s="18" t="str">
        <f t="shared" si="19"/>
        <v/>
      </c>
      <c r="F434" s="17" t="str">
        <f t="shared" si="20"/>
        <v/>
      </c>
    </row>
    <row r="435" spans="2:6" x14ac:dyDescent="0.2">
      <c r="B435" s="12"/>
      <c r="C435" s="12"/>
      <c r="D435" s="17" t="str">
        <f t="shared" si="21"/>
        <v/>
      </c>
      <c r="E435" s="18" t="str">
        <f t="shared" si="19"/>
        <v/>
      </c>
      <c r="F435" s="17" t="str">
        <f t="shared" si="20"/>
        <v/>
      </c>
    </row>
    <row r="436" spans="2:6" x14ac:dyDescent="0.2">
      <c r="B436" s="12"/>
      <c r="C436" s="12"/>
      <c r="D436" s="17" t="str">
        <f t="shared" si="21"/>
        <v/>
      </c>
      <c r="E436" s="18" t="str">
        <f t="shared" si="19"/>
        <v/>
      </c>
      <c r="F436" s="17" t="str">
        <f t="shared" si="20"/>
        <v/>
      </c>
    </row>
    <row r="437" spans="2:6" x14ac:dyDescent="0.2">
      <c r="B437" s="12"/>
      <c r="C437" s="12"/>
      <c r="D437" s="17" t="str">
        <f t="shared" si="21"/>
        <v/>
      </c>
      <c r="E437" s="18" t="str">
        <f t="shared" si="19"/>
        <v/>
      </c>
      <c r="F437" s="17" t="str">
        <f t="shared" si="20"/>
        <v/>
      </c>
    </row>
    <row r="438" spans="2:6" x14ac:dyDescent="0.2">
      <c r="B438" s="12"/>
      <c r="C438" s="12"/>
      <c r="D438" s="17" t="str">
        <f t="shared" si="21"/>
        <v/>
      </c>
      <c r="E438" s="18" t="str">
        <f t="shared" si="19"/>
        <v/>
      </c>
      <c r="F438" s="17" t="str">
        <f t="shared" si="20"/>
        <v/>
      </c>
    </row>
    <row r="439" spans="2:6" x14ac:dyDescent="0.2">
      <c r="B439" s="12"/>
      <c r="C439" s="12"/>
      <c r="D439" s="17" t="str">
        <f t="shared" si="21"/>
        <v/>
      </c>
      <c r="E439" s="18" t="str">
        <f t="shared" si="19"/>
        <v/>
      </c>
      <c r="F439" s="17" t="str">
        <f t="shared" si="20"/>
        <v/>
      </c>
    </row>
    <row r="440" spans="2:6" x14ac:dyDescent="0.2">
      <c r="B440" s="12"/>
      <c r="C440" s="12"/>
      <c r="D440" s="17" t="str">
        <f t="shared" si="21"/>
        <v/>
      </c>
      <c r="E440" s="18" t="str">
        <f t="shared" si="19"/>
        <v/>
      </c>
      <c r="F440" s="17" t="str">
        <f t="shared" si="20"/>
        <v/>
      </c>
    </row>
    <row r="441" spans="2:6" x14ac:dyDescent="0.2">
      <c r="B441" s="12"/>
      <c r="C441" s="12"/>
      <c r="D441" s="17" t="str">
        <f t="shared" si="21"/>
        <v/>
      </c>
      <c r="E441" s="18" t="str">
        <f t="shared" si="19"/>
        <v/>
      </c>
      <c r="F441" s="17" t="str">
        <f t="shared" si="20"/>
        <v/>
      </c>
    </row>
    <row r="442" spans="2:6" x14ac:dyDescent="0.2">
      <c r="B442" s="12"/>
      <c r="C442" s="12"/>
      <c r="D442" s="17" t="str">
        <f t="shared" si="21"/>
        <v/>
      </c>
      <c r="E442" s="18" t="str">
        <f t="shared" si="19"/>
        <v/>
      </c>
      <c r="F442" s="17" t="str">
        <f t="shared" si="20"/>
        <v/>
      </c>
    </row>
    <row r="443" spans="2:6" x14ac:dyDescent="0.2">
      <c r="B443" s="12"/>
      <c r="C443" s="12"/>
      <c r="D443" s="17" t="str">
        <f t="shared" si="21"/>
        <v/>
      </c>
      <c r="E443" s="18" t="str">
        <f t="shared" si="19"/>
        <v/>
      </c>
      <c r="F443" s="17" t="str">
        <f t="shared" si="20"/>
        <v/>
      </c>
    </row>
    <row r="444" spans="2:6" x14ac:dyDescent="0.2">
      <c r="B444" s="12"/>
      <c r="C444" s="12"/>
      <c r="D444" s="17" t="str">
        <f t="shared" si="21"/>
        <v/>
      </c>
      <c r="E444" s="18" t="str">
        <f t="shared" si="19"/>
        <v/>
      </c>
      <c r="F444" s="17" t="str">
        <f t="shared" si="20"/>
        <v/>
      </c>
    </row>
    <row r="445" spans="2:6" x14ac:dyDescent="0.2">
      <c r="B445" s="12"/>
      <c r="C445" s="12"/>
      <c r="D445" s="17" t="str">
        <f t="shared" si="21"/>
        <v/>
      </c>
      <c r="E445" s="18" t="str">
        <f t="shared" si="19"/>
        <v/>
      </c>
      <c r="F445" s="17" t="str">
        <f t="shared" si="20"/>
        <v/>
      </c>
    </row>
    <row r="446" spans="2:6" x14ac:dyDescent="0.2">
      <c r="B446" s="12"/>
      <c r="C446" s="12"/>
      <c r="D446" s="17" t="str">
        <f t="shared" si="21"/>
        <v/>
      </c>
      <c r="E446" s="18" t="str">
        <f t="shared" si="19"/>
        <v/>
      </c>
      <c r="F446" s="17" t="str">
        <f t="shared" si="20"/>
        <v/>
      </c>
    </row>
    <row r="447" spans="2:6" x14ac:dyDescent="0.2">
      <c r="B447" s="12"/>
      <c r="C447" s="12"/>
      <c r="D447" s="17" t="str">
        <f t="shared" si="21"/>
        <v/>
      </c>
      <c r="E447" s="18" t="str">
        <f t="shared" si="19"/>
        <v/>
      </c>
      <c r="F447" s="17" t="str">
        <f t="shared" si="20"/>
        <v/>
      </c>
    </row>
    <row r="448" spans="2:6" x14ac:dyDescent="0.2">
      <c r="B448" s="12"/>
      <c r="C448" s="12"/>
      <c r="D448" s="17" t="str">
        <f t="shared" si="21"/>
        <v/>
      </c>
      <c r="E448" s="18" t="str">
        <f t="shared" si="19"/>
        <v/>
      </c>
      <c r="F448" s="17" t="str">
        <f t="shared" si="20"/>
        <v/>
      </c>
    </row>
    <row r="449" spans="2:6" x14ac:dyDescent="0.2">
      <c r="B449" s="12"/>
      <c r="C449" s="12"/>
      <c r="D449" s="17" t="str">
        <f t="shared" si="21"/>
        <v/>
      </c>
      <c r="E449" s="18" t="str">
        <f t="shared" si="19"/>
        <v/>
      </c>
      <c r="F449" s="17" t="str">
        <f t="shared" si="20"/>
        <v/>
      </c>
    </row>
    <row r="450" spans="2:6" x14ac:dyDescent="0.2">
      <c r="B450" s="12"/>
      <c r="C450" s="12"/>
      <c r="D450" s="17" t="str">
        <f t="shared" si="21"/>
        <v/>
      </c>
      <c r="E450" s="18" t="str">
        <f t="shared" si="19"/>
        <v/>
      </c>
      <c r="F450" s="17" t="str">
        <f t="shared" si="20"/>
        <v/>
      </c>
    </row>
    <row r="451" spans="2:6" x14ac:dyDescent="0.2">
      <c r="B451" s="12"/>
      <c r="C451" s="12"/>
      <c r="D451" s="17" t="str">
        <f t="shared" si="21"/>
        <v/>
      </c>
      <c r="E451" s="18" t="str">
        <f t="shared" si="19"/>
        <v/>
      </c>
      <c r="F451" s="17" t="str">
        <f t="shared" si="20"/>
        <v/>
      </c>
    </row>
    <row r="452" spans="2:6" x14ac:dyDescent="0.2">
      <c r="B452" s="12"/>
      <c r="C452" s="12"/>
      <c r="D452" s="17" t="str">
        <f t="shared" si="21"/>
        <v/>
      </c>
      <c r="E452" s="18" t="str">
        <f t="shared" si="19"/>
        <v/>
      </c>
      <c r="F452" s="17" t="str">
        <f t="shared" si="20"/>
        <v/>
      </c>
    </row>
    <row r="453" spans="2:6" x14ac:dyDescent="0.2">
      <c r="B453" s="12"/>
      <c r="C453" s="12"/>
      <c r="D453" s="17" t="str">
        <f t="shared" si="21"/>
        <v/>
      </c>
      <c r="E453" s="18" t="str">
        <f t="shared" ref="E453:E516" si="22">IF(B453="","",ABS(C453-D453))</f>
        <v/>
      </c>
      <c r="F453" s="17" t="str">
        <f t="shared" ref="F453:F516" si="23">IF(B453="","",E453^2)</f>
        <v/>
      </c>
    </row>
    <row r="454" spans="2:6" x14ac:dyDescent="0.2">
      <c r="B454" s="12"/>
      <c r="C454" s="12"/>
      <c r="D454" s="17" t="str">
        <f t="shared" si="21"/>
        <v/>
      </c>
      <c r="E454" s="18" t="str">
        <f t="shared" si="22"/>
        <v/>
      </c>
      <c r="F454" s="17" t="str">
        <f t="shared" si="23"/>
        <v/>
      </c>
    </row>
    <row r="455" spans="2:6" x14ac:dyDescent="0.2">
      <c r="B455" s="12"/>
      <c r="C455" s="12"/>
      <c r="D455" s="17" t="str">
        <f t="shared" si="21"/>
        <v/>
      </c>
      <c r="E455" s="18" t="str">
        <f t="shared" si="22"/>
        <v/>
      </c>
      <c r="F455" s="17" t="str">
        <f t="shared" si="23"/>
        <v/>
      </c>
    </row>
    <row r="456" spans="2:6" x14ac:dyDescent="0.2">
      <c r="B456" s="12"/>
      <c r="C456" s="12"/>
      <c r="D456" s="17" t="str">
        <f t="shared" si="21"/>
        <v/>
      </c>
      <c r="E456" s="18" t="str">
        <f t="shared" si="22"/>
        <v/>
      </c>
      <c r="F456" s="17" t="str">
        <f t="shared" si="23"/>
        <v/>
      </c>
    </row>
    <row r="457" spans="2:6" x14ac:dyDescent="0.2">
      <c r="B457" s="12"/>
      <c r="C457" s="12"/>
      <c r="D457" s="17" t="str">
        <f t="shared" si="21"/>
        <v/>
      </c>
      <c r="E457" s="18" t="str">
        <f t="shared" si="22"/>
        <v/>
      </c>
      <c r="F457" s="17" t="str">
        <f t="shared" si="23"/>
        <v/>
      </c>
    </row>
    <row r="458" spans="2:6" x14ac:dyDescent="0.2">
      <c r="B458" s="12"/>
      <c r="C458" s="12"/>
      <c r="D458" s="17" t="str">
        <f t="shared" si="21"/>
        <v/>
      </c>
      <c r="E458" s="18" t="str">
        <f t="shared" si="22"/>
        <v/>
      </c>
      <c r="F458" s="17" t="str">
        <f t="shared" si="23"/>
        <v/>
      </c>
    </row>
    <row r="459" spans="2:6" x14ac:dyDescent="0.2">
      <c r="B459" s="12"/>
      <c r="C459" s="12"/>
      <c r="D459" s="17" t="str">
        <f t="shared" si="21"/>
        <v/>
      </c>
      <c r="E459" s="18" t="str">
        <f t="shared" si="22"/>
        <v/>
      </c>
      <c r="F459" s="17" t="str">
        <f t="shared" si="23"/>
        <v/>
      </c>
    </row>
    <row r="460" spans="2:6" x14ac:dyDescent="0.2">
      <c r="B460" s="12"/>
      <c r="C460" s="12"/>
      <c r="D460" s="17" t="str">
        <f t="shared" si="21"/>
        <v/>
      </c>
      <c r="E460" s="18" t="str">
        <f t="shared" si="22"/>
        <v/>
      </c>
      <c r="F460" s="17" t="str">
        <f t="shared" si="23"/>
        <v/>
      </c>
    </row>
    <row r="461" spans="2:6" x14ac:dyDescent="0.2">
      <c r="B461" s="12"/>
      <c r="C461" s="12"/>
      <c r="D461" s="17" t="str">
        <f t="shared" si="21"/>
        <v/>
      </c>
      <c r="E461" s="18" t="str">
        <f t="shared" si="22"/>
        <v/>
      </c>
      <c r="F461" s="17" t="str">
        <f t="shared" si="23"/>
        <v/>
      </c>
    </row>
    <row r="462" spans="2:6" x14ac:dyDescent="0.2">
      <c r="B462" s="12"/>
      <c r="C462" s="12"/>
      <c r="D462" s="17" t="str">
        <f t="shared" si="21"/>
        <v/>
      </c>
      <c r="E462" s="18" t="str">
        <f t="shared" si="22"/>
        <v/>
      </c>
      <c r="F462" s="17" t="str">
        <f t="shared" si="23"/>
        <v/>
      </c>
    </row>
    <row r="463" spans="2:6" x14ac:dyDescent="0.2">
      <c r="B463" s="12"/>
      <c r="C463" s="12"/>
      <c r="D463" s="17" t="str">
        <f t="shared" si="21"/>
        <v/>
      </c>
      <c r="E463" s="18" t="str">
        <f t="shared" si="22"/>
        <v/>
      </c>
      <c r="F463" s="17" t="str">
        <f t="shared" si="23"/>
        <v/>
      </c>
    </row>
    <row r="464" spans="2:6" x14ac:dyDescent="0.2">
      <c r="B464" s="12"/>
      <c r="C464" s="12"/>
      <c r="D464" s="17" t="str">
        <f t="shared" si="21"/>
        <v/>
      </c>
      <c r="E464" s="18" t="str">
        <f t="shared" si="22"/>
        <v/>
      </c>
      <c r="F464" s="17" t="str">
        <f t="shared" si="23"/>
        <v/>
      </c>
    </row>
    <row r="465" spans="2:6" x14ac:dyDescent="0.2">
      <c r="B465" s="12"/>
      <c r="C465" s="12"/>
      <c r="D465" s="17" t="str">
        <f t="shared" si="21"/>
        <v/>
      </c>
      <c r="E465" s="18" t="str">
        <f t="shared" si="22"/>
        <v/>
      </c>
      <c r="F465" s="17" t="str">
        <f t="shared" si="23"/>
        <v/>
      </c>
    </row>
    <row r="466" spans="2:6" x14ac:dyDescent="0.2">
      <c r="B466" s="12"/>
      <c r="C466" s="12"/>
      <c r="D466" s="17" t="str">
        <f t="shared" ref="D466:D529" si="24">IF(B466="","",a+b*B466)</f>
        <v/>
      </c>
      <c r="E466" s="18" t="str">
        <f t="shared" si="22"/>
        <v/>
      </c>
      <c r="F466" s="17" t="str">
        <f t="shared" si="23"/>
        <v/>
      </c>
    </row>
    <row r="467" spans="2:6" x14ac:dyDescent="0.2">
      <c r="B467" s="12"/>
      <c r="C467" s="12"/>
      <c r="D467" s="17" t="str">
        <f t="shared" si="24"/>
        <v/>
      </c>
      <c r="E467" s="18" t="str">
        <f t="shared" si="22"/>
        <v/>
      </c>
      <c r="F467" s="17" t="str">
        <f t="shared" si="23"/>
        <v/>
      </c>
    </row>
    <row r="468" spans="2:6" x14ac:dyDescent="0.2">
      <c r="B468" s="12"/>
      <c r="C468" s="12"/>
      <c r="D468" s="17" t="str">
        <f t="shared" si="24"/>
        <v/>
      </c>
      <c r="E468" s="18" t="str">
        <f t="shared" si="22"/>
        <v/>
      </c>
      <c r="F468" s="17" t="str">
        <f t="shared" si="23"/>
        <v/>
      </c>
    </row>
    <row r="469" spans="2:6" x14ac:dyDescent="0.2">
      <c r="B469" s="12"/>
      <c r="C469" s="12"/>
      <c r="D469" s="17" t="str">
        <f t="shared" si="24"/>
        <v/>
      </c>
      <c r="E469" s="18" t="str">
        <f t="shared" si="22"/>
        <v/>
      </c>
      <c r="F469" s="17" t="str">
        <f t="shared" si="23"/>
        <v/>
      </c>
    </row>
    <row r="470" spans="2:6" x14ac:dyDescent="0.2">
      <c r="B470" s="12"/>
      <c r="C470" s="12"/>
      <c r="D470" s="17" t="str">
        <f t="shared" si="24"/>
        <v/>
      </c>
      <c r="E470" s="18" t="str">
        <f t="shared" si="22"/>
        <v/>
      </c>
      <c r="F470" s="17" t="str">
        <f t="shared" si="23"/>
        <v/>
      </c>
    </row>
    <row r="471" spans="2:6" x14ac:dyDescent="0.2">
      <c r="B471" s="12"/>
      <c r="C471" s="12"/>
      <c r="D471" s="17" t="str">
        <f t="shared" si="24"/>
        <v/>
      </c>
      <c r="E471" s="18" t="str">
        <f t="shared" si="22"/>
        <v/>
      </c>
      <c r="F471" s="17" t="str">
        <f t="shared" si="23"/>
        <v/>
      </c>
    </row>
    <row r="472" spans="2:6" x14ac:dyDescent="0.2">
      <c r="B472" s="12"/>
      <c r="C472" s="12"/>
      <c r="D472" s="17" t="str">
        <f t="shared" si="24"/>
        <v/>
      </c>
      <c r="E472" s="18" t="str">
        <f t="shared" si="22"/>
        <v/>
      </c>
      <c r="F472" s="17" t="str">
        <f t="shared" si="23"/>
        <v/>
      </c>
    </row>
    <row r="473" spans="2:6" x14ac:dyDescent="0.2">
      <c r="B473" s="12"/>
      <c r="C473" s="12"/>
      <c r="D473" s="17" t="str">
        <f t="shared" si="24"/>
        <v/>
      </c>
      <c r="E473" s="18" t="str">
        <f t="shared" si="22"/>
        <v/>
      </c>
      <c r="F473" s="17" t="str">
        <f t="shared" si="23"/>
        <v/>
      </c>
    </row>
    <row r="474" spans="2:6" x14ac:dyDescent="0.2">
      <c r="B474" s="12"/>
      <c r="C474" s="12"/>
      <c r="D474" s="17" t="str">
        <f t="shared" si="24"/>
        <v/>
      </c>
      <c r="E474" s="18" t="str">
        <f t="shared" si="22"/>
        <v/>
      </c>
      <c r="F474" s="17" t="str">
        <f t="shared" si="23"/>
        <v/>
      </c>
    </row>
    <row r="475" spans="2:6" x14ac:dyDescent="0.2">
      <c r="B475" s="12"/>
      <c r="C475" s="12"/>
      <c r="D475" s="17" t="str">
        <f t="shared" si="24"/>
        <v/>
      </c>
      <c r="E475" s="18" t="str">
        <f t="shared" si="22"/>
        <v/>
      </c>
      <c r="F475" s="17" t="str">
        <f t="shared" si="23"/>
        <v/>
      </c>
    </row>
    <row r="476" spans="2:6" x14ac:dyDescent="0.2">
      <c r="B476" s="12"/>
      <c r="C476" s="12"/>
      <c r="D476" s="17" t="str">
        <f t="shared" si="24"/>
        <v/>
      </c>
      <c r="E476" s="18" t="str">
        <f t="shared" si="22"/>
        <v/>
      </c>
      <c r="F476" s="17" t="str">
        <f t="shared" si="23"/>
        <v/>
      </c>
    </row>
    <row r="477" spans="2:6" x14ac:dyDescent="0.2">
      <c r="B477" s="12"/>
      <c r="C477" s="12"/>
      <c r="D477" s="17" t="str">
        <f t="shared" si="24"/>
        <v/>
      </c>
      <c r="E477" s="18" t="str">
        <f t="shared" si="22"/>
        <v/>
      </c>
      <c r="F477" s="17" t="str">
        <f t="shared" si="23"/>
        <v/>
      </c>
    </row>
    <row r="478" spans="2:6" x14ac:dyDescent="0.2">
      <c r="B478" s="12"/>
      <c r="C478" s="12"/>
      <c r="D478" s="17" t="str">
        <f t="shared" si="24"/>
        <v/>
      </c>
      <c r="E478" s="18" t="str">
        <f t="shared" si="22"/>
        <v/>
      </c>
      <c r="F478" s="17" t="str">
        <f t="shared" si="23"/>
        <v/>
      </c>
    </row>
    <row r="479" spans="2:6" x14ac:dyDescent="0.2">
      <c r="B479" s="12"/>
      <c r="C479" s="12"/>
      <c r="D479" s="17" t="str">
        <f t="shared" si="24"/>
        <v/>
      </c>
      <c r="E479" s="18" t="str">
        <f t="shared" si="22"/>
        <v/>
      </c>
      <c r="F479" s="17" t="str">
        <f t="shared" si="23"/>
        <v/>
      </c>
    </row>
    <row r="480" spans="2:6" x14ac:dyDescent="0.2">
      <c r="B480" s="12"/>
      <c r="C480" s="12"/>
      <c r="D480" s="17" t="str">
        <f t="shared" si="24"/>
        <v/>
      </c>
      <c r="E480" s="18" t="str">
        <f t="shared" si="22"/>
        <v/>
      </c>
      <c r="F480" s="17" t="str">
        <f t="shared" si="23"/>
        <v/>
      </c>
    </row>
    <row r="481" spans="2:6" x14ac:dyDescent="0.2">
      <c r="B481" s="12"/>
      <c r="C481" s="12"/>
      <c r="D481" s="17" t="str">
        <f t="shared" si="24"/>
        <v/>
      </c>
      <c r="E481" s="18" t="str">
        <f t="shared" si="22"/>
        <v/>
      </c>
      <c r="F481" s="17" t="str">
        <f t="shared" si="23"/>
        <v/>
      </c>
    </row>
    <row r="482" spans="2:6" x14ac:dyDescent="0.2">
      <c r="B482" s="12"/>
      <c r="C482" s="12"/>
      <c r="D482" s="17" t="str">
        <f t="shared" si="24"/>
        <v/>
      </c>
      <c r="E482" s="18" t="str">
        <f t="shared" si="22"/>
        <v/>
      </c>
      <c r="F482" s="17" t="str">
        <f t="shared" si="23"/>
        <v/>
      </c>
    </row>
    <row r="483" spans="2:6" x14ac:dyDescent="0.2">
      <c r="B483" s="12"/>
      <c r="C483" s="12"/>
      <c r="D483" s="17" t="str">
        <f t="shared" si="24"/>
        <v/>
      </c>
      <c r="E483" s="18" t="str">
        <f t="shared" si="22"/>
        <v/>
      </c>
      <c r="F483" s="17" t="str">
        <f t="shared" si="23"/>
        <v/>
      </c>
    </row>
    <row r="484" spans="2:6" x14ac:dyDescent="0.2">
      <c r="B484" s="12"/>
      <c r="C484" s="12"/>
      <c r="D484" s="17" t="str">
        <f t="shared" si="24"/>
        <v/>
      </c>
      <c r="E484" s="18" t="str">
        <f t="shared" si="22"/>
        <v/>
      </c>
      <c r="F484" s="17" t="str">
        <f t="shared" si="23"/>
        <v/>
      </c>
    </row>
    <row r="485" spans="2:6" x14ac:dyDescent="0.2">
      <c r="B485" s="12"/>
      <c r="C485" s="12"/>
      <c r="D485" s="17" t="str">
        <f t="shared" si="24"/>
        <v/>
      </c>
      <c r="E485" s="18" t="str">
        <f t="shared" si="22"/>
        <v/>
      </c>
      <c r="F485" s="17" t="str">
        <f t="shared" si="23"/>
        <v/>
      </c>
    </row>
    <row r="486" spans="2:6" x14ac:dyDescent="0.2">
      <c r="B486" s="12"/>
      <c r="C486" s="12"/>
      <c r="D486" s="17" t="str">
        <f t="shared" si="24"/>
        <v/>
      </c>
      <c r="E486" s="18" t="str">
        <f t="shared" si="22"/>
        <v/>
      </c>
      <c r="F486" s="17" t="str">
        <f t="shared" si="23"/>
        <v/>
      </c>
    </row>
    <row r="487" spans="2:6" x14ac:dyDescent="0.2">
      <c r="B487" s="12"/>
      <c r="C487" s="12"/>
      <c r="D487" s="17" t="str">
        <f t="shared" si="24"/>
        <v/>
      </c>
      <c r="E487" s="18" t="str">
        <f t="shared" si="22"/>
        <v/>
      </c>
      <c r="F487" s="17" t="str">
        <f t="shared" si="23"/>
        <v/>
      </c>
    </row>
    <row r="488" spans="2:6" x14ac:dyDescent="0.2">
      <c r="B488" s="12"/>
      <c r="C488" s="12"/>
      <c r="D488" s="17" t="str">
        <f t="shared" si="24"/>
        <v/>
      </c>
      <c r="E488" s="18" t="str">
        <f t="shared" si="22"/>
        <v/>
      </c>
      <c r="F488" s="17" t="str">
        <f t="shared" si="23"/>
        <v/>
      </c>
    </row>
    <row r="489" spans="2:6" x14ac:dyDescent="0.2">
      <c r="B489" s="12"/>
      <c r="C489" s="12"/>
      <c r="D489" s="17" t="str">
        <f t="shared" si="24"/>
        <v/>
      </c>
      <c r="E489" s="18" t="str">
        <f t="shared" si="22"/>
        <v/>
      </c>
      <c r="F489" s="17" t="str">
        <f t="shared" si="23"/>
        <v/>
      </c>
    </row>
    <row r="490" spans="2:6" x14ac:dyDescent="0.2">
      <c r="B490" s="12"/>
      <c r="C490" s="12"/>
      <c r="D490" s="17" t="str">
        <f t="shared" si="24"/>
        <v/>
      </c>
      <c r="E490" s="18" t="str">
        <f t="shared" si="22"/>
        <v/>
      </c>
      <c r="F490" s="17" t="str">
        <f t="shared" si="23"/>
        <v/>
      </c>
    </row>
    <row r="491" spans="2:6" x14ac:dyDescent="0.2">
      <c r="B491" s="12"/>
      <c r="C491" s="12"/>
      <c r="D491" s="17" t="str">
        <f t="shared" si="24"/>
        <v/>
      </c>
      <c r="E491" s="18" t="str">
        <f t="shared" si="22"/>
        <v/>
      </c>
      <c r="F491" s="17" t="str">
        <f t="shared" si="23"/>
        <v/>
      </c>
    </row>
    <row r="492" spans="2:6" x14ac:dyDescent="0.2">
      <c r="B492" s="12"/>
      <c r="C492" s="12"/>
      <c r="D492" s="17" t="str">
        <f t="shared" si="24"/>
        <v/>
      </c>
      <c r="E492" s="18" t="str">
        <f t="shared" si="22"/>
        <v/>
      </c>
      <c r="F492" s="17" t="str">
        <f t="shared" si="23"/>
        <v/>
      </c>
    </row>
    <row r="493" spans="2:6" x14ac:dyDescent="0.2">
      <c r="B493" s="12"/>
      <c r="C493" s="12"/>
      <c r="D493" s="17" t="str">
        <f t="shared" si="24"/>
        <v/>
      </c>
      <c r="E493" s="18" t="str">
        <f t="shared" si="22"/>
        <v/>
      </c>
      <c r="F493" s="17" t="str">
        <f t="shared" si="23"/>
        <v/>
      </c>
    </row>
    <row r="494" spans="2:6" x14ac:dyDescent="0.2">
      <c r="B494" s="12"/>
      <c r="C494" s="12"/>
      <c r="D494" s="17" t="str">
        <f t="shared" si="24"/>
        <v/>
      </c>
      <c r="E494" s="18" t="str">
        <f t="shared" si="22"/>
        <v/>
      </c>
      <c r="F494" s="17" t="str">
        <f t="shared" si="23"/>
        <v/>
      </c>
    </row>
    <row r="495" spans="2:6" x14ac:dyDescent="0.2">
      <c r="B495" s="12"/>
      <c r="C495" s="12"/>
      <c r="D495" s="17" t="str">
        <f t="shared" si="24"/>
        <v/>
      </c>
      <c r="E495" s="18" t="str">
        <f t="shared" si="22"/>
        <v/>
      </c>
      <c r="F495" s="17" t="str">
        <f t="shared" si="23"/>
        <v/>
      </c>
    </row>
    <row r="496" spans="2:6" x14ac:dyDescent="0.2">
      <c r="B496" s="12"/>
      <c r="C496" s="12"/>
      <c r="D496" s="17" t="str">
        <f t="shared" si="24"/>
        <v/>
      </c>
      <c r="E496" s="18" t="str">
        <f t="shared" si="22"/>
        <v/>
      </c>
      <c r="F496" s="17" t="str">
        <f t="shared" si="23"/>
        <v/>
      </c>
    </row>
    <row r="497" spans="2:6" x14ac:dyDescent="0.2">
      <c r="B497" s="12"/>
      <c r="C497" s="12"/>
      <c r="D497" s="17" t="str">
        <f t="shared" si="24"/>
        <v/>
      </c>
      <c r="E497" s="18" t="str">
        <f t="shared" si="22"/>
        <v/>
      </c>
      <c r="F497" s="17" t="str">
        <f t="shared" si="23"/>
        <v/>
      </c>
    </row>
    <row r="498" spans="2:6" x14ac:dyDescent="0.2">
      <c r="B498" s="12"/>
      <c r="C498" s="12"/>
      <c r="D498" s="17" t="str">
        <f t="shared" si="24"/>
        <v/>
      </c>
      <c r="E498" s="18" t="str">
        <f t="shared" si="22"/>
        <v/>
      </c>
      <c r="F498" s="17" t="str">
        <f t="shared" si="23"/>
        <v/>
      </c>
    </row>
    <row r="499" spans="2:6" x14ac:dyDescent="0.2">
      <c r="B499" s="12"/>
      <c r="C499" s="12"/>
      <c r="D499" s="17" t="str">
        <f t="shared" si="24"/>
        <v/>
      </c>
      <c r="E499" s="18" t="str">
        <f t="shared" si="22"/>
        <v/>
      </c>
      <c r="F499" s="17" t="str">
        <f t="shared" si="23"/>
        <v/>
      </c>
    </row>
    <row r="500" spans="2:6" x14ac:dyDescent="0.2">
      <c r="B500" s="12"/>
      <c r="C500" s="12"/>
      <c r="D500" s="17" t="str">
        <f t="shared" si="24"/>
        <v/>
      </c>
      <c r="E500" s="18" t="str">
        <f t="shared" si="22"/>
        <v/>
      </c>
      <c r="F500" s="17" t="str">
        <f t="shared" si="23"/>
        <v/>
      </c>
    </row>
    <row r="501" spans="2:6" x14ac:dyDescent="0.2">
      <c r="B501" s="12"/>
      <c r="C501" s="12"/>
      <c r="D501" s="17" t="str">
        <f t="shared" si="24"/>
        <v/>
      </c>
      <c r="E501" s="18" t="str">
        <f t="shared" si="22"/>
        <v/>
      </c>
      <c r="F501" s="17" t="str">
        <f t="shared" si="23"/>
        <v/>
      </c>
    </row>
    <row r="502" spans="2:6" x14ac:dyDescent="0.2">
      <c r="B502" s="12"/>
      <c r="C502" s="12"/>
      <c r="D502" s="17" t="str">
        <f t="shared" si="24"/>
        <v/>
      </c>
      <c r="E502" s="18" t="str">
        <f t="shared" si="22"/>
        <v/>
      </c>
      <c r="F502" s="17" t="str">
        <f t="shared" si="23"/>
        <v/>
      </c>
    </row>
    <row r="503" spans="2:6" x14ac:dyDescent="0.2">
      <c r="B503" s="12"/>
      <c r="C503" s="12"/>
      <c r="D503" s="17" t="str">
        <f t="shared" si="24"/>
        <v/>
      </c>
      <c r="E503" s="18" t="str">
        <f t="shared" si="22"/>
        <v/>
      </c>
      <c r="F503" s="17" t="str">
        <f t="shared" si="23"/>
        <v/>
      </c>
    </row>
    <row r="504" spans="2:6" x14ac:dyDescent="0.2">
      <c r="B504" s="12"/>
      <c r="C504" s="12"/>
      <c r="D504" s="17" t="str">
        <f t="shared" si="24"/>
        <v/>
      </c>
      <c r="E504" s="18" t="str">
        <f t="shared" si="22"/>
        <v/>
      </c>
      <c r="F504" s="17" t="str">
        <f t="shared" si="23"/>
        <v/>
      </c>
    </row>
    <row r="505" spans="2:6" x14ac:dyDescent="0.2">
      <c r="B505" s="12"/>
      <c r="C505" s="12"/>
      <c r="D505" s="17" t="str">
        <f t="shared" si="24"/>
        <v/>
      </c>
      <c r="E505" s="18" t="str">
        <f t="shared" si="22"/>
        <v/>
      </c>
      <c r="F505" s="17" t="str">
        <f t="shared" si="23"/>
        <v/>
      </c>
    </row>
    <row r="506" spans="2:6" x14ac:dyDescent="0.2">
      <c r="B506" s="12"/>
      <c r="C506" s="12"/>
      <c r="D506" s="17" t="str">
        <f t="shared" si="24"/>
        <v/>
      </c>
      <c r="E506" s="18" t="str">
        <f t="shared" si="22"/>
        <v/>
      </c>
      <c r="F506" s="17" t="str">
        <f t="shared" si="23"/>
        <v/>
      </c>
    </row>
    <row r="507" spans="2:6" x14ac:dyDescent="0.2">
      <c r="B507" s="12"/>
      <c r="C507" s="12"/>
      <c r="D507" s="17" t="str">
        <f t="shared" si="24"/>
        <v/>
      </c>
      <c r="E507" s="18" t="str">
        <f t="shared" si="22"/>
        <v/>
      </c>
      <c r="F507" s="17" t="str">
        <f t="shared" si="23"/>
        <v/>
      </c>
    </row>
    <row r="508" spans="2:6" x14ac:dyDescent="0.2">
      <c r="B508" s="12"/>
      <c r="C508" s="12"/>
      <c r="D508" s="17" t="str">
        <f t="shared" si="24"/>
        <v/>
      </c>
      <c r="E508" s="18" t="str">
        <f t="shared" si="22"/>
        <v/>
      </c>
      <c r="F508" s="17" t="str">
        <f t="shared" si="23"/>
        <v/>
      </c>
    </row>
    <row r="509" spans="2:6" x14ac:dyDescent="0.2">
      <c r="B509" s="12"/>
      <c r="C509" s="12"/>
      <c r="D509" s="17" t="str">
        <f t="shared" si="24"/>
        <v/>
      </c>
      <c r="E509" s="18" t="str">
        <f t="shared" si="22"/>
        <v/>
      </c>
      <c r="F509" s="17" t="str">
        <f t="shared" si="23"/>
        <v/>
      </c>
    </row>
    <row r="510" spans="2:6" x14ac:dyDescent="0.2">
      <c r="B510" s="12"/>
      <c r="C510" s="12"/>
      <c r="D510" s="17" t="str">
        <f t="shared" si="24"/>
        <v/>
      </c>
      <c r="E510" s="18" t="str">
        <f t="shared" si="22"/>
        <v/>
      </c>
      <c r="F510" s="17" t="str">
        <f t="shared" si="23"/>
        <v/>
      </c>
    </row>
    <row r="511" spans="2:6" x14ac:dyDescent="0.2">
      <c r="B511" s="12"/>
      <c r="C511" s="12"/>
      <c r="D511" s="17" t="str">
        <f t="shared" si="24"/>
        <v/>
      </c>
      <c r="E511" s="18" t="str">
        <f t="shared" si="22"/>
        <v/>
      </c>
      <c r="F511" s="17" t="str">
        <f t="shared" si="23"/>
        <v/>
      </c>
    </row>
    <row r="512" spans="2:6" x14ac:dyDescent="0.2">
      <c r="B512" s="12"/>
      <c r="C512" s="12"/>
      <c r="D512" s="17" t="str">
        <f t="shared" si="24"/>
        <v/>
      </c>
      <c r="E512" s="18" t="str">
        <f t="shared" si="22"/>
        <v/>
      </c>
      <c r="F512" s="17" t="str">
        <f t="shared" si="23"/>
        <v/>
      </c>
    </row>
    <row r="513" spans="2:6" x14ac:dyDescent="0.2">
      <c r="B513" s="12"/>
      <c r="C513" s="12"/>
      <c r="D513" s="17" t="str">
        <f t="shared" si="24"/>
        <v/>
      </c>
      <c r="E513" s="18" t="str">
        <f t="shared" si="22"/>
        <v/>
      </c>
      <c r="F513" s="17" t="str">
        <f t="shared" si="23"/>
        <v/>
      </c>
    </row>
    <row r="514" spans="2:6" x14ac:dyDescent="0.2">
      <c r="B514" s="12"/>
      <c r="C514" s="12"/>
      <c r="D514" s="17" t="str">
        <f t="shared" si="24"/>
        <v/>
      </c>
      <c r="E514" s="18" t="str">
        <f t="shared" si="22"/>
        <v/>
      </c>
      <c r="F514" s="17" t="str">
        <f t="shared" si="23"/>
        <v/>
      </c>
    </row>
    <row r="515" spans="2:6" x14ac:dyDescent="0.2">
      <c r="B515" s="12"/>
      <c r="C515" s="12"/>
      <c r="D515" s="17" t="str">
        <f t="shared" si="24"/>
        <v/>
      </c>
      <c r="E515" s="18" t="str">
        <f t="shared" si="22"/>
        <v/>
      </c>
      <c r="F515" s="17" t="str">
        <f t="shared" si="23"/>
        <v/>
      </c>
    </row>
    <row r="516" spans="2:6" x14ac:dyDescent="0.2">
      <c r="B516" s="12"/>
      <c r="C516" s="12"/>
      <c r="D516" s="17" t="str">
        <f t="shared" si="24"/>
        <v/>
      </c>
      <c r="E516" s="18" t="str">
        <f t="shared" si="22"/>
        <v/>
      </c>
      <c r="F516" s="17" t="str">
        <f t="shared" si="23"/>
        <v/>
      </c>
    </row>
    <row r="517" spans="2:6" x14ac:dyDescent="0.2">
      <c r="B517" s="12"/>
      <c r="C517" s="12"/>
      <c r="D517" s="17" t="str">
        <f t="shared" si="24"/>
        <v/>
      </c>
      <c r="E517" s="18" t="str">
        <f t="shared" ref="E517:E580" si="25">IF(B517="","",ABS(C517-D517))</f>
        <v/>
      </c>
      <c r="F517" s="17" t="str">
        <f t="shared" ref="F517:F580" si="26">IF(B517="","",E517^2)</f>
        <v/>
      </c>
    </row>
    <row r="518" spans="2:6" x14ac:dyDescent="0.2">
      <c r="B518" s="12"/>
      <c r="C518" s="12"/>
      <c r="D518" s="17" t="str">
        <f t="shared" si="24"/>
        <v/>
      </c>
      <c r="E518" s="18" t="str">
        <f t="shared" si="25"/>
        <v/>
      </c>
      <c r="F518" s="17" t="str">
        <f t="shared" si="26"/>
        <v/>
      </c>
    </row>
    <row r="519" spans="2:6" x14ac:dyDescent="0.2">
      <c r="B519" s="12"/>
      <c r="C519" s="12"/>
      <c r="D519" s="17" t="str">
        <f t="shared" si="24"/>
        <v/>
      </c>
      <c r="E519" s="18" t="str">
        <f t="shared" si="25"/>
        <v/>
      </c>
      <c r="F519" s="17" t="str">
        <f t="shared" si="26"/>
        <v/>
      </c>
    </row>
    <row r="520" spans="2:6" x14ac:dyDescent="0.2">
      <c r="B520" s="12"/>
      <c r="C520" s="12"/>
      <c r="D520" s="17" t="str">
        <f t="shared" si="24"/>
        <v/>
      </c>
      <c r="E520" s="18" t="str">
        <f t="shared" si="25"/>
        <v/>
      </c>
      <c r="F520" s="17" t="str">
        <f t="shared" si="26"/>
        <v/>
      </c>
    </row>
    <row r="521" spans="2:6" x14ac:dyDescent="0.2">
      <c r="B521" s="12"/>
      <c r="C521" s="12"/>
      <c r="D521" s="17" t="str">
        <f t="shared" si="24"/>
        <v/>
      </c>
      <c r="E521" s="18" t="str">
        <f t="shared" si="25"/>
        <v/>
      </c>
      <c r="F521" s="17" t="str">
        <f t="shared" si="26"/>
        <v/>
      </c>
    </row>
    <row r="522" spans="2:6" x14ac:dyDescent="0.2">
      <c r="B522" s="12"/>
      <c r="C522" s="12"/>
      <c r="D522" s="17" t="str">
        <f t="shared" si="24"/>
        <v/>
      </c>
      <c r="E522" s="18" t="str">
        <f t="shared" si="25"/>
        <v/>
      </c>
      <c r="F522" s="17" t="str">
        <f t="shared" si="26"/>
        <v/>
      </c>
    </row>
    <row r="523" spans="2:6" x14ac:dyDescent="0.2">
      <c r="B523" s="12"/>
      <c r="C523" s="12"/>
      <c r="D523" s="17" t="str">
        <f t="shared" si="24"/>
        <v/>
      </c>
      <c r="E523" s="18" t="str">
        <f t="shared" si="25"/>
        <v/>
      </c>
      <c r="F523" s="17" t="str">
        <f t="shared" si="26"/>
        <v/>
      </c>
    </row>
    <row r="524" spans="2:6" x14ac:dyDescent="0.2">
      <c r="B524" s="12"/>
      <c r="C524" s="12"/>
      <c r="D524" s="17" t="str">
        <f t="shared" si="24"/>
        <v/>
      </c>
      <c r="E524" s="18" t="str">
        <f t="shared" si="25"/>
        <v/>
      </c>
      <c r="F524" s="17" t="str">
        <f t="shared" si="26"/>
        <v/>
      </c>
    </row>
    <row r="525" spans="2:6" x14ac:dyDescent="0.2">
      <c r="B525" s="12"/>
      <c r="C525" s="12"/>
      <c r="D525" s="17" t="str">
        <f t="shared" si="24"/>
        <v/>
      </c>
      <c r="E525" s="18" t="str">
        <f t="shared" si="25"/>
        <v/>
      </c>
      <c r="F525" s="17" t="str">
        <f t="shared" si="26"/>
        <v/>
      </c>
    </row>
    <row r="526" spans="2:6" x14ac:dyDescent="0.2">
      <c r="B526" s="12"/>
      <c r="C526" s="12"/>
      <c r="D526" s="17" t="str">
        <f t="shared" si="24"/>
        <v/>
      </c>
      <c r="E526" s="18" t="str">
        <f t="shared" si="25"/>
        <v/>
      </c>
      <c r="F526" s="17" t="str">
        <f t="shared" si="26"/>
        <v/>
      </c>
    </row>
    <row r="527" spans="2:6" x14ac:dyDescent="0.2">
      <c r="B527" s="12"/>
      <c r="C527" s="12"/>
      <c r="D527" s="17" t="str">
        <f t="shared" si="24"/>
        <v/>
      </c>
      <c r="E527" s="18" t="str">
        <f t="shared" si="25"/>
        <v/>
      </c>
      <c r="F527" s="17" t="str">
        <f t="shared" si="26"/>
        <v/>
      </c>
    </row>
    <row r="528" spans="2:6" x14ac:dyDescent="0.2">
      <c r="B528" s="12"/>
      <c r="C528" s="12"/>
      <c r="D528" s="17" t="str">
        <f t="shared" si="24"/>
        <v/>
      </c>
      <c r="E528" s="18" t="str">
        <f t="shared" si="25"/>
        <v/>
      </c>
      <c r="F528" s="17" t="str">
        <f t="shared" si="26"/>
        <v/>
      </c>
    </row>
    <row r="529" spans="2:6" x14ac:dyDescent="0.2">
      <c r="B529" s="12"/>
      <c r="C529" s="12"/>
      <c r="D529" s="17" t="str">
        <f t="shared" si="24"/>
        <v/>
      </c>
      <c r="E529" s="18" t="str">
        <f t="shared" si="25"/>
        <v/>
      </c>
      <c r="F529" s="17" t="str">
        <f t="shared" si="26"/>
        <v/>
      </c>
    </row>
    <row r="530" spans="2:6" x14ac:dyDescent="0.2">
      <c r="B530" s="12"/>
      <c r="C530" s="12"/>
      <c r="D530" s="17" t="str">
        <f t="shared" ref="D530:D593" si="27">IF(B530="","",a+b*B530)</f>
        <v/>
      </c>
      <c r="E530" s="18" t="str">
        <f t="shared" si="25"/>
        <v/>
      </c>
      <c r="F530" s="17" t="str">
        <f t="shared" si="26"/>
        <v/>
      </c>
    </row>
    <row r="531" spans="2:6" x14ac:dyDescent="0.2">
      <c r="B531" s="12"/>
      <c r="C531" s="12"/>
      <c r="D531" s="17" t="str">
        <f t="shared" si="27"/>
        <v/>
      </c>
      <c r="E531" s="18" t="str">
        <f t="shared" si="25"/>
        <v/>
      </c>
      <c r="F531" s="17" t="str">
        <f t="shared" si="26"/>
        <v/>
      </c>
    </row>
    <row r="532" spans="2:6" x14ac:dyDescent="0.2">
      <c r="B532" s="12"/>
      <c r="C532" s="12"/>
      <c r="D532" s="17" t="str">
        <f t="shared" si="27"/>
        <v/>
      </c>
      <c r="E532" s="18" t="str">
        <f t="shared" si="25"/>
        <v/>
      </c>
      <c r="F532" s="17" t="str">
        <f t="shared" si="26"/>
        <v/>
      </c>
    </row>
    <row r="533" spans="2:6" x14ac:dyDescent="0.2">
      <c r="B533" s="12"/>
      <c r="C533" s="12"/>
      <c r="D533" s="17" t="str">
        <f t="shared" si="27"/>
        <v/>
      </c>
      <c r="E533" s="18" t="str">
        <f t="shared" si="25"/>
        <v/>
      </c>
      <c r="F533" s="17" t="str">
        <f t="shared" si="26"/>
        <v/>
      </c>
    </row>
    <row r="534" spans="2:6" x14ac:dyDescent="0.2">
      <c r="B534" s="12"/>
      <c r="C534" s="12"/>
      <c r="D534" s="17" t="str">
        <f t="shared" si="27"/>
        <v/>
      </c>
      <c r="E534" s="18" t="str">
        <f t="shared" si="25"/>
        <v/>
      </c>
      <c r="F534" s="17" t="str">
        <f t="shared" si="26"/>
        <v/>
      </c>
    </row>
    <row r="535" spans="2:6" x14ac:dyDescent="0.2">
      <c r="B535" s="12"/>
      <c r="C535" s="12"/>
      <c r="D535" s="17" t="str">
        <f t="shared" si="27"/>
        <v/>
      </c>
      <c r="E535" s="18" t="str">
        <f t="shared" si="25"/>
        <v/>
      </c>
      <c r="F535" s="17" t="str">
        <f t="shared" si="26"/>
        <v/>
      </c>
    </row>
    <row r="536" spans="2:6" x14ac:dyDescent="0.2">
      <c r="B536" s="12"/>
      <c r="C536" s="12"/>
      <c r="D536" s="17" t="str">
        <f t="shared" si="27"/>
        <v/>
      </c>
      <c r="E536" s="18" t="str">
        <f t="shared" si="25"/>
        <v/>
      </c>
      <c r="F536" s="17" t="str">
        <f t="shared" si="26"/>
        <v/>
      </c>
    </row>
    <row r="537" spans="2:6" x14ac:dyDescent="0.2">
      <c r="B537" s="12"/>
      <c r="C537" s="12"/>
      <c r="D537" s="17" t="str">
        <f t="shared" si="27"/>
        <v/>
      </c>
      <c r="E537" s="18" t="str">
        <f t="shared" si="25"/>
        <v/>
      </c>
      <c r="F537" s="17" t="str">
        <f t="shared" si="26"/>
        <v/>
      </c>
    </row>
    <row r="538" spans="2:6" x14ac:dyDescent="0.2">
      <c r="B538" s="12"/>
      <c r="C538" s="12"/>
      <c r="D538" s="17" t="str">
        <f t="shared" si="27"/>
        <v/>
      </c>
      <c r="E538" s="18" t="str">
        <f t="shared" si="25"/>
        <v/>
      </c>
      <c r="F538" s="17" t="str">
        <f t="shared" si="26"/>
        <v/>
      </c>
    </row>
    <row r="539" spans="2:6" x14ac:dyDescent="0.2">
      <c r="B539" s="12"/>
      <c r="C539" s="12"/>
      <c r="D539" s="17" t="str">
        <f t="shared" si="27"/>
        <v/>
      </c>
      <c r="E539" s="18" t="str">
        <f t="shared" si="25"/>
        <v/>
      </c>
      <c r="F539" s="17" t="str">
        <f t="shared" si="26"/>
        <v/>
      </c>
    </row>
    <row r="540" spans="2:6" x14ac:dyDescent="0.2">
      <c r="B540" s="12"/>
      <c r="C540" s="12"/>
      <c r="D540" s="17" t="str">
        <f t="shared" si="27"/>
        <v/>
      </c>
      <c r="E540" s="18" t="str">
        <f t="shared" si="25"/>
        <v/>
      </c>
      <c r="F540" s="17" t="str">
        <f t="shared" si="26"/>
        <v/>
      </c>
    </row>
    <row r="541" spans="2:6" x14ac:dyDescent="0.2">
      <c r="B541" s="12"/>
      <c r="C541" s="12"/>
      <c r="D541" s="17" t="str">
        <f t="shared" si="27"/>
        <v/>
      </c>
      <c r="E541" s="18" t="str">
        <f t="shared" si="25"/>
        <v/>
      </c>
      <c r="F541" s="17" t="str">
        <f t="shared" si="26"/>
        <v/>
      </c>
    </row>
    <row r="542" spans="2:6" x14ac:dyDescent="0.2">
      <c r="B542" s="12"/>
      <c r="C542" s="12"/>
      <c r="D542" s="17" t="str">
        <f t="shared" si="27"/>
        <v/>
      </c>
      <c r="E542" s="18" t="str">
        <f t="shared" si="25"/>
        <v/>
      </c>
      <c r="F542" s="17" t="str">
        <f t="shared" si="26"/>
        <v/>
      </c>
    </row>
    <row r="543" spans="2:6" x14ac:dyDescent="0.2">
      <c r="B543" s="12"/>
      <c r="C543" s="12"/>
      <c r="D543" s="17" t="str">
        <f t="shared" si="27"/>
        <v/>
      </c>
      <c r="E543" s="18" t="str">
        <f t="shared" si="25"/>
        <v/>
      </c>
      <c r="F543" s="17" t="str">
        <f t="shared" si="26"/>
        <v/>
      </c>
    </row>
    <row r="544" spans="2:6" x14ac:dyDescent="0.2">
      <c r="B544" s="12"/>
      <c r="C544" s="12"/>
      <c r="D544" s="17" t="str">
        <f t="shared" si="27"/>
        <v/>
      </c>
      <c r="E544" s="18" t="str">
        <f t="shared" si="25"/>
        <v/>
      </c>
      <c r="F544" s="17" t="str">
        <f t="shared" si="26"/>
        <v/>
      </c>
    </row>
    <row r="545" spans="2:6" x14ac:dyDescent="0.2">
      <c r="B545" s="12"/>
      <c r="C545" s="12"/>
      <c r="D545" s="17" t="str">
        <f t="shared" si="27"/>
        <v/>
      </c>
      <c r="E545" s="18" t="str">
        <f t="shared" si="25"/>
        <v/>
      </c>
      <c r="F545" s="17" t="str">
        <f t="shared" si="26"/>
        <v/>
      </c>
    </row>
    <row r="546" spans="2:6" x14ac:dyDescent="0.2">
      <c r="B546" s="12"/>
      <c r="C546" s="12"/>
      <c r="D546" s="17" t="str">
        <f t="shared" si="27"/>
        <v/>
      </c>
      <c r="E546" s="18" t="str">
        <f t="shared" si="25"/>
        <v/>
      </c>
      <c r="F546" s="17" t="str">
        <f t="shared" si="26"/>
        <v/>
      </c>
    </row>
    <row r="547" spans="2:6" x14ac:dyDescent="0.2">
      <c r="B547" s="12"/>
      <c r="C547" s="12"/>
      <c r="D547" s="17" t="str">
        <f t="shared" si="27"/>
        <v/>
      </c>
      <c r="E547" s="18" t="str">
        <f t="shared" si="25"/>
        <v/>
      </c>
      <c r="F547" s="17" t="str">
        <f t="shared" si="26"/>
        <v/>
      </c>
    </row>
    <row r="548" spans="2:6" x14ac:dyDescent="0.2">
      <c r="B548" s="12"/>
      <c r="C548" s="12"/>
      <c r="D548" s="17" t="str">
        <f t="shared" si="27"/>
        <v/>
      </c>
      <c r="E548" s="18" t="str">
        <f t="shared" si="25"/>
        <v/>
      </c>
      <c r="F548" s="17" t="str">
        <f t="shared" si="26"/>
        <v/>
      </c>
    </row>
    <row r="549" spans="2:6" x14ac:dyDescent="0.2">
      <c r="B549" s="12"/>
      <c r="C549" s="12"/>
      <c r="D549" s="17" t="str">
        <f t="shared" si="27"/>
        <v/>
      </c>
      <c r="E549" s="18" t="str">
        <f t="shared" si="25"/>
        <v/>
      </c>
      <c r="F549" s="17" t="str">
        <f t="shared" si="26"/>
        <v/>
      </c>
    </row>
    <row r="550" spans="2:6" x14ac:dyDescent="0.2">
      <c r="B550" s="12"/>
      <c r="C550" s="12"/>
      <c r="D550" s="17" t="str">
        <f t="shared" si="27"/>
        <v/>
      </c>
      <c r="E550" s="18" t="str">
        <f t="shared" si="25"/>
        <v/>
      </c>
      <c r="F550" s="17" t="str">
        <f t="shared" si="26"/>
        <v/>
      </c>
    </row>
    <row r="551" spans="2:6" x14ac:dyDescent="0.2">
      <c r="B551" s="12"/>
      <c r="C551" s="12"/>
      <c r="D551" s="17" t="str">
        <f t="shared" si="27"/>
        <v/>
      </c>
      <c r="E551" s="18" t="str">
        <f t="shared" si="25"/>
        <v/>
      </c>
      <c r="F551" s="17" t="str">
        <f t="shared" si="26"/>
        <v/>
      </c>
    </row>
    <row r="552" spans="2:6" x14ac:dyDescent="0.2">
      <c r="B552" s="12"/>
      <c r="C552" s="12"/>
      <c r="D552" s="17" t="str">
        <f t="shared" si="27"/>
        <v/>
      </c>
      <c r="E552" s="18" t="str">
        <f t="shared" si="25"/>
        <v/>
      </c>
      <c r="F552" s="17" t="str">
        <f t="shared" si="26"/>
        <v/>
      </c>
    </row>
    <row r="553" spans="2:6" x14ac:dyDescent="0.2">
      <c r="B553" s="12"/>
      <c r="C553" s="12"/>
      <c r="D553" s="17" t="str">
        <f t="shared" si="27"/>
        <v/>
      </c>
      <c r="E553" s="18" t="str">
        <f t="shared" si="25"/>
        <v/>
      </c>
      <c r="F553" s="17" t="str">
        <f t="shared" si="26"/>
        <v/>
      </c>
    </row>
    <row r="554" spans="2:6" x14ac:dyDescent="0.2">
      <c r="B554" s="12"/>
      <c r="C554" s="12"/>
      <c r="D554" s="17" t="str">
        <f t="shared" si="27"/>
        <v/>
      </c>
      <c r="E554" s="18" t="str">
        <f t="shared" si="25"/>
        <v/>
      </c>
      <c r="F554" s="17" t="str">
        <f t="shared" si="26"/>
        <v/>
      </c>
    </row>
    <row r="555" spans="2:6" x14ac:dyDescent="0.2">
      <c r="B555" s="12"/>
      <c r="C555" s="12"/>
      <c r="D555" s="17" t="str">
        <f t="shared" si="27"/>
        <v/>
      </c>
      <c r="E555" s="18" t="str">
        <f t="shared" si="25"/>
        <v/>
      </c>
      <c r="F555" s="17" t="str">
        <f t="shared" si="26"/>
        <v/>
      </c>
    </row>
    <row r="556" spans="2:6" x14ac:dyDescent="0.2">
      <c r="B556" s="12"/>
      <c r="C556" s="12"/>
      <c r="D556" s="17" t="str">
        <f t="shared" si="27"/>
        <v/>
      </c>
      <c r="E556" s="18" t="str">
        <f t="shared" si="25"/>
        <v/>
      </c>
      <c r="F556" s="17" t="str">
        <f t="shared" si="26"/>
        <v/>
      </c>
    </row>
    <row r="557" spans="2:6" x14ac:dyDescent="0.2">
      <c r="B557" s="12"/>
      <c r="C557" s="12"/>
      <c r="D557" s="17" t="str">
        <f t="shared" si="27"/>
        <v/>
      </c>
      <c r="E557" s="18" t="str">
        <f t="shared" si="25"/>
        <v/>
      </c>
      <c r="F557" s="17" t="str">
        <f t="shared" si="26"/>
        <v/>
      </c>
    </row>
    <row r="558" spans="2:6" x14ac:dyDescent="0.2">
      <c r="B558" s="12"/>
      <c r="C558" s="12"/>
      <c r="D558" s="17" t="str">
        <f t="shared" si="27"/>
        <v/>
      </c>
      <c r="E558" s="18" t="str">
        <f t="shared" si="25"/>
        <v/>
      </c>
      <c r="F558" s="17" t="str">
        <f t="shared" si="26"/>
        <v/>
      </c>
    </row>
    <row r="559" spans="2:6" x14ac:dyDescent="0.2">
      <c r="B559" s="12"/>
      <c r="C559" s="12"/>
      <c r="D559" s="17" t="str">
        <f t="shared" si="27"/>
        <v/>
      </c>
      <c r="E559" s="18" t="str">
        <f t="shared" si="25"/>
        <v/>
      </c>
      <c r="F559" s="17" t="str">
        <f t="shared" si="26"/>
        <v/>
      </c>
    </row>
    <row r="560" spans="2:6" x14ac:dyDescent="0.2">
      <c r="B560" s="12"/>
      <c r="C560" s="12"/>
      <c r="D560" s="17" t="str">
        <f t="shared" si="27"/>
        <v/>
      </c>
      <c r="E560" s="18" t="str">
        <f t="shared" si="25"/>
        <v/>
      </c>
      <c r="F560" s="17" t="str">
        <f t="shared" si="26"/>
        <v/>
      </c>
    </row>
    <row r="561" spans="2:6" x14ac:dyDescent="0.2">
      <c r="B561" s="12"/>
      <c r="C561" s="12"/>
      <c r="D561" s="17" t="str">
        <f t="shared" si="27"/>
        <v/>
      </c>
      <c r="E561" s="18" t="str">
        <f t="shared" si="25"/>
        <v/>
      </c>
      <c r="F561" s="17" t="str">
        <f t="shared" si="26"/>
        <v/>
      </c>
    </row>
    <row r="562" spans="2:6" x14ac:dyDescent="0.2">
      <c r="B562" s="12"/>
      <c r="C562" s="12"/>
      <c r="D562" s="17" t="str">
        <f t="shared" si="27"/>
        <v/>
      </c>
      <c r="E562" s="18" t="str">
        <f t="shared" si="25"/>
        <v/>
      </c>
      <c r="F562" s="17" t="str">
        <f t="shared" si="26"/>
        <v/>
      </c>
    </row>
    <row r="563" spans="2:6" x14ac:dyDescent="0.2">
      <c r="B563" s="12"/>
      <c r="C563" s="12"/>
      <c r="D563" s="17" t="str">
        <f t="shared" si="27"/>
        <v/>
      </c>
      <c r="E563" s="18" t="str">
        <f t="shared" si="25"/>
        <v/>
      </c>
      <c r="F563" s="17" t="str">
        <f t="shared" si="26"/>
        <v/>
      </c>
    </row>
    <row r="564" spans="2:6" x14ac:dyDescent="0.2">
      <c r="B564" s="12"/>
      <c r="C564" s="12"/>
      <c r="D564" s="17" t="str">
        <f t="shared" si="27"/>
        <v/>
      </c>
      <c r="E564" s="18" t="str">
        <f t="shared" si="25"/>
        <v/>
      </c>
      <c r="F564" s="17" t="str">
        <f t="shared" si="26"/>
        <v/>
      </c>
    </row>
    <row r="565" spans="2:6" x14ac:dyDescent="0.2">
      <c r="B565" s="12"/>
      <c r="C565" s="12"/>
      <c r="D565" s="17" t="str">
        <f t="shared" si="27"/>
        <v/>
      </c>
      <c r="E565" s="18" t="str">
        <f t="shared" si="25"/>
        <v/>
      </c>
      <c r="F565" s="17" t="str">
        <f t="shared" si="26"/>
        <v/>
      </c>
    </row>
    <row r="566" spans="2:6" x14ac:dyDescent="0.2">
      <c r="B566" s="12"/>
      <c r="C566" s="12"/>
      <c r="D566" s="17" t="str">
        <f t="shared" si="27"/>
        <v/>
      </c>
      <c r="E566" s="18" t="str">
        <f t="shared" si="25"/>
        <v/>
      </c>
      <c r="F566" s="17" t="str">
        <f t="shared" si="26"/>
        <v/>
      </c>
    </row>
    <row r="567" spans="2:6" x14ac:dyDescent="0.2">
      <c r="B567" s="12"/>
      <c r="C567" s="12"/>
      <c r="D567" s="17" t="str">
        <f t="shared" si="27"/>
        <v/>
      </c>
      <c r="E567" s="18" t="str">
        <f t="shared" si="25"/>
        <v/>
      </c>
      <c r="F567" s="17" t="str">
        <f t="shared" si="26"/>
        <v/>
      </c>
    </row>
    <row r="568" spans="2:6" x14ac:dyDescent="0.2">
      <c r="B568" s="12"/>
      <c r="C568" s="12"/>
      <c r="D568" s="17" t="str">
        <f t="shared" si="27"/>
        <v/>
      </c>
      <c r="E568" s="18" t="str">
        <f t="shared" si="25"/>
        <v/>
      </c>
      <c r="F568" s="17" t="str">
        <f t="shared" si="26"/>
        <v/>
      </c>
    </row>
    <row r="569" spans="2:6" x14ac:dyDescent="0.2">
      <c r="B569" s="12"/>
      <c r="C569" s="12"/>
      <c r="D569" s="17" t="str">
        <f t="shared" si="27"/>
        <v/>
      </c>
      <c r="E569" s="18" t="str">
        <f t="shared" si="25"/>
        <v/>
      </c>
      <c r="F569" s="17" t="str">
        <f t="shared" si="26"/>
        <v/>
      </c>
    </row>
    <row r="570" spans="2:6" x14ac:dyDescent="0.2">
      <c r="B570" s="12"/>
      <c r="C570" s="12"/>
      <c r="D570" s="17" t="str">
        <f t="shared" si="27"/>
        <v/>
      </c>
      <c r="E570" s="18" t="str">
        <f t="shared" si="25"/>
        <v/>
      </c>
      <c r="F570" s="17" t="str">
        <f t="shared" si="26"/>
        <v/>
      </c>
    </row>
    <row r="571" spans="2:6" x14ac:dyDescent="0.2">
      <c r="B571" s="12"/>
      <c r="C571" s="12"/>
      <c r="D571" s="17" t="str">
        <f t="shared" si="27"/>
        <v/>
      </c>
      <c r="E571" s="18" t="str">
        <f t="shared" si="25"/>
        <v/>
      </c>
      <c r="F571" s="17" t="str">
        <f t="shared" si="26"/>
        <v/>
      </c>
    </row>
    <row r="572" spans="2:6" x14ac:dyDescent="0.2">
      <c r="B572" s="12"/>
      <c r="C572" s="12"/>
      <c r="D572" s="17" t="str">
        <f t="shared" si="27"/>
        <v/>
      </c>
      <c r="E572" s="18" t="str">
        <f t="shared" si="25"/>
        <v/>
      </c>
      <c r="F572" s="17" t="str">
        <f t="shared" si="26"/>
        <v/>
      </c>
    </row>
    <row r="573" spans="2:6" x14ac:dyDescent="0.2">
      <c r="B573" s="12"/>
      <c r="C573" s="12"/>
      <c r="D573" s="17" t="str">
        <f t="shared" si="27"/>
        <v/>
      </c>
      <c r="E573" s="18" t="str">
        <f t="shared" si="25"/>
        <v/>
      </c>
      <c r="F573" s="17" t="str">
        <f t="shared" si="26"/>
        <v/>
      </c>
    </row>
    <row r="574" spans="2:6" x14ac:dyDescent="0.2">
      <c r="B574" s="12"/>
      <c r="C574" s="12"/>
      <c r="D574" s="17" t="str">
        <f t="shared" si="27"/>
        <v/>
      </c>
      <c r="E574" s="18" t="str">
        <f t="shared" si="25"/>
        <v/>
      </c>
      <c r="F574" s="17" t="str">
        <f t="shared" si="26"/>
        <v/>
      </c>
    </row>
    <row r="575" spans="2:6" x14ac:dyDescent="0.2">
      <c r="B575" s="12"/>
      <c r="C575" s="12"/>
      <c r="D575" s="17" t="str">
        <f t="shared" si="27"/>
        <v/>
      </c>
      <c r="E575" s="18" t="str">
        <f t="shared" si="25"/>
        <v/>
      </c>
      <c r="F575" s="17" t="str">
        <f t="shared" si="26"/>
        <v/>
      </c>
    </row>
    <row r="576" spans="2:6" x14ac:dyDescent="0.2">
      <c r="B576" s="12"/>
      <c r="C576" s="12"/>
      <c r="D576" s="17" t="str">
        <f t="shared" si="27"/>
        <v/>
      </c>
      <c r="E576" s="18" t="str">
        <f t="shared" si="25"/>
        <v/>
      </c>
      <c r="F576" s="17" t="str">
        <f t="shared" si="26"/>
        <v/>
      </c>
    </row>
    <row r="577" spans="2:6" x14ac:dyDescent="0.2">
      <c r="B577" s="12"/>
      <c r="C577" s="12"/>
      <c r="D577" s="17" t="str">
        <f t="shared" si="27"/>
        <v/>
      </c>
      <c r="E577" s="18" t="str">
        <f t="shared" si="25"/>
        <v/>
      </c>
      <c r="F577" s="17" t="str">
        <f t="shared" si="26"/>
        <v/>
      </c>
    </row>
    <row r="578" spans="2:6" x14ac:dyDescent="0.2">
      <c r="B578" s="12"/>
      <c r="C578" s="12"/>
      <c r="D578" s="17" t="str">
        <f t="shared" si="27"/>
        <v/>
      </c>
      <c r="E578" s="18" t="str">
        <f t="shared" si="25"/>
        <v/>
      </c>
      <c r="F578" s="17" t="str">
        <f t="shared" si="26"/>
        <v/>
      </c>
    </row>
    <row r="579" spans="2:6" x14ac:dyDescent="0.2">
      <c r="B579" s="12"/>
      <c r="C579" s="12"/>
      <c r="D579" s="17" t="str">
        <f t="shared" si="27"/>
        <v/>
      </c>
      <c r="E579" s="18" t="str">
        <f t="shared" si="25"/>
        <v/>
      </c>
      <c r="F579" s="17" t="str">
        <f t="shared" si="26"/>
        <v/>
      </c>
    </row>
    <row r="580" spans="2:6" x14ac:dyDescent="0.2">
      <c r="B580" s="12"/>
      <c r="C580" s="12"/>
      <c r="D580" s="17" t="str">
        <f t="shared" si="27"/>
        <v/>
      </c>
      <c r="E580" s="18" t="str">
        <f t="shared" si="25"/>
        <v/>
      </c>
      <c r="F580" s="17" t="str">
        <f t="shared" si="26"/>
        <v/>
      </c>
    </row>
    <row r="581" spans="2:6" x14ac:dyDescent="0.2">
      <c r="B581" s="12"/>
      <c r="C581" s="12"/>
      <c r="D581" s="17" t="str">
        <f t="shared" si="27"/>
        <v/>
      </c>
      <c r="E581" s="18" t="str">
        <f t="shared" ref="E581:E644" si="28">IF(B581="","",ABS(C581-D581))</f>
        <v/>
      </c>
      <c r="F581" s="17" t="str">
        <f t="shared" ref="F581:F644" si="29">IF(B581="","",E581^2)</f>
        <v/>
      </c>
    </row>
    <row r="582" spans="2:6" x14ac:dyDescent="0.2">
      <c r="B582" s="12"/>
      <c r="C582" s="12"/>
      <c r="D582" s="17" t="str">
        <f t="shared" si="27"/>
        <v/>
      </c>
      <c r="E582" s="18" t="str">
        <f t="shared" si="28"/>
        <v/>
      </c>
      <c r="F582" s="17" t="str">
        <f t="shared" si="29"/>
        <v/>
      </c>
    </row>
    <row r="583" spans="2:6" x14ac:dyDescent="0.2">
      <c r="B583" s="12"/>
      <c r="C583" s="12"/>
      <c r="D583" s="17" t="str">
        <f t="shared" si="27"/>
        <v/>
      </c>
      <c r="E583" s="18" t="str">
        <f t="shared" si="28"/>
        <v/>
      </c>
      <c r="F583" s="17" t="str">
        <f t="shared" si="29"/>
        <v/>
      </c>
    </row>
    <row r="584" spans="2:6" x14ac:dyDescent="0.2">
      <c r="B584" s="12"/>
      <c r="C584" s="12"/>
      <c r="D584" s="17" t="str">
        <f t="shared" si="27"/>
        <v/>
      </c>
      <c r="E584" s="18" t="str">
        <f t="shared" si="28"/>
        <v/>
      </c>
      <c r="F584" s="17" t="str">
        <f t="shared" si="29"/>
        <v/>
      </c>
    </row>
    <row r="585" spans="2:6" x14ac:dyDescent="0.2">
      <c r="B585" s="12"/>
      <c r="C585" s="12"/>
      <c r="D585" s="17" t="str">
        <f t="shared" si="27"/>
        <v/>
      </c>
      <c r="E585" s="18" t="str">
        <f t="shared" si="28"/>
        <v/>
      </c>
      <c r="F585" s="17" t="str">
        <f t="shared" si="29"/>
        <v/>
      </c>
    </row>
    <row r="586" spans="2:6" x14ac:dyDescent="0.2">
      <c r="B586" s="12"/>
      <c r="C586" s="12"/>
      <c r="D586" s="17" t="str">
        <f t="shared" si="27"/>
        <v/>
      </c>
      <c r="E586" s="18" t="str">
        <f t="shared" si="28"/>
        <v/>
      </c>
      <c r="F586" s="17" t="str">
        <f t="shared" si="29"/>
        <v/>
      </c>
    </row>
    <row r="587" spans="2:6" x14ac:dyDescent="0.2">
      <c r="B587" s="12"/>
      <c r="C587" s="12"/>
      <c r="D587" s="17" t="str">
        <f t="shared" si="27"/>
        <v/>
      </c>
      <c r="E587" s="18" t="str">
        <f t="shared" si="28"/>
        <v/>
      </c>
      <c r="F587" s="17" t="str">
        <f t="shared" si="29"/>
        <v/>
      </c>
    </row>
    <row r="588" spans="2:6" x14ac:dyDescent="0.2">
      <c r="B588" s="12"/>
      <c r="C588" s="12"/>
      <c r="D588" s="17" t="str">
        <f t="shared" si="27"/>
        <v/>
      </c>
      <c r="E588" s="18" t="str">
        <f t="shared" si="28"/>
        <v/>
      </c>
      <c r="F588" s="17" t="str">
        <f t="shared" si="29"/>
        <v/>
      </c>
    </row>
    <row r="589" spans="2:6" x14ac:dyDescent="0.2">
      <c r="B589" s="12"/>
      <c r="C589" s="12"/>
      <c r="D589" s="17" t="str">
        <f t="shared" si="27"/>
        <v/>
      </c>
      <c r="E589" s="18" t="str">
        <f t="shared" si="28"/>
        <v/>
      </c>
      <c r="F589" s="17" t="str">
        <f t="shared" si="29"/>
        <v/>
      </c>
    </row>
    <row r="590" spans="2:6" x14ac:dyDescent="0.2">
      <c r="B590" s="12"/>
      <c r="C590" s="12"/>
      <c r="D590" s="17" t="str">
        <f t="shared" si="27"/>
        <v/>
      </c>
      <c r="E590" s="18" t="str">
        <f t="shared" si="28"/>
        <v/>
      </c>
      <c r="F590" s="17" t="str">
        <f t="shared" si="29"/>
        <v/>
      </c>
    </row>
    <row r="591" spans="2:6" x14ac:dyDescent="0.2">
      <c r="B591" s="12"/>
      <c r="C591" s="12"/>
      <c r="D591" s="17" t="str">
        <f t="shared" si="27"/>
        <v/>
      </c>
      <c r="E591" s="18" t="str">
        <f t="shared" si="28"/>
        <v/>
      </c>
      <c r="F591" s="17" t="str">
        <f t="shared" si="29"/>
        <v/>
      </c>
    </row>
    <row r="592" spans="2:6" x14ac:dyDescent="0.2">
      <c r="B592" s="12"/>
      <c r="C592" s="12"/>
      <c r="D592" s="17" t="str">
        <f t="shared" si="27"/>
        <v/>
      </c>
      <c r="E592" s="18" t="str">
        <f t="shared" si="28"/>
        <v/>
      </c>
      <c r="F592" s="17" t="str">
        <f t="shared" si="29"/>
        <v/>
      </c>
    </row>
    <row r="593" spans="2:6" x14ac:dyDescent="0.2">
      <c r="B593" s="12"/>
      <c r="C593" s="12"/>
      <c r="D593" s="17" t="str">
        <f t="shared" si="27"/>
        <v/>
      </c>
      <c r="E593" s="18" t="str">
        <f t="shared" si="28"/>
        <v/>
      </c>
      <c r="F593" s="17" t="str">
        <f t="shared" si="29"/>
        <v/>
      </c>
    </row>
    <row r="594" spans="2:6" x14ac:dyDescent="0.2">
      <c r="B594" s="12"/>
      <c r="C594" s="12"/>
      <c r="D594" s="17" t="str">
        <f t="shared" ref="D594:D657" si="30">IF(B594="","",a+b*B594)</f>
        <v/>
      </c>
      <c r="E594" s="18" t="str">
        <f t="shared" si="28"/>
        <v/>
      </c>
      <c r="F594" s="17" t="str">
        <f t="shared" si="29"/>
        <v/>
      </c>
    </row>
    <row r="595" spans="2:6" x14ac:dyDescent="0.2">
      <c r="B595" s="12"/>
      <c r="C595" s="12"/>
      <c r="D595" s="17" t="str">
        <f t="shared" si="30"/>
        <v/>
      </c>
      <c r="E595" s="18" t="str">
        <f t="shared" si="28"/>
        <v/>
      </c>
      <c r="F595" s="17" t="str">
        <f t="shared" si="29"/>
        <v/>
      </c>
    </row>
    <row r="596" spans="2:6" x14ac:dyDescent="0.2">
      <c r="B596" s="12"/>
      <c r="C596" s="12"/>
      <c r="D596" s="17" t="str">
        <f t="shared" si="30"/>
        <v/>
      </c>
      <c r="E596" s="18" t="str">
        <f t="shared" si="28"/>
        <v/>
      </c>
      <c r="F596" s="17" t="str">
        <f t="shared" si="29"/>
        <v/>
      </c>
    </row>
    <row r="597" spans="2:6" x14ac:dyDescent="0.2">
      <c r="B597" s="12"/>
      <c r="C597" s="12"/>
      <c r="D597" s="17" t="str">
        <f t="shared" si="30"/>
        <v/>
      </c>
      <c r="E597" s="18" t="str">
        <f t="shared" si="28"/>
        <v/>
      </c>
      <c r="F597" s="17" t="str">
        <f t="shared" si="29"/>
        <v/>
      </c>
    </row>
    <row r="598" spans="2:6" x14ac:dyDescent="0.2">
      <c r="B598" s="12"/>
      <c r="C598" s="12"/>
      <c r="D598" s="17" t="str">
        <f t="shared" si="30"/>
        <v/>
      </c>
      <c r="E598" s="18" t="str">
        <f t="shared" si="28"/>
        <v/>
      </c>
      <c r="F598" s="17" t="str">
        <f t="shared" si="29"/>
        <v/>
      </c>
    </row>
    <row r="599" spans="2:6" x14ac:dyDescent="0.2">
      <c r="B599" s="12"/>
      <c r="C599" s="12"/>
      <c r="D599" s="17" t="str">
        <f t="shared" si="30"/>
        <v/>
      </c>
      <c r="E599" s="18" t="str">
        <f t="shared" si="28"/>
        <v/>
      </c>
      <c r="F599" s="17" t="str">
        <f t="shared" si="29"/>
        <v/>
      </c>
    </row>
    <row r="600" spans="2:6" x14ac:dyDescent="0.2">
      <c r="B600" s="12"/>
      <c r="C600" s="12"/>
      <c r="D600" s="17" t="str">
        <f t="shared" si="30"/>
        <v/>
      </c>
      <c r="E600" s="18" t="str">
        <f t="shared" si="28"/>
        <v/>
      </c>
      <c r="F600" s="17" t="str">
        <f t="shared" si="29"/>
        <v/>
      </c>
    </row>
    <row r="601" spans="2:6" x14ac:dyDescent="0.2">
      <c r="B601" s="12"/>
      <c r="C601" s="12"/>
      <c r="D601" s="17" t="str">
        <f t="shared" si="30"/>
        <v/>
      </c>
      <c r="E601" s="18" t="str">
        <f t="shared" si="28"/>
        <v/>
      </c>
      <c r="F601" s="17" t="str">
        <f t="shared" si="29"/>
        <v/>
      </c>
    </row>
    <row r="602" spans="2:6" x14ac:dyDescent="0.2">
      <c r="B602" s="12"/>
      <c r="C602" s="12"/>
      <c r="D602" s="17" t="str">
        <f t="shared" si="30"/>
        <v/>
      </c>
      <c r="E602" s="18" t="str">
        <f t="shared" si="28"/>
        <v/>
      </c>
      <c r="F602" s="17" t="str">
        <f t="shared" si="29"/>
        <v/>
      </c>
    </row>
    <row r="603" spans="2:6" x14ac:dyDescent="0.2">
      <c r="B603" s="12"/>
      <c r="C603" s="12"/>
      <c r="D603" s="17" t="str">
        <f t="shared" si="30"/>
        <v/>
      </c>
      <c r="E603" s="18" t="str">
        <f t="shared" si="28"/>
        <v/>
      </c>
      <c r="F603" s="17" t="str">
        <f t="shared" si="29"/>
        <v/>
      </c>
    </row>
    <row r="604" spans="2:6" x14ac:dyDescent="0.2">
      <c r="B604" s="12"/>
      <c r="C604" s="12"/>
      <c r="D604" s="17" t="str">
        <f t="shared" si="30"/>
        <v/>
      </c>
      <c r="E604" s="18" t="str">
        <f t="shared" si="28"/>
        <v/>
      </c>
      <c r="F604" s="17" t="str">
        <f t="shared" si="29"/>
        <v/>
      </c>
    </row>
    <row r="605" spans="2:6" x14ac:dyDescent="0.2">
      <c r="B605" s="12"/>
      <c r="C605" s="12"/>
      <c r="D605" s="17" t="str">
        <f t="shared" si="30"/>
        <v/>
      </c>
      <c r="E605" s="18" t="str">
        <f t="shared" si="28"/>
        <v/>
      </c>
      <c r="F605" s="17" t="str">
        <f t="shared" si="29"/>
        <v/>
      </c>
    </row>
    <row r="606" spans="2:6" x14ac:dyDescent="0.2">
      <c r="B606" s="12"/>
      <c r="C606" s="12"/>
      <c r="D606" s="17" t="str">
        <f t="shared" si="30"/>
        <v/>
      </c>
      <c r="E606" s="18" t="str">
        <f t="shared" si="28"/>
        <v/>
      </c>
      <c r="F606" s="17" t="str">
        <f t="shared" si="29"/>
        <v/>
      </c>
    </row>
    <row r="607" spans="2:6" x14ac:dyDescent="0.2">
      <c r="B607" s="12"/>
      <c r="C607" s="12"/>
      <c r="D607" s="17" t="str">
        <f t="shared" si="30"/>
        <v/>
      </c>
      <c r="E607" s="18" t="str">
        <f t="shared" si="28"/>
        <v/>
      </c>
      <c r="F607" s="17" t="str">
        <f t="shared" si="29"/>
        <v/>
      </c>
    </row>
    <row r="608" spans="2:6" x14ac:dyDescent="0.2">
      <c r="B608" s="12"/>
      <c r="C608" s="12"/>
      <c r="D608" s="17" t="str">
        <f t="shared" si="30"/>
        <v/>
      </c>
      <c r="E608" s="18" t="str">
        <f t="shared" si="28"/>
        <v/>
      </c>
      <c r="F608" s="17" t="str">
        <f t="shared" si="29"/>
        <v/>
      </c>
    </row>
    <row r="609" spans="2:6" x14ac:dyDescent="0.2">
      <c r="B609" s="12"/>
      <c r="C609" s="12"/>
      <c r="D609" s="17" t="str">
        <f t="shared" si="30"/>
        <v/>
      </c>
      <c r="E609" s="18" t="str">
        <f t="shared" si="28"/>
        <v/>
      </c>
      <c r="F609" s="17" t="str">
        <f t="shared" si="29"/>
        <v/>
      </c>
    </row>
    <row r="610" spans="2:6" x14ac:dyDescent="0.2">
      <c r="B610" s="12"/>
      <c r="C610" s="12"/>
      <c r="D610" s="17" t="str">
        <f t="shared" si="30"/>
        <v/>
      </c>
      <c r="E610" s="18" t="str">
        <f t="shared" si="28"/>
        <v/>
      </c>
      <c r="F610" s="17" t="str">
        <f t="shared" si="29"/>
        <v/>
      </c>
    </row>
    <row r="611" spans="2:6" x14ac:dyDescent="0.2">
      <c r="B611" s="12"/>
      <c r="C611" s="12"/>
      <c r="D611" s="17" t="str">
        <f t="shared" si="30"/>
        <v/>
      </c>
      <c r="E611" s="18" t="str">
        <f t="shared" si="28"/>
        <v/>
      </c>
      <c r="F611" s="17" t="str">
        <f t="shared" si="29"/>
        <v/>
      </c>
    </row>
    <row r="612" spans="2:6" x14ac:dyDescent="0.2">
      <c r="B612" s="12"/>
      <c r="C612" s="12"/>
      <c r="D612" s="17" t="str">
        <f t="shared" si="30"/>
        <v/>
      </c>
      <c r="E612" s="18" t="str">
        <f t="shared" si="28"/>
        <v/>
      </c>
      <c r="F612" s="17" t="str">
        <f t="shared" si="29"/>
        <v/>
      </c>
    </row>
    <row r="613" spans="2:6" x14ac:dyDescent="0.2">
      <c r="B613" s="12"/>
      <c r="C613" s="12"/>
      <c r="D613" s="17" t="str">
        <f t="shared" si="30"/>
        <v/>
      </c>
      <c r="E613" s="18" t="str">
        <f t="shared" si="28"/>
        <v/>
      </c>
      <c r="F613" s="17" t="str">
        <f t="shared" si="29"/>
        <v/>
      </c>
    </row>
    <row r="614" spans="2:6" x14ac:dyDescent="0.2">
      <c r="B614" s="12"/>
      <c r="C614" s="12"/>
      <c r="D614" s="17" t="str">
        <f t="shared" si="30"/>
        <v/>
      </c>
      <c r="E614" s="18" t="str">
        <f t="shared" si="28"/>
        <v/>
      </c>
      <c r="F614" s="17" t="str">
        <f t="shared" si="29"/>
        <v/>
      </c>
    </row>
    <row r="615" spans="2:6" x14ac:dyDescent="0.2">
      <c r="B615" s="12"/>
      <c r="C615" s="12"/>
      <c r="D615" s="17" t="str">
        <f t="shared" si="30"/>
        <v/>
      </c>
      <c r="E615" s="18" t="str">
        <f t="shared" si="28"/>
        <v/>
      </c>
      <c r="F615" s="17" t="str">
        <f t="shared" si="29"/>
        <v/>
      </c>
    </row>
    <row r="616" spans="2:6" x14ac:dyDescent="0.2">
      <c r="B616" s="12"/>
      <c r="C616" s="12"/>
      <c r="D616" s="17" t="str">
        <f t="shared" si="30"/>
        <v/>
      </c>
      <c r="E616" s="18" t="str">
        <f t="shared" si="28"/>
        <v/>
      </c>
      <c r="F616" s="17" t="str">
        <f t="shared" si="29"/>
        <v/>
      </c>
    </row>
    <row r="617" spans="2:6" x14ac:dyDescent="0.2">
      <c r="B617" s="12"/>
      <c r="C617" s="12"/>
      <c r="D617" s="17" t="str">
        <f t="shared" si="30"/>
        <v/>
      </c>
      <c r="E617" s="18" t="str">
        <f t="shared" si="28"/>
        <v/>
      </c>
      <c r="F617" s="17" t="str">
        <f t="shared" si="29"/>
        <v/>
      </c>
    </row>
    <row r="618" spans="2:6" x14ac:dyDescent="0.2">
      <c r="B618" s="12"/>
      <c r="C618" s="12"/>
      <c r="D618" s="17" t="str">
        <f t="shared" si="30"/>
        <v/>
      </c>
      <c r="E618" s="18" t="str">
        <f t="shared" si="28"/>
        <v/>
      </c>
      <c r="F618" s="17" t="str">
        <f t="shared" si="29"/>
        <v/>
      </c>
    </row>
    <row r="619" spans="2:6" x14ac:dyDescent="0.2">
      <c r="B619" s="12"/>
      <c r="C619" s="12"/>
      <c r="D619" s="17" t="str">
        <f t="shared" si="30"/>
        <v/>
      </c>
      <c r="E619" s="18" t="str">
        <f t="shared" si="28"/>
        <v/>
      </c>
      <c r="F619" s="17" t="str">
        <f t="shared" si="29"/>
        <v/>
      </c>
    </row>
    <row r="620" spans="2:6" x14ac:dyDescent="0.2">
      <c r="B620" s="12"/>
      <c r="C620" s="12"/>
      <c r="D620" s="17" t="str">
        <f t="shared" si="30"/>
        <v/>
      </c>
      <c r="E620" s="18" t="str">
        <f t="shared" si="28"/>
        <v/>
      </c>
      <c r="F620" s="17" t="str">
        <f t="shared" si="29"/>
        <v/>
      </c>
    </row>
    <row r="621" spans="2:6" x14ac:dyDescent="0.2">
      <c r="B621" s="12"/>
      <c r="C621" s="12"/>
      <c r="D621" s="17" t="str">
        <f t="shared" si="30"/>
        <v/>
      </c>
      <c r="E621" s="18" t="str">
        <f t="shared" si="28"/>
        <v/>
      </c>
      <c r="F621" s="17" t="str">
        <f t="shared" si="29"/>
        <v/>
      </c>
    </row>
    <row r="622" spans="2:6" x14ac:dyDescent="0.2">
      <c r="B622" s="12"/>
      <c r="C622" s="12"/>
      <c r="D622" s="17" t="str">
        <f t="shared" si="30"/>
        <v/>
      </c>
      <c r="E622" s="18" t="str">
        <f t="shared" si="28"/>
        <v/>
      </c>
      <c r="F622" s="17" t="str">
        <f t="shared" si="29"/>
        <v/>
      </c>
    </row>
    <row r="623" spans="2:6" x14ac:dyDescent="0.2">
      <c r="B623" s="12"/>
      <c r="C623" s="12"/>
      <c r="D623" s="17" t="str">
        <f t="shared" si="30"/>
        <v/>
      </c>
      <c r="E623" s="18" t="str">
        <f t="shared" si="28"/>
        <v/>
      </c>
      <c r="F623" s="17" t="str">
        <f t="shared" si="29"/>
        <v/>
      </c>
    </row>
    <row r="624" spans="2:6" x14ac:dyDescent="0.2">
      <c r="B624" s="12"/>
      <c r="C624" s="12"/>
      <c r="D624" s="17" t="str">
        <f t="shared" si="30"/>
        <v/>
      </c>
      <c r="E624" s="18" t="str">
        <f t="shared" si="28"/>
        <v/>
      </c>
      <c r="F624" s="17" t="str">
        <f t="shared" si="29"/>
        <v/>
      </c>
    </row>
    <row r="625" spans="2:6" x14ac:dyDescent="0.2">
      <c r="B625" s="12"/>
      <c r="C625" s="12"/>
      <c r="D625" s="17" t="str">
        <f t="shared" si="30"/>
        <v/>
      </c>
      <c r="E625" s="18" t="str">
        <f t="shared" si="28"/>
        <v/>
      </c>
      <c r="F625" s="17" t="str">
        <f t="shared" si="29"/>
        <v/>
      </c>
    </row>
    <row r="626" spans="2:6" x14ac:dyDescent="0.2">
      <c r="B626" s="12"/>
      <c r="C626" s="12"/>
      <c r="D626" s="17" t="str">
        <f t="shared" si="30"/>
        <v/>
      </c>
      <c r="E626" s="18" t="str">
        <f t="shared" si="28"/>
        <v/>
      </c>
      <c r="F626" s="17" t="str">
        <f t="shared" si="29"/>
        <v/>
      </c>
    </row>
    <row r="627" spans="2:6" x14ac:dyDescent="0.2">
      <c r="B627" s="12"/>
      <c r="C627" s="12"/>
      <c r="D627" s="17" t="str">
        <f t="shared" si="30"/>
        <v/>
      </c>
      <c r="E627" s="18" t="str">
        <f t="shared" si="28"/>
        <v/>
      </c>
      <c r="F627" s="17" t="str">
        <f t="shared" si="29"/>
        <v/>
      </c>
    </row>
    <row r="628" spans="2:6" x14ac:dyDescent="0.2">
      <c r="B628" s="12"/>
      <c r="C628" s="12"/>
      <c r="D628" s="17" t="str">
        <f t="shared" si="30"/>
        <v/>
      </c>
      <c r="E628" s="18" t="str">
        <f t="shared" si="28"/>
        <v/>
      </c>
      <c r="F628" s="17" t="str">
        <f t="shared" si="29"/>
        <v/>
      </c>
    </row>
    <row r="629" spans="2:6" x14ac:dyDescent="0.2">
      <c r="B629" s="12"/>
      <c r="C629" s="12"/>
      <c r="D629" s="17" t="str">
        <f t="shared" si="30"/>
        <v/>
      </c>
      <c r="E629" s="18" t="str">
        <f t="shared" si="28"/>
        <v/>
      </c>
      <c r="F629" s="17" t="str">
        <f t="shared" si="29"/>
        <v/>
      </c>
    </row>
    <row r="630" spans="2:6" x14ac:dyDescent="0.2">
      <c r="B630" s="12"/>
      <c r="C630" s="12"/>
      <c r="D630" s="17" t="str">
        <f t="shared" si="30"/>
        <v/>
      </c>
      <c r="E630" s="18" t="str">
        <f t="shared" si="28"/>
        <v/>
      </c>
      <c r="F630" s="17" t="str">
        <f t="shared" si="29"/>
        <v/>
      </c>
    </row>
    <row r="631" spans="2:6" x14ac:dyDescent="0.2">
      <c r="B631" s="12"/>
      <c r="C631" s="12"/>
      <c r="D631" s="17" t="str">
        <f t="shared" si="30"/>
        <v/>
      </c>
      <c r="E631" s="18" t="str">
        <f t="shared" si="28"/>
        <v/>
      </c>
      <c r="F631" s="17" t="str">
        <f t="shared" si="29"/>
        <v/>
      </c>
    </row>
    <row r="632" spans="2:6" x14ac:dyDescent="0.2">
      <c r="B632" s="12"/>
      <c r="C632" s="12"/>
      <c r="D632" s="17" t="str">
        <f t="shared" si="30"/>
        <v/>
      </c>
      <c r="E632" s="18" t="str">
        <f t="shared" si="28"/>
        <v/>
      </c>
      <c r="F632" s="17" t="str">
        <f t="shared" si="29"/>
        <v/>
      </c>
    </row>
    <row r="633" spans="2:6" x14ac:dyDescent="0.2">
      <c r="B633" s="12"/>
      <c r="C633" s="12"/>
      <c r="D633" s="17" t="str">
        <f t="shared" si="30"/>
        <v/>
      </c>
      <c r="E633" s="18" t="str">
        <f t="shared" si="28"/>
        <v/>
      </c>
      <c r="F633" s="17" t="str">
        <f t="shared" si="29"/>
        <v/>
      </c>
    </row>
    <row r="634" spans="2:6" x14ac:dyDescent="0.2">
      <c r="B634" s="12"/>
      <c r="C634" s="12"/>
      <c r="D634" s="17" t="str">
        <f t="shared" si="30"/>
        <v/>
      </c>
      <c r="E634" s="18" t="str">
        <f t="shared" si="28"/>
        <v/>
      </c>
      <c r="F634" s="17" t="str">
        <f t="shared" si="29"/>
        <v/>
      </c>
    </row>
    <row r="635" spans="2:6" x14ac:dyDescent="0.2">
      <c r="B635" s="12"/>
      <c r="C635" s="12"/>
      <c r="D635" s="17" t="str">
        <f t="shared" si="30"/>
        <v/>
      </c>
      <c r="E635" s="18" t="str">
        <f t="shared" si="28"/>
        <v/>
      </c>
      <c r="F635" s="17" t="str">
        <f t="shared" si="29"/>
        <v/>
      </c>
    </row>
    <row r="636" spans="2:6" x14ac:dyDescent="0.2">
      <c r="B636" s="12"/>
      <c r="C636" s="12"/>
      <c r="D636" s="17" t="str">
        <f t="shared" si="30"/>
        <v/>
      </c>
      <c r="E636" s="18" t="str">
        <f t="shared" si="28"/>
        <v/>
      </c>
      <c r="F636" s="17" t="str">
        <f t="shared" si="29"/>
        <v/>
      </c>
    </row>
    <row r="637" spans="2:6" x14ac:dyDescent="0.2">
      <c r="B637" s="12"/>
      <c r="C637" s="12"/>
      <c r="D637" s="17" t="str">
        <f t="shared" si="30"/>
        <v/>
      </c>
      <c r="E637" s="18" t="str">
        <f t="shared" si="28"/>
        <v/>
      </c>
      <c r="F637" s="17" t="str">
        <f t="shared" si="29"/>
        <v/>
      </c>
    </row>
    <row r="638" spans="2:6" x14ac:dyDescent="0.2">
      <c r="B638" s="12"/>
      <c r="C638" s="12"/>
      <c r="D638" s="17" t="str">
        <f t="shared" si="30"/>
        <v/>
      </c>
      <c r="E638" s="18" t="str">
        <f t="shared" si="28"/>
        <v/>
      </c>
      <c r="F638" s="17" t="str">
        <f t="shared" si="29"/>
        <v/>
      </c>
    </row>
    <row r="639" spans="2:6" x14ac:dyDescent="0.2">
      <c r="B639" s="12"/>
      <c r="C639" s="12"/>
      <c r="D639" s="17" t="str">
        <f t="shared" si="30"/>
        <v/>
      </c>
      <c r="E639" s="18" t="str">
        <f t="shared" si="28"/>
        <v/>
      </c>
      <c r="F639" s="17" t="str">
        <f t="shared" si="29"/>
        <v/>
      </c>
    </row>
    <row r="640" spans="2:6" x14ac:dyDescent="0.2">
      <c r="B640" s="12"/>
      <c r="C640" s="12"/>
      <c r="D640" s="17" t="str">
        <f t="shared" si="30"/>
        <v/>
      </c>
      <c r="E640" s="18" t="str">
        <f t="shared" si="28"/>
        <v/>
      </c>
      <c r="F640" s="17" t="str">
        <f t="shared" si="29"/>
        <v/>
      </c>
    </row>
    <row r="641" spans="2:6" x14ac:dyDescent="0.2">
      <c r="B641" s="12"/>
      <c r="C641" s="12"/>
      <c r="D641" s="17" t="str">
        <f t="shared" si="30"/>
        <v/>
      </c>
      <c r="E641" s="18" t="str">
        <f t="shared" si="28"/>
        <v/>
      </c>
      <c r="F641" s="17" t="str">
        <f t="shared" si="29"/>
        <v/>
      </c>
    </row>
    <row r="642" spans="2:6" x14ac:dyDescent="0.2">
      <c r="B642" s="12"/>
      <c r="C642" s="12"/>
      <c r="D642" s="17" t="str">
        <f t="shared" si="30"/>
        <v/>
      </c>
      <c r="E642" s="18" t="str">
        <f t="shared" si="28"/>
        <v/>
      </c>
      <c r="F642" s="17" t="str">
        <f t="shared" si="29"/>
        <v/>
      </c>
    </row>
    <row r="643" spans="2:6" x14ac:dyDescent="0.2">
      <c r="B643" s="12"/>
      <c r="C643" s="12"/>
      <c r="D643" s="17" t="str">
        <f t="shared" si="30"/>
        <v/>
      </c>
      <c r="E643" s="18" t="str">
        <f t="shared" si="28"/>
        <v/>
      </c>
      <c r="F643" s="17" t="str">
        <f t="shared" si="29"/>
        <v/>
      </c>
    </row>
    <row r="644" spans="2:6" x14ac:dyDescent="0.2">
      <c r="B644" s="12"/>
      <c r="C644" s="12"/>
      <c r="D644" s="17" t="str">
        <f t="shared" si="30"/>
        <v/>
      </c>
      <c r="E644" s="18" t="str">
        <f t="shared" si="28"/>
        <v/>
      </c>
      <c r="F644" s="17" t="str">
        <f t="shared" si="29"/>
        <v/>
      </c>
    </row>
    <row r="645" spans="2:6" x14ac:dyDescent="0.2">
      <c r="B645" s="12"/>
      <c r="C645" s="12"/>
      <c r="D645" s="17" t="str">
        <f t="shared" si="30"/>
        <v/>
      </c>
      <c r="E645" s="18" t="str">
        <f t="shared" ref="E645:E708" si="31">IF(B645="","",ABS(C645-D645))</f>
        <v/>
      </c>
      <c r="F645" s="17" t="str">
        <f t="shared" ref="F645:F708" si="32">IF(B645="","",E645^2)</f>
        <v/>
      </c>
    </row>
    <row r="646" spans="2:6" x14ac:dyDescent="0.2">
      <c r="B646" s="12"/>
      <c r="C646" s="12"/>
      <c r="D646" s="17" t="str">
        <f t="shared" si="30"/>
        <v/>
      </c>
      <c r="E646" s="18" t="str">
        <f t="shared" si="31"/>
        <v/>
      </c>
      <c r="F646" s="17" t="str">
        <f t="shared" si="32"/>
        <v/>
      </c>
    </row>
    <row r="647" spans="2:6" x14ac:dyDescent="0.2">
      <c r="B647" s="12"/>
      <c r="C647" s="12"/>
      <c r="D647" s="17" t="str">
        <f t="shared" si="30"/>
        <v/>
      </c>
      <c r="E647" s="18" t="str">
        <f t="shared" si="31"/>
        <v/>
      </c>
      <c r="F647" s="17" t="str">
        <f t="shared" si="32"/>
        <v/>
      </c>
    </row>
    <row r="648" spans="2:6" x14ac:dyDescent="0.2">
      <c r="B648" s="12"/>
      <c r="C648" s="12"/>
      <c r="D648" s="17" t="str">
        <f t="shared" si="30"/>
        <v/>
      </c>
      <c r="E648" s="18" t="str">
        <f t="shared" si="31"/>
        <v/>
      </c>
      <c r="F648" s="17" t="str">
        <f t="shared" si="32"/>
        <v/>
      </c>
    </row>
    <row r="649" spans="2:6" x14ac:dyDescent="0.2">
      <c r="B649" s="12"/>
      <c r="C649" s="12"/>
      <c r="D649" s="17" t="str">
        <f t="shared" si="30"/>
        <v/>
      </c>
      <c r="E649" s="18" t="str">
        <f t="shared" si="31"/>
        <v/>
      </c>
      <c r="F649" s="17" t="str">
        <f t="shared" si="32"/>
        <v/>
      </c>
    </row>
    <row r="650" spans="2:6" x14ac:dyDescent="0.2">
      <c r="B650" s="12"/>
      <c r="C650" s="12"/>
      <c r="D650" s="17" t="str">
        <f t="shared" si="30"/>
        <v/>
      </c>
      <c r="E650" s="18" t="str">
        <f t="shared" si="31"/>
        <v/>
      </c>
      <c r="F650" s="17" t="str">
        <f t="shared" si="32"/>
        <v/>
      </c>
    </row>
    <row r="651" spans="2:6" x14ac:dyDescent="0.2">
      <c r="B651" s="12"/>
      <c r="C651" s="12"/>
      <c r="D651" s="17" t="str">
        <f t="shared" si="30"/>
        <v/>
      </c>
      <c r="E651" s="18" t="str">
        <f t="shared" si="31"/>
        <v/>
      </c>
      <c r="F651" s="17" t="str">
        <f t="shared" si="32"/>
        <v/>
      </c>
    </row>
    <row r="652" spans="2:6" x14ac:dyDescent="0.2">
      <c r="B652" s="12"/>
      <c r="C652" s="12"/>
      <c r="D652" s="17" t="str">
        <f t="shared" si="30"/>
        <v/>
      </c>
      <c r="E652" s="18" t="str">
        <f t="shared" si="31"/>
        <v/>
      </c>
      <c r="F652" s="17" t="str">
        <f t="shared" si="32"/>
        <v/>
      </c>
    </row>
    <row r="653" spans="2:6" x14ac:dyDescent="0.2">
      <c r="B653" s="12"/>
      <c r="C653" s="12"/>
      <c r="D653" s="17" t="str">
        <f t="shared" si="30"/>
        <v/>
      </c>
      <c r="E653" s="18" t="str">
        <f t="shared" si="31"/>
        <v/>
      </c>
      <c r="F653" s="17" t="str">
        <f t="shared" si="32"/>
        <v/>
      </c>
    </row>
    <row r="654" spans="2:6" x14ac:dyDescent="0.2">
      <c r="B654" s="12"/>
      <c r="C654" s="12"/>
      <c r="D654" s="17" t="str">
        <f t="shared" si="30"/>
        <v/>
      </c>
      <c r="E654" s="18" t="str">
        <f t="shared" si="31"/>
        <v/>
      </c>
      <c r="F654" s="17" t="str">
        <f t="shared" si="32"/>
        <v/>
      </c>
    </row>
    <row r="655" spans="2:6" x14ac:dyDescent="0.2">
      <c r="B655" s="12"/>
      <c r="C655" s="12"/>
      <c r="D655" s="17" t="str">
        <f t="shared" si="30"/>
        <v/>
      </c>
      <c r="E655" s="18" t="str">
        <f t="shared" si="31"/>
        <v/>
      </c>
      <c r="F655" s="17" t="str">
        <f t="shared" si="32"/>
        <v/>
      </c>
    </row>
    <row r="656" spans="2:6" x14ac:dyDescent="0.2">
      <c r="B656" s="12"/>
      <c r="C656" s="12"/>
      <c r="D656" s="17" t="str">
        <f t="shared" si="30"/>
        <v/>
      </c>
      <c r="E656" s="18" t="str">
        <f t="shared" si="31"/>
        <v/>
      </c>
      <c r="F656" s="17" t="str">
        <f t="shared" si="32"/>
        <v/>
      </c>
    </row>
    <row r="657" spans="2:6" x14ac:dyDescent="0.2">
      <c r="B657" s="12"/>
      <c r="C657" s="12"/>
      <c r="D657" s="17" t="str">
        <f t="shared" si="30"/>
        <v/>
      </c>
      <c r="E657" s="18" t="str">
        <f t="shared" si="31"/>
        <v/>
      </c>
      <c r="F657" s="17" t="str">
        <f t="shared" si="32"/>
        <v/>
      </c>
    </row>
    <row r="658" spans="2:6" x14ac:dyDescent="0.2">
      <c r="B658" s="12"/>
      <c r="C658" s="12"/>
      <c r="D658" s="17" t="str">
        <f t="shared" ref="D658:D721" si="33">IF(B658="","",a+b*B658)</f>
        <v/>
      </c>
      <c r="E658" s="18" t="str">
        <f t="shared" si="31"/>
        <v/>
      </c>
      <c r="F658" s="17" t="str">
        <f t="shared" si="32"/>
        <v/>
      </c>
    </row>
    <row r="659" spans="2:6" x14ac:dyDescent="0.2">
      <c r="B659" s="12"/>
      <c r="C659" s="12"/>
      <c r="D659" s="17" t="str">
        <f t="shared" si="33"/>
        <v/>
      </c>
      <c r="E659" s="18" t="str">
        <f t="shared" si="31"/>
        <v/>
      </c>
      <c r="F659" s="17" t="str">
        <f t="shared" si="32"/>
        <v/>
      </c>
    </row>
    <row r="660" spans="2:6" x14ac:dyDescent="0.2">
      <c r="B660" s="12"/>
      <c r="C660" s="12"/>
      <c r="D660" s="17" t="str">
        <f t="shared" si="33"/>
        <v/>
      </c>
      <c r="E660" s="18" t="str">
        <f t="shared" si="31"/>
        <v/>
      </c>
      <c r="F660" s="17" t="str">
        <f t="shared" si="32"/>
        <v/>
      </c>
    </row>
    <row r="661" spans="2:6" x14ac:dyDescent="0.2">
      <c r="B661" s="12"/>
      <c r="C661" s="12"/>
      <c r="D661" s="17" t="str">
        <f t="shared" si="33"/>
        <v/>
      </c>
      <c r="E661" s="18" t="str">
        <f t="shared" si="31"/>
        <v/>
      </c>
      <c r="F661" s="17" t="str">
        <f t="shared" si="32"/>
        <v/>
      </c>
    </row>
    <row r="662" spans="2:6" x14ac:dyDescent="0.2">
      <c r="B662" s="12"/>
      <c r="C662" s="12"/>
      <c r="D662" s="17" t="str">
        <f t="shared" si="33"/>
        <v/>
      </c>
      <c r="E662" s="18" t="str">
        <f t="shared" si="31"/>
        <v/>
      </c>
      <c r="F662" s="17" t="str">
        <f t="shared" si="32"/>
        <v/>
      </c>
    </row>
    <row r="663" spans="2:6" x14ac:dyDescent="0.2">
      <c r="B663" s="12"/>
      <c r="C663" s="12"/>
      <c r="D663" s="17" t="str">
        <f t="shared" si="33"/>
        <v/>
      </c>
      <c r="E663" s="18" t="str">
        <f t="shared" si="31"/>
        <v/>
      </c>
      <c r="F663" s="17" t="str">
        <f t="shared" si="32"/>
        <v/>
      </c>
    </row>
    <row r="664" spans="2:6" x14ac:dyDescent="0.2">
      <c r="B664" s="12"/>
      <c r="C664" s="12"/>
      <c r="D664" s="17" t="str">
        <f t="shared" si="33"/>
        <v/>
      </c>
      <c r="E664" s="18" t="str">
        <f t="shared" si="31"/>
        <v/>
      </c>
      <c r="F664" s="17" t="str">
        <f t="shared" si="32"/>
        <v/>
      </c>
    </row>
    <row r="665" spans="2:6" x14ac:dyDescent="0.2">
      <c r="B665" s="12"/>
      <c r="C665" s="12"/>
      <c r="D665" s="17" t="str">
        <f t="shared" si="33"/>
        <v/>
      </c>
      <c r="E665" s="18" t="str">
        <f t="shared" si="31"/>
        <v/>
      </c>
      <c r="F665" s="17" t="str">
        <f t="shared" si="32"/>
        <v/>
      </c>
    </row>
    <row r="666" spans="2:6" x14ac:dyDescent="0.2">
      <c r="B666" s="12"/>
      <c r="C666" s="12"/>
      <c r="D666" s="17" t="str">
        <f t="shared" si="33"/>
        <v/>
      </c>
      <c r="E666" s="18" t="str">
        <f t="shared" si="31"/>
        <v/>
      </c>
      <c r="F666" s="17" t="str">
        <f t="shared" si="32"/>
        <v/>
      </c>
    </row>
    <row r="667" spans="2:6" x14ac:dyDescent="0.2">
      <c r="B667" s="12"/>
      <c r="C667" s="12"/>
      <c r="D667" s="17" t="str">
        <f t="shared" si="33"/>
        <v/>
      </c>
      <c r="E667" s="18" t="str">
        <f t="shared" si="31"/>
        <v/>
      </c>
      <c r="F667" s="17" t="str">
        <f t="shared" si="32"/>
        <v/>
      </c>
    </row>
    <row r="668" spans="2:6" x14ac:dyDescent="0.2">
      <c r="B668" s="12"/>
      <c r="C668" s="12"/>
      <c r="D668" s="17" t="str">
        <f t="shared" si="33"/>
        <v/>
      </c>
      <c r="E668" s="18" t="str">
        <f t="shared" si="31"/>
        <v/>
      </c>
      <c r="F668" s="17" t="str">
        <f t="shared" si="32"/>
        <v/>
      </c>
    </row>
    <row r="669" spans="2:6" x14ac:dyDescent="0.2">
      <c r="B669" s="12"/>
      <c r="C669" s="12"/>
      <c r="D669" s="17" t="str">
        <f t="shared" si="33"/>
        <v/>
      </c>
      <c r="E669" s="18" t="str">
        <f t="shared" si="31"/>
        <v/>
      </c>
      <c r="F669" s="17" t="str">
        <f t="shared" si="32"/>
        <v/>
      </c>
    </row>
    <row r="670" spans="2:6" x14ac:dyDescent="0.2">
      <c r="B670" s="12"/>
      <c r="C670" s="12"/>
      <c r="D670" s="17" t="str">
        <f t="shared" si="33"/>
        <v/>
      </c>
      <c r="E670" s="18" t="str">
        <f t="shared" si="31"/>
        <v/>
      </c>
      <c r="F670" s="17" t="str">
        <f t="shared" si="32"/>
        <v/>
      </c>
    </row>
    <row r="671" spans="2:6" x14ac:dyDescent="0.2">
      <c r="B671" s="12"/>
      <c r="C671" s="12"/>
      <c r="D671" s="17" t="str">
        <f t="shared" si="33"/>
        <v/>
      </c>
      <c r="E671" s="18" t="str">
        <f t="shared" si="31"/>
        <v/>
      </c>
      <c r="F671" s="17" t="str">
        <f t="shared" si="32"/>
        <v/>
      </c>
    </row>
    <row r="672" spans="2:6" x14ac:dyDescent="0.2">
      <c r="B672" s="12"/>
      <c r="C672" s="12"/>
      <c r="D672" s="17" t="str">
        <f t="shared" si="33"/>
        <v/>
      </c>
      <c r="E672" s="18" t="str">
        <f t="shared" si="31"/>
        <v/>
      </c>
      <c r="F672" s="17" t="str">
        <f t="shared" si="32"/>
        <v/>
      </c>
    </row>
    <row r="673" spans="2:6" x14ac:dyDescent="0.2">
      <c r="B673" s="12"/>
      <c r="C673" s="12"/>
      <c r="D673" s="17" t="str">
        <f t="shared" si="33"/>
        <v/>
      </c>
      <c r="E673" s="18" t="str">
        <f t="shared" si="31"/>
        <v/>
      </c>
      <c r="F673" s="17" t="str">
        <f t="shared" si="32"/>
        <v/>
      </c>
    </row>
    <row r="674" spans="2:6" x14ac:dyDescent="0.2">
      <c r="B674" s="12"/>
      <c r="C674" s="12"/>
      <c r="D674" s="17" t="str">
        <f t="shared" si="33"/>
        <v/>
      </c>
      <c r="E674" s="18" t="str">
        <f t="shared" si="31"/>
        <v/>
      </c>
      <c r="F674" s="17" t="str">
        <f t="shared" si="32"/>
        <v/>
      </c>
    </row>
    <row r="675" spans="2:6" x14ac:dyDescent="0.2">
      <c r="B675" s="12"/>
      <c r="C675" s="12"/>
      <c r="D675" s="17" t="str">
        <f t="shared" si="33"/>
        <v/>
      </c>
      <c r="E675" s="18" t="str">
        <f t="shared" si="31"/>
        <v/>
      </c>
      <c r="F675" s="17" t="str">
        <f t="shared" si="32"/>
        <v/>
      </c>
    </row>
    <row r="676" spans="2:6" x14ac:dyDescent="0.2">
      <c r="B676" s="12"/>
      <c r="C676" s="12"/>
      <c r="D676" s="17" t="str">
        <f t="shared" si="33"/>
        <v/>
      </c>
      <c r="E676" s="18" t="str">
        <f t="shared" si="31"/>
        <v/>
      </c>
      <c r="F676" s="17" t="str">
        <f t="shared" si="32"/>
        <v/>
      </c>
    </row>
    <row r="677" spans="2:6" x14ac:dyDescent="0.2">
      <c r="B677" s="12"/>
      <c r="C677" s="12"/>
      <c r="D677" s="17" t="str">
        <f t="shared" si="33"/>
        <v/>
      </c>
      <c r="E677" s="18" t="str">
        <f t="shared" si="31"/>
        <v/>
      </c>
      <c r="F677" s="17" t="str">
        <f t="shared" si="32"/>
        <v/>
      </c>
    </row>
    <row r="678" spans="2:6" x14ac:dyDescent="0.2">
      <c r="B678" s="12"/>
      <c r="C678" s="12"/>
      <c r="D678" s="17" t="str">
        <f t="shared" si="33"/>
        <v/>
      </c>
      <c r="E678" s="18" t="str">
        <f t="shared" si="31"/>
        <v/>
      </c>
      <c r="F678" s="17" t="str">
        <f t="shared" si="32"/>
        <v/>
      </c>
    </row>
    <row r="679" spans="2:6" x14ac:dyDescent="0.2">
      <c r="B679" s="12"/>
      <c r="C679" s="12"/>
      <c r="D679" s="17" t="str">
        <f t="shared" si="33"/>
        <v/>
      </c>
      <c r="E679" s="18" t="str">
        <f t="shared" si="31"/>
        <v/>
      </c>
      <c r="F679" s="17" t="str">
        <f t="shared" si="32"/>
        <v/>
      </c>
    </row>
    <row r="680" spans="2:6" x14ac:dyDescent="0.2">
      <c r="B680" s="12"/>
      <c r="C680" s="12"/>
      <c r="D680" s="17" t="str">
        <f t="shared" si="33"/>
        <v/>
      </c>
      <c r="E680" s="18" t="str">
        <f t="shared" si="31"/>
        <v/>
      </c>
      <c r="F680" s="17" t="str">
        <f t="shared" si="32"/>
        <v/>
      </c>
    </row>
    <row r="681" spans="2:6" x14ac:dyDescent="0.2">
      <c r="B681" s="12"/>
      <c r="C681" s="12"/>
      <c r="D681" s="17" t="str">
        <f t="shared" si="33"/>
        <v/>
      </c>
      <c r="E681" s="18" t="str">
        <f t="shared" si="31"/>
        <v/>
      </c>
      <c r="F681" s="17" t="str">
        <f t="shared" si="32"/>
        <v/>
      </c>
    </row>
    <row r="682" spans="2:6" x14ac:dyDescent="0.2">
      <c r="B682" s="12"/>
      <c r="C682" s="12"/>
      <c r="D682" s="17" t="str">
        <f t="shared" si="33"/>
        <v/>
      </c>
      <c r="E682" s="18" t="str">
        <f t="shared" si="31"/>
        <v/>
      </c>
      <c r="F682" s="17" t="str">
        <f t="shared" si="32"/>
        <v/>
      </c>
    </row>
    <row r="683" spans="2:6" x14ac:dyDescent="0.2">
      <c r="B683" s="12"/>
      <c r="C683" s="12"/>
      <c r="D683" s="17" t="str">
        <f t="shared" si="33"/>
        <v/>
      </c>
      <c r="E683" s="18" t="str">
        <f t="shared" si="31"/>
        <v/>
      </c>
      <c r="F683" s="17" t="str">
        <f t="shared" si="32"/>
        <v/>
      </c>
    </row>
    <row r="684" spans="2:6" x14ac:dyDescent="0.2">
      <c r="B684" s="12"/>
      <c r="C684" s="12"/>
      <c r="D684" s="17" t="str">
        <f t="shared" si="33"/>
        <v/>
      </c>
      <c r="E684" s="18" t="str">
        <f t="shared" si="31"/>
        <v/>
      </c>
      <c r="F684" s="17" t="str">
        <f t="shared" si="32"/>
        <v/>
      </c>
    </row>
    <row r="685" spans="2:6" x14ac:dyDescent="0.2">
      <c r="B685" s="12"/>
      <c r="C685" s="12"/>
      <c r="D685" s="17" t="str">
        <f t="shared" si="33"/>
        <v/>
      </c>
      <c r="E685" s="18" t="str">
        <f t="shared" si="31"/>
        <v/>
      </c>
      <c r="F685" s="17" t="str">
        <f t="shared" si="32"/>
        <v/>
      </c>
    </row>
    <row r="686" spans="2:6" x14ac:dyDescent="0.2">
      <c r="B686" s="12"/>
      <c r="C686" s="12"/>
      <c r="D686" s="17" t="str">
        <f t="shared" si="33"/>
        <v/>
      </c>
      <c r="E686" s="18" t="str">
        <f t="shared" si="31"/>
        <v/>
      </c>
      <c r="F686" s="17" t="str">
        <f t="shared" si="32"/>
        <v/>
      </c>
    </row>
    <row r="687" spans="2:6" x14ac:dyDescent="0.2">
      <c r="B687" s="12"/>
      <c r="C687" s="12"/>
      <c r="D687" s="17" t="str">
        <f t="shared" si="33"/>
        <v/>
      </c>
      <c r="E687" s="18" t="str">
        <f t="shared" si="31"/>
        <v/>
      </c>
      <c r="F687" s="17" t="str">
        <f t="shared" si="32"/>
        <v/>
      </c>
    </row>
    <row r="688" spans="2:6" x14ac:dyDescent="0.2">
      <c r="B688" s="12"/>
      <c r="C688" s="12"/>
      <c r="D688" s="17" t="str">
        <f t="shared" si="33"/>
        <v/>
      </c>
      <c r="E688" s="18" t="str">
        <f t="shared" si="31"/>
        <v/>
      </c>
      <c r="F688" s="17" t="str">
        <f t="shared" si="32"/>
        <v/>
      </c>
    </row>
    <row r="689" spans="2:6" x14ac:dyDescent="0.2">
      <c r="B689" s="12"/>
      <c r="C689" s="12"/>
      <c r="D689" s="17" t="str">
        <f t="shared" si="33"/>
        <v/>
      </c>
      <c r="E689" s="18" t="str">
        <f t="shared" si="31"/>
        <v/>
      </c>
      <c r="F689" s="17" t="str">
        <f t="shared" si="32"/>
        <v/>
      </c>
    </row>
    <row r="690" spans="2:6" x14ac:dyDescent="0.2">
      <c r="B690" s="12"/>
      <c r="C690" s="12"/>
      <c r="D690" s="17" t="str">
        <f t="shared" si="33"/>
        <v/>
      </c>
      <c r="E690" s="18" t="str">
        <f t="shared" si="31"/>
        <v/>
      </c>
      <c r="F690" s="17" t="str">
        <f t="shared" si="32"/>
        <v/>
      </c>
    </row>
    <row r="691" spans="2:6" x14ac:dyDescent="0.2">
      <c r="B691" s="12"/>
      <c r="C691" s="12"/>
      <c r="D691" s="17" t="str">
        <f t="shared" si="33"/>
        <v/>
      </c>
      <c r="E691" s="18" t="str">
        <f t="shared" si="31"/>
        <v/>
      </c>
      <c r="F691" s="17" t="str">
        <f t="shared" si="32"/>
        <v/>
      </c>
    </row>
    <row r="692" spans="2:6" x14ac:dyDescent="0.2">
      <c r="B692" s="12"/>
      <c r="C692" s="12"/>
      <c r="D692" s="17" t="str">
        <f t="shared" si="33"/>
        <v/>
      </c>
      <c r="E692" s="18" t="str">
        <f t="shared" si="31"/>
        <v/>
      </c>
      <c r="F692" s="17" t="str">
        <f t="shared" si="32"/>
        <v/>
      </c>
    </row>
    <row r="693" spans="2:6" x14ac:dyDescent="0.2">
      <c r="B693" s="12"/>
      <c r="C693" s="12"/>
      <c r="D693" s="17" t="str">
        <f t="shared" si="33"/>
        <v/>
      </c>
      <c r="E693" s="18" t="str">
        <f t="shared" si="31"/>
        <v/>
      </c>
      <c r="F693" s="17" t="str">
        <f t="shared" si="32"/>
        <v/>
      </c>
    </row>
    <row r="694" spans="2:6" x14ac:dyDescent="0.2">
      <c r="B694" s="12"/>
      <c r="C694" s="12"/>
      <c r="D694" s="17" t="str">
        <f t="shared" si="33"/>
        <v/>
      </c>
      <c r="E694" s="18" t="str">
        <f t="shared" si="31"/>
        <v/>
      </c>
      <c r="F694" s="17" t="str">
        <f t="shared" si="32"/>
        <v/>
      </c>
    </row>
    <row r="695" spans="2:6" x14ac:dyDescent="0.2">
      <c r="B695" s="12"/>
      <c r="C695" s="12"/>
      <c r="D695" s="17" t="str">
        <f t="shared" si="33"/>
        <v/>
      </c>
      <c r="E695" s="18" t="str">
        <f t="shared" si="31"/>
        <v/>
      </c>
      <c r="F695" s="17" t="str">
        <f t="shared" si="32"/>
        <v/>
      </c>
    </row>
    <row r="696" spans="2:6" x14ac:dyDescent="0.2">
      <c r="B696" s="12"/>
      <c r="C696" s="12"/>
      <c r="D696" s="17" t="str">
        <f t="shared" si="33"/>
        <v/>
      </c>
      <c r="E696" s="18" t="str">
        <f t="shared" si="31"/>
        <v/>
      </c>
      <c r="F696" s="17" t="str">
        <f t="shared" si="32"/>
        <v/>
      </c>
    </row>
    <row r="697" spans="2:6" x14ac:dyDescent="0.2">
      <c r="B697" s="12"/>
      <c r="C697" s="12"/>
      <c r="D697" s="17" t="str">
        <f t="shared" si="33"/>
        <v/>
      </c>
      <c r="E697" s="18" t="str">
        <f t="shared" si="31"/>
        <v/>
      </c>
      <c r="F697" s="17" t="str">
        <f t="shared" si="32"/>
        <v/>
      </c>
    </row>
    <row r="698" spans="2:6" x14ac:dyDescent="0.2">
      <c r="B698" s="12"/>
      <c r="C698" s="12"/>
      <c r="D698" s="17" t="str">
        <f t="shared" si="33"/>
        <v/>
      </c>
      <c r="E698" s="18" t="str">
        <f t="shared" si="31"/>
        <v/>
      </c>
      <c r="F698" s="17" t="str">
        <f t="shared" si="32"/>
        <v/>
      </c>
    </row>
    <row r="699" spans="2:6" x14ac:dyDescent="0.2">
      <c r="B699" s="12"/>
      <c r="C699" s="12"/>
      <c r="D699" s="17" t="str">
        <f t="shared" si="33"/>
        <v/>
      </c>
      <c r="E699" s="18" t="str">
        <f t="shared" si="31"/>
        <v/>
      </c>
      <c r="F699" s="17" t="str">
        <f t="shared" si="32"/>
        <v/>
      </c>
    </row>
    <row r="700" spans="2:6" x14ac:dyDescent="0.2">
      <c r="B700" s="12"/>
      <c r="C700" s="12"/>
      <c r="D700" s="17" t="str">
        <f t="shared" si="33"/>
        <v/>
      </c>
      <c r="E700" s="18" t="str">
        <f t="shared" si="31"/>
        <v/>
      </c>
      <c r="F700" s="17" t="str">
        <f t="shared" si="32"/>
        <v/>
      </c>
    </row>
    <row r="701" spans="2:6" x14ac:dyDescent="0.2">
      <c r="B701" s="12"/>
      <c r="C701" s="12"/>
      <c r="D701" s="17" t="str">
        <f t="shared" si="33"/>
        <v/>
      </c>
      <c r="E701" s="18" t="str">
        <f t="shared" si="31"/>
        <v/>
      </c>
      <c r="F701" s="17" t="str">
        <f t="shared" si="32"/>
        <v/>
      </c>
    </row>
    <row r="702" spans="2:6" x14ac:dyDescent="0.2">
      <c r="B702" s="12"/>
      <c r="C702" s="12"/>
      <c r="D702" s="17" t="str">
        <f t="shared" si="33"/>
        <v/>
      </c>
      <c r="E702" s="18" t="str">
        <f t="shared" si="31"/>
        <v/>
      </c>
      <c r="F702" s="17" t="str">
        <f t="shared" si="32"/>
        <v/>
      </c>
    </row>
    <row r="703" spans="2:6" x14ac:dyDescent="0.2">
      <c r="B703" s="12"/>
      <c r="C703" s="12"/>
      <c r="D703" s="17" t="str">
        <f t="shared" si="33"/>
        <v/>
      </c>
      <c r="E703" s="18" t="str">
        <f t="shared" si="31"/>
        <v/>
      </c>
      <c r="F703" s="17" t="str">
        <f t="shared" si="32"/>
        <v/>
      </c>
    </row>
    <row r="704" spans="2:6" x14ac:dyDescent="0.2">
      <c r="B704" s="12"/>
      <c r="C704" s="12"/>
      <c r="D704" s="17" t="str">
        <f t="shared" si="33"/>
        <v/>
      </c>
      <c r="E704" s="18" t="str">
        <f t="shared" si="31"/>
        <v/>
      </c>
      <c r="F704" s="17" t="str">
        <f t="shared" si="32"/>
        <v/>
      </c>
    </row>
    <row r="705" spans="2:6" x14ac:dyDescent="0.2">
      <c r="B705" s="12"/>
      <c r="C705" s="12"/>
      <c r="D705" s="17" t="str">
        <f t="shared" si="33"/>
        <v/>
      </c>
      <c r="E705" s="18" t="str">
        <f t="shared" si="31"/>
        <v/>
      </c>
      <c r="F705" s="17" t="str">
        <f t="shared" si="32"/>
        <v/>
      </c>
    </row>
    <row r="706" spans="2:6" x14ac:dyDescent="0.2">
      <c r="B706" s="12"/>
      <c r="C706" s="12"/>
      <c r="D706" s="17" t="str">
        <f t="shared" si="33"/>
        <v/>
      </c>
      <c r="E706" s="18" t="str">
        <f t="shared" si="31"/>
        <v/>
      </c>
      <c r="F706" s="17" t="str">
        <f t="shared" si="32"/>
        <v/>
      </c>
    </row>
    <row r="707" spans="2:6" x14ac:dyDescent="0.2">
      <c r="B707" s="12"/>
      <c r="C707" s="12"/>
      <c r="D707" s="17" t="str">
        <f t="shared" si="33"/>
        <v/>
      </c>
      <c r="E707" s="18" t="str">
        <f t="shared" si="31"/>
        <v/>
      </c>
      <c r="F707" s="17" t="str">
        <f t="shared" si="32"/>
        <v/>
      </c>
    </row>
    <row r="708" spans="2:6" x14ac:dyDescent="0.2">
      <c r="B708" s="12"/>
      <c r="C708" s="12"/>
      <c r="D708" s="17" t="str">
        <f t="shared" si="33"/>
        <v/>
      </c>
      <c r="E708" s="18" t="str">
        <f t="shared" si="31"/>
        <v/>
      </c>
      <c r="F708" s="17" t="str">
        <f t="shared" si="32"/>
        <v/>
      </c>
    </row>
    <row r="709" spans="2:6" x14ac:dyDescent="0.2">
      <c r="B709" s="12"/>
      <c r="C709" s="12"/>
      <c r="D709" s="17" t="str">
        <f t="shared" si="33"/>
        <v/>
      </c>
      <c r="E709" s="18" t="str">
        <f t="shared" ref="E709:E772" si="34">IF(B709="","",ABS(C709-D709))</f>
        <v/>
      </c>
      <c r="F709" s="17" t="str">
        <f t="shared" ref="F709:F772" si="35">IF(B709="","",E709^2)</f>
        <v/>
      </c>
    </row>
    <row r="710" spans="2:6" x14ac:dyDescent="0.2">
      <c r="B710" s="12"/>
      <c r="C710" s="12"/>
      <c r="D710" s="17" t="str">
        <f t="shared" si="33"/>
        <v/>
      </c>
      <c r="E710" s="18" t="str">
        <f t="shared" si="34"/>
        <v/>
      </c>
      <c r="F710" s="17" t="str">
        <f t="shared" si="35"/>
        <v/>
      </c>
    </row>
    <row r="711" spans="2:6" x14ac:dyDescent="0.2">
      <c r="B711" s="12"/>
      <c r="C711" s="12"/>
      <c r="D711" s="17" t="str">
        <f t="shared" si="33"/>
        <v/>
      </c>
      <c r="E711" s="18" t="str">
        <f t="shared" si="34"/>
        <v/>
      </c>
      <c r="F711" s="17" t="str">
        <f t="shared" si="35"/>
        <v/>
      </c>
    </row>
    <row r="712" spans="2:6" x14ac:dyDescent="0.2">
      <c r="B712" s="12"/>
      <c r="C712" s="12"/>
      <c r="D712" s="17" t="str">
        <f t="shared" si="33"/>
        <v/>
      </c>
      <c r="E712" s="18" t="str">
        <f t="shared" si="34"/>
        <v/>
      </c>
      <c r="F712" s="17" t="str">
        <f t="shared" si="35"/>
        <v/>
      </c>
    </row>
    <row r="713" spans="2:6" x14ac:dyDescent="0.2">
      <c r="B713" s="12"/>
      <c r="C713" s="12"/>
      <c r="D713" s="17" t="str">
        <f t="shared" si="33"/>
        <v/>
      </c>
      <c r="E713" s="18" t="str">
        <f t="shared" si="34"/>
        <v/>
      </c>
      <c r="F713" s="17" t="str">
        <f t="shared" si="35"/>
        <v/>
      </c>
    </row>
    <row r="714" spans="2:6" x14ac:dyDescent="0.2">
      <c r="B714" s="12"/>
      <c r="C714" s="12"/>
      <c r="D714" s="17" t="str">
        <f t="shared" si="33"/>
        <v/>
      </c>
      <c r="E714" s="18" t="str">
        <f t="shared" si="34"/>
        <v/>
      </c>
      <c r="F714" s="17" t="str">
        <f t="shared" si="35"/>
        <v/>
      </c>
    </row>
    <row r="715" spans="2:6" x14ac:dyDescent="0.2">
      <c r="B715" s="12"/>
      <c r="C715" s="12"/>
      <c r="D715" s="17" t="str">
        <f t="shared" si="33"/>
        <v/>
      </c>
      <c r="E715" s="18" t="str">
        <f t="shared" si="34"/>
        <v/>
      </c>
      <c r="F715" s="17" t="str">
        <f t="shared" si="35"/>
        <v/>
      </c>
    </row>
    <row r="716" spans="2:6" x14ac:dyDescent="0.2">
      <c r="B716" s="12"/>
      <c r="C716" s="12"/>
      <c r="D716" s="17" t="str">
        <f t="shared" si="33"/>
        <v/>
      </c>
      <c r="E716" s="18" t="str">
        <f t="shared" si="34"/>
        <v/>
      </c>
      <c r="F716" s="17" t="str">
        <f t="shared" si="35"/>
        <v/>
      </c>
    </row>
    <row r="717" spans="2:6" x14ac:dyDescent="0.2">
      <c r="B717" s="12"/>
      <c r="C717" s="12"/>
      <c r="D717" s="17" t="str">
        <f t="shared" si="33"/>
        <v/>
      </c>
      <c r="E717" s="18" t="str">
        <f t="shared" si="34"/>
        <v/>
      </c>
      <c r="F717" s="17" t="str">
        <f t="shared" si="35"/>
        <v/>
      </c>
    </row>
    <row r="718" spans="2:6" x14ac:dyDescent="0.2">
      <c r="B718" s="12"/>
      <c r="C718" s="12"/>
      <c r="D718" s="17" t="str">
        <f t="shared" si="33"/>
        <v/>
      </c>
      <c r="E718" s="18" t="str">
        <f t="shared" si="34"/>
        <v/>
      </c>
      <c r="F718" s="17" t="str">
        <f t="shared" si="35"/>
        <v/>
      </c>
    </row>
    <row r="719" spans="2:6" x14ac:dyDescent="0.2">
      <c r="B719" s="12"/>
      <c r="C719" s="12"/>
      <c r="D719" s="17" t="str">
        <f t="shared" si="33"/>
        <v/>
      </c>
      <c r="E719" s="18" t="str">
        <f t="shared" si="34"/>
        <v/>
      </c>
      <c r="F719" s="17" t="str">
        <f t="shared" si="35"/>
        <v/>
      </c>
    </row>
    <row r="720" spans="2:6" x14ac:dyDescent="0.2">
      <c r="B720" s="12"/>
      <c r="C720" s="12"/>
      <c r="D720" s="17" t="str">
        <f t="shared" si="33"/>
        <v/>
      </c>
      <c r="E720" s="18" t="str">
        <f t="shared" si="34"/>
        <v/>
      </c>
      <c r="F720" s="17" t="str">
        <f t="shared" si="35"/>
        <v/>
      </c>
    </row>
    <row r="721" spans="2:6" x14ac:dyDescent="0.2">
      <c r="B721" s="12"/>
      <c r="C721" s="12"/>
      <c r="D721" s="17" t="str">
        <f t="shared" si="33"/>
        <v/>
      </c>
      <c r="E721" s="18" t="str">
        <f t="shared" si="34"/>
        <v/>
      </c>
      <c r="F721" s="17" t="str">
        <f t="shared" si="35"/>
        <v/>
      </c>
    </row>
    <row r="722" spans="2:6" x14ac:dyDescent="0.2">
      <c r="B722" s="12"/>
      <c r="C722" s="12"/>
      <c r="D722" s="17" t="str">
        <f t="shared" ref="D722:D785" si="36">IF(B722="","",a+b*B722)</f>
        <v/>
      </c>
      <c r="E722" s="18" t="str">
        <f t="shared" si="34"/>
        <v/>
      </c>
      <c r="F722" s="17" t="str">
        <f t="shared" si="35"/>
        <v/>
      </c>
    </row>
    <row r="723" spans="2:6" x14ac:dyDescent="0.2">
      <c r="B723" s="12"/>
      <c r="C723" s="12"/>
      <c r="D723" s="17" t="str">
        <f t="shared" si="36"/>
        <v/>
      </c>
      <c r="E723" s="18" t="str">
        <f t="shared" si="34"/>
        <v/>
      </c>
      <c r="F723" s="17" t="str">
        <f t="shared" si="35"/>
        <v/>
      </c>
    </row>
    <row r="724" spans="2:6" x14ac:dyDescent="0.2">
      <c r="B724" s="12"/>
      <c r="C724" s="12"/>
      <c r="D724" s="17" t="str">
        <f t="shared" si="36"/>
        <v/>
      </c>
      <c r="E724" s="18" t="str">
        <f t="shared" si="34"/>
        <v/>
      </c>
      <c r="F724" s="17" t="str">
        <f t="shared" si="35"/>
        <v/>
      </c>
    </row>
    <row r="725" spans="2:6" x14ac:dyDescent="0.2">
      <c r="B725" s="12"/>
      <c r="C725" s="12"/>
      <c r="D725" s="17" t="str">
        <f t="shared" si="36"/>
        <v/>
      </c>
      <c r="E725" s="18" t="str">
        <f t="shared" si="34"/>
        <v/>
      </c>
      <c r="F725" s="17" t="str">
        <f t="shared" si="35"/>
        <v/>
      </c>
    </row>
    <row r="726" spans="2:6" x14ac:dyDescent="0.2">
      <c r="B726" s="12"/>
      <c r="C726" s="12"/>
      <c r="D726" s="17" t="str">
        <f t="shared" si="36"/>
        <v/>
      </c>
      <c r="E726" s="18" t="str">
        <f t="shared" si="34"/>
        <v/>
      </c>
      <c r="F726" s="17" t="str">
        <f t="shared" si="35"/>
        <v/>
      </c>
    </row>
    <row r="727" spans="2:6" x14ac:dyDescent="0.2">
      <c r="B727" s="12"/>
      <c r="C727" s="12"/>
      <c r="D727" s="17" t="str">
        <f t="shared" si="36"/>
        <v/>
      </c>
      <c r="E727" s="18" t="str">
        <f t="shared" si="34"/>
        <v/>
      </c>
      <c r="F727" s="17" t="str">
        <f t="shared" si="35"/>
        <v/>
      </c>
    </row>
    <row r="728" spans="2:6" x14ac:dyDescent="0.2">
      <c r="B728" s="12"/>
      <c r="C728" s="12"/>
      <c r="D728" s="17" t="str">
        <f t="shared" si="36"/>
        <v/>
      </c>
      <c r="E728" s="18" t="str">
        <f t="shared" si="34"/>
        <v/>
      </c>
      <c r="F728" s="17" t="str">
        <f t="shared" si="35"/>
        <v/>
      </c>
    </row>
    <row r="729" spans="2:6" x14ac:dyDescent="0.2">
      <c r="B729" s="12"/>
      <c r="C729" s="12"/>
      <c r="D729" s="17" t="str">
        <f t="shared" si="36"/>
        <v/>
      </c>
      <c r="E729" s="18" t="str">
        <f t="shared" si="34"/>
        <v/>
      </c>
      <c r="F729" s="17" t="str">
        <f t="shared" si="35"/>
        <v/>
      </c>
    </row>
    <row r="730" spans="2:6" x14ac:dyDescent="0.2">
      <c r="B730" s="12"/>
      <c r="C730" s="12"/>
      <c r="D730" s="17" t="str">
        <f t="shared" si="36"/>
        <v/>
      </c>
      <c r="E730" s="18" t="str">
        <f t="shared" si="34"/>
        <v/>
      </c>
      <c r="F730" s="17" t="str">
        <f t="shared" si="35"/>
        <v/>
      </c>
    </row>
    <row r="731" spans="2:6" x14ac:dyDescent="0.2">
      <c r="B731" s="12"/>
      <c r="C731" s="12"/>
      <c r="D731" s="17" t="str">
        <f t="shared" si="36"/>
        <v/>
      </c>
      <c r="E731" s="18" t="str">
        <f t="shared" si="34"/>
        <v/>
      </c>
      <c r="F731" s="17" t="str">
        <f t="shared" si="35"/>
        <v/>
      </c>
    </row>
    <row r="732" spans="2:6" x14ac:dyDescent="0.2">
      <c r="B732" s="12"/>
      <c r="C732" s="12"/>
      <c r="D732" s="17" t="str">
        <f t="shared" si="36"/>
        <v/>
      </c>
      <c r="E732" s="18" t="str">
        <f t="shared" si="34"/>
        <v/>
      </c>
      <c r="F732" s="17" t="str">
        <f t="shared" si="35"/>
        <v/>
      </c>
    </row>
    <row r="733" spans="2:6" x14ac:dyDescent="0.2">
      <c r="B733" s="12"/>
      <c r="C733" s="12"/>
      <c r="D733" s="17" t="str">
        <f t="shared" si="36"/>
        <v/>
      </c>
      <c r="E733" s="18" t="str">
        <f t="shared" si="34"/>
        <v/>
      </c>
      <c r="F733" s="17" t="str">
        <f t="shared" si="35"/>
        <v/>
      </c>
    </row>
    <row r="734" spans="2:6" x14ac:dyDescent="0.2">
      <c r="B734" s="12"/>
      <c r="C734" s="12"/>
      <c r="D734" s="17" t="str">
        <f t="shared" si="36"/>
        <v/>
      </c>
      <c r="E734" s="18" t="str">
        <f t="shared" si="34"/>
        <v/>
      </c>
      <c r="F734" s="17" t="str">
        <f t="shared" si="35"/>
        <v/>
      </c>
    </row>
    <row r="735" spans="2:6" x14ac:dyDescent="0.2">
      <c r="B735" s="12"/>
      <c r="C735" s="12"/>
      <c r="D735" s="17" t="str">
        <f t="shared" si="36"/>
        <v/>
      </c>
      <c r="E735" s="18" t="str">
        <f t="shared" si="34"/>
        <v/>
      </c>
      <c r="F735" s="17" t="str">
        <f t="shared" si="35"/>
        <v/>
      </c>
    </row>
    <row r="736" spans="2:6" x14ac:dyDescent="0.2">
      <c r="B736" s="12"/>
      <c r="C736" s="12"/>
      <c r="D736" s="17" t="str">
        <f t="shared" si="36"/>
        <v/>
      </c>
      <c r="E736" s="18" t="str">
        <f t="shared" si="34"/>
        <v/>
      </c>
      <c r="F736" s="17" t="str">
        <f t="shared" si="35"/>
        <v/>
      </c>
    </row>
    <row r="737" spans="2:6" x14ac:dyDescent="0.2">
      <c r="B737" s="12"/>
      <c r="C737" s="12"/>
      <c r="D737" s="17" t="str">
        <f t="shared" si="36"/>
        <v/>
      </c>
      <c r="E737" s="18" t="str">
        <f t="shared" si="34"/>
        <v/>
      </c>
      <c r="F737" s="17" t="str">
        <f t="shared" si="35"/>
        <v/>
      </c>
    </row>
    <row r="738" spans="2:6" x14ac:dyDescent="0.2">
      <c r="B738" s="12"/>
      <c r="C738" s="12"/>
      <c r="D738" s="17" t="str">
        <f t="shared" si="36"/>
        <v/>
      </c>
      <c r="E738" s="18" t="str">
        <f t="shared" si="34"/>
        <v/>
      </c>
      <c r="F738" s="17" t="str">
        <f t="shared" si="35"/>
        <v/>
      </c>
    </row>
    <row r="739" spans="2:6" x14ac:dyDescent="0.2">
      <c r="B739" s="12"/>
      <c r="C739" s="12"/>
      <c r="D739" s="17" t="str">
        <f t="shared" si="36"/>
        <v/>
      </c>
      <c r="E739" s="18" t="str">
        <f t="shared" si="34"/>
        <v/>
      </c>
      <c r="F739" s="17" t="str">
        <f t="shared" si="35"/>
        <v/>
      </c>
    </row>
    <row r="740" spans="2:6" x14ac:dyDescent="0.2">
      <c r="B740" s="12"/>
      <c r="C740" s="12"/>
      <c r="D740" s="17" t="str">
        <f t="shared" si="36"/>
        <v/>
      </c>
      <c r="E740" s="18" t="str">
        <f t="shared" si="34"/>
        <v/>
      </c>
      <c r="F740" s="17" t="str">
        <f t="shared" si="35"/>
        <v/>
      </c>
    </row>
    <row r="741" spans="2:6" x14ac:dyDescent="0.2">
      <c r="B741" s="12"/>
      <c r="C741" s="12"/>
      <c r="D741" s="17" t="str">
        <f t="shared" si="36"/>
        <v/>
      </c>
      <c r="E741" s="18" t="str">
        <f t="shared" si="34"/>
        <v/>
      </c>
      <c r="F741" s="17" t="str">
        <f t="shared" si="35"/>
        <v/>
      </c>
    </row>
    <row r="742" spans="2:6" x14ac:dyDescent="0.2">
      <c r="B742" s="12"/>
      <c r="C742" s="12"/>
      <c r="D742" s="17" t="str">
        <f t="shared" si="36"/>
        <v/>
      </c>
      <c r="E742" s="18" t="str">
        <f t="shared" si="34"/>
        <v/>
      </c>
      <c r="F742" s="17" t="str">
        <f t="shared" si="35"/>
        <v/>
      </c>
    </row>
    <row r="743" spans="2:6" x14ac:dyDescent="0.2">
      <c r="B743" s="12"/>
      <c r="C743" s="12"/>
      <c r="D743" s="17" t="str">
        <f t="shared" si="36"/>
        <v/>
      </c>
      <c r="E743" s="18" t="str">
        <f t="shared" si="34"/>
        <v/>
      </c>
      <c r="F743" s="17" t="str">
        <f t="shared" si="35"/>
        <v/>
      </c>
    </row>
    <row r="744" spans="2:6" x14ac:dyDescent="0.2">
      <c r="B744" s="12"/>
      <c r="C744" s="12"/>
      <c r="D744" s="17" t="str">
        <f t="shared" si="36"/>
        <v/>
      </c>
      <c r="E744" s="18" t="str">
        <f t="shared" si="34"/>
        <v/>
      </c>
      <c r="F744" s="17" t="str">
        <f t="shared" si="35"/>
        <v/>
      </c>
    </row>
    <row r="745" spans="2:6" x14ac:dyDescent="0.2">
      <c r="B745" s="12"/>
      <c r="C745" s="12"/>
      <c r="D745" s="17" t="str">
        <f t="shared" si="36"/>
        <v/>
      </c>
      <c r="E745" s="18" t="str">
        <f t="shared" si="34"/>
        <v/>
      </c>
      <c r="F745" s="17" t="str">
        <f t="shared" si="35"/>
        <v/>
      </c>
    </row>
    <row r="746" spans="2:6" x14ac:dyDescent="0.2">
      <c r="B746" s="12"/>
      <c r="C746" s="12"/>
      <c r="D746" s="17" t="str">
        <f t="shared" si="36"/>
        <v/>
      </c>
      <c r="E746" s="18" t="str">
        <f t="shared" si="34"/>
        <v/>
      </c>
      <c r="F746" s="17" t="str">
        <f t="shared" si="35"/>
        <v/>
      </c>
    </row>
    <row r="747" spans="2:6" x14ac:dyDescent="0.2">
      <c r="B747" s="12"/>
      <c r="C747" s="12"/>
      <c r="D747" s="17" t="str">
        <f t="shared" si="36"/>
        <v/>
      </c>
      <c r="E747" s="18" t="str">
        <f t="shared" si="34"/>
        <v/>
      </c>
      <c r="F747" s="17" t="str">
        <f t="shared" si="35"/>
        <v/>
      </c>
    </row>
    <row r="748" spans="2:6" x14ac:dyDescent="0.2">
      <c r="B748" s="12"/>
      <c r="C748" s="12"/>
      <c r="D748" s="17" t="str">
        <f t="shared" si="36"/>
        <v/>
      </c>
      <c r="E748" s="18" t="str">
        <f t="shared" si="34"/>
        <v/>
      </c>
      <c r="F748" s="17" t="str">
        <f t="shared" si="35"/>
        <v/>
      </c>
    </row>
    <row r="749" spans="2:6" x14ac:dyDescent="0.2">
      <c r="B749" s="12"/>
      <c r="C749" s="12"/>
      <c r="D749" s="17" t="str">
        <f t="shared" si="36"/>
        <v/>
      </c>
      <c r="E749" s="18" t="str">
        <f t="shared" si="34"/>
        <v/>
      </c>
      <c r="F749" s="17" t="str">
        <f t="shared" si="35"/>
        <v/>
      </c>
    </row>
    <row r="750" spans="2:6" x14ac:dyDescent="0.2">
      <c r="B750" s="12"/>
      <c r="C750" s="12"/>
      <c r="D750" s="17" t="str">
        <f t="shared" si="36"/>
        <v/>
      </c>
      <c r="E750" s="18" t="str">
        <f t="shared" si="34"/>
        <v/>
      </c>
      <c r="F750" s="17" t="str">
        <f t="shared" si="35"/>
        <v/>
      </c>
    </row>
    <row r="751" spans="2:6" x14ac:dyDescent="0.2">
      <c r="B751" s="12"/>
      <c r="C751" s="12"/>
      <c r="D751" s="17" t="str">
        <f t="shared" si="36"/>
        <v/>
      </c>
      <c r="E751" s="18" t="str">
        <f t="shared" si="34"/>
        <v/>
      </c>
      <c r="F751" s="17" t="str">
        <f t="shared" si="35"/>
        <v/>
      </c>
    </row>
    <row r="752" spans="2:6" x14ac:dyDescent="0.2">
      <c r="B752" s="12"/>
      <c r="C752" s="12"/>
      <c r="D752" s="17" t="str">
        <f t="shared" si="36"/>
        <v/>
      </c>
      <c r="E752" s="18" t="str">
        <f t="shared" si="34"/>
        <v/>
      </c>
      <c r="F752" s="17" t="str">
        <f t="shared" si="35"/>
        <v/>
      </c>
    </row>
    <row r="753" spans="2:6" x14ac:dyDescent="0.2">
      <c r="B753" s="12"/>
      <c r="C753" s="12"/>
      <c r="D753" s="17" t="str">
        <f t="shared" si="36"/>
        <v/>
      </c>
      <c r="E753" s="18" t="str">
        <f t="shared" si="34"/>
        <v/>
      </c>
      <c r="F753" s="17" t="str">
        <f t="shared" si="35"/>
        <v/>
      </c>
    </row>
    <row r="754" spans="2:6" x14ac:dyDescent="0.2">
      <c r="B754" s="12"/>
      <c r="C754" s="12"/>
      <c r="D754" s="17" t="str">
        <f t="shared" si="36"/>
        <v/>
      </c>
      <c r="E754" s="18" t="str">
        <f t="shared" si="34"/>
        <v/>
      </c>
      <c r="F754" s="17" t="str">
        <f t="shared" si="35"/>
        <v/>
      </c>
    </row>
    <row r="755" spans="2:6" x14ac:dyDescent="0.2">
      <c r="B755" s="12"/>
      <c r="C755" s="12"/>
      <c r="D755" s="17" t="str">
        <f t="shared" si="36"/>
        <v/>
      </c>
      <c r="E755" s="18" t="str">
        <f t="shared" si="34"/>
        <v/>
      </c>
      <c r="F755" s="17" t="str">
        <f t="shared" si="35"/>
        <v/>
      </c>
    </row>
    <row r="756" spans="2:6" x14ac:dyDescent="0.2">
      <c r="B756" s="12"/>
      <c r="C756" s="12"/>
      <c r="D756" s="17" t="str">
        <f t="shared" si="36"/>
        <v/>
      </c>
      <c r="E756" s="18" t="str">
        <f t="shared" si="34"/>
        <v/>
      </c>
      <c r="F756" s="17" t="str">
        <f t="shared" si="35"/>
        <v/>
      </c>
    </row>
    <row r="757" spans="2:6" x14ac:dyDescent="0.2">
      <c r="B757" s="12"/>
      <c r="C757" s="12"/>
      <c r="D757" s="17" t="str">
        <f t="shared" si="36"/>
        <v/>
      </c>
      <c r="E757" s="18" t="str">
        <f t="shared" si="34"/>
        <v/>
      </c>
      <c r="F757" s="17" t="str">
        <f t="shared" si="35"/>
        <v/>
      </c>
    </row>
    <row r="758" spans="2:6" x14ac:dyDescent="0.2">
      <c r="B758" s="12"/>
      <c r="C758" s="12"/>
      <c r="D758" s="17" t="str">
        <f t="shared" si="36"/>
        <v/>
      </c>
      <c r="E758" s="18" t="str">
        <f t="shared" si="34"/>
        <v/>
      </c>
      <c r="F758" s="17" t="str">
        <f t="shared" si="35"/>
        <v/>
      </c>
    </row>
    <row r="759" spans="2:6" x14ac:dyDescent="0.2">
      <c r="B759" s="12"/>
      <c r="C759" s="12"/>
      <c r="D759" s="17" t="str">
        <f t="shared" si="36"/>
        <v/>
      </c>
      <c r="E759" s="18" t="str">
        <f t="shared" si="34"/>
        <v/>
      </c>
      <c r="F759" s="17" t="str">
        <f t="shared" si="35"/>
        <v/>
      </c>
    </row>
    <row r="760" spans="2:6" x14ac:dyDescent="0.2">
      <c r="B760" s="12"/>
      <c r="C760" s="12"/>
      <c r="D760" s="17" t="str">
        <f t="shared" si="36"/>
        <v/>
      </c>
      <c r="E760" s="18" t="str">
        <f t="shared" si="34"/>
        <v/>
      </c>
      <c r="F760" s="17" t="str">
        <f t="shared" si="35"/>
        <v/>
      </c>
    </row>
    <row r="761" spans="2:6" x14ac:dyDescent="0.2">
      <c r="B761" s="12"/>
      <c r="C761" s="12"/>
      <c r="D761" s="17" t="str">
        <f t="shared" si="36"/>
        <v/>
      </c>
      <c r="E761" s="18" t="str">
        <f t="shared" si="34"/>
        <v/>
      </c>
      <c r="F761" s="17" t="str">
        <f t="shared" si="35"/>
        <v/>
      </c>
    </row>
    <row r="762" spans="2:6" x14ac:dyDescent="0.2">
      <c r="B762" s="12"/>
      <c r="C762" s="12"/>
      <c r="D762" s="17" t="str">
        <f t="shared" si="36"/>
        <v/>
      </c>
      <c r="E762" s="18" t="str">
        <f t="shared" si="34"/>
        <v/>
      </c>
      <c r="F762" s="17" t="str">
        <f t="shared" si="35"/>
        <v/>
      </c>
    </row>
    <row r="763" spans="2:6" x14ac:dyDescent="0.2">
      <c r="B763" s="12"/>
      <c r="C763" s="12"/>
      <c r="D763" s="17" t="str">
        <f t="shared" si="36"/>
        <v/>
      </c>
      <c r="E763" s="18" t="str">
        <f t="shared" si="34"/>
        <v/>
      </c>
      <c r="F763" s="17" t="str">
        <f t="shared" si="35"/>
        <v/>
      </c>
    </row>
    <row r="764" spans="2:6" x14ac:dyDescent="0.2">
      <c r="B764" s="12"/>
      <c r="C764" s="12"/>
      <c r="D764" s="17" t="str">
        <f t="shared" si="36"/>
        <v/>
      </c>
      <c r="E764" s="18" t="str">
        <f t="shared" si="34"/>
        <v/>
      </c>
      <c r="F764" s="17" t="str">
        <f t="shared" si="35"/>
        <v/>
      </c>
    </row>
    <row r="765" spans="2:6" x14ac:dyDescent="0.2">
      <c r="B765" s="12"/>
      <c r="C765" s="12"/>
      <c r="D765" s="17" t="str">
        <f t="shared" si="36"/>
        <v/>
      </c>
      <c r="E765" s="18" t="str">
        <f t="shared" si="34"/>
        <v/>
      </c>
      <c r="F765" s="17" t="str">
        <f t="shared" si="35"/>
        <v/>
      </c>
    </row>
    <row r="766" spans="2:6" x14ac:dyDescent="0.2">
      <c r="B766" s="12"/>
      <c r="C766" s="12"/>
      <c r="D766" s="17" t="str">
        <f t="shared" si="36"/>
        <v/>
      </c>
      <c r="E766" s="18" t="str">
        <f t="shared" si="34"/>
        <v/>
      </c>
      <c r="F766" s="17" t="str">
        <f t="shared" si="35"/>
        <v/>
      </c>
    </row>
    <row r="767" spans="2:6" x14ac:dyDescent="0.2">
      <c r="B767" s="12"/>
      <c r="C767" s="12"/>
      <c r="D767" s="17" t="str">
        <f t="shared" si="36"/>
        <v/>
      </c>
      <c r="E767" s="18" t="str">
        <f t="shared" si="34"/>
        <v/>
      </c>
      <c r="F767" s="17" t="str">
        <f t="shared" si="35"/>
        <v/>
      </c>
    </row>
    <row r="768" spans="2:6" x14ac:dyDescent="0.2">
      <c r="B768" s="12"/>
      <c r="C768" s="12"/>
      <c r="D768" s="17" t="str">
        <f t="shared" si="36"/>
        <v/>
      </c>
      <c r="E768" s="18" t="str">
        <f t="shared" si="34"/>
        <v/>
      </c>
      <c r="F768" s="17" t="str">
        <f t="shared" si="35"/>
        <v/>
      </c>
    </row>
    <row r="769" spans="2:6" x14ac:dyDescent="0.2">
      <c r="B769" s="12"/>
      <c r="C769" s="12"/>
      <c r="D769" s="17" t="str">
        <f t="shared" si="36"/>
        <v/>
      </c>
      <c r="E769" s="18" t="str">
        <f t="shared" si="34"/>
        <v/>
      </c>
      <c r="F769" s="17" t="str">
        <f t="shared" si="35"/>
        <v/>
      </c>
    </row>
    <row r="770" spans="2:6" x14ac:dyDescent="0.2">
      <c r="B770" s="12"/>
      <c r="C770" s="12"/>
      <c r="D770" s="17" t="str">
        <f t="shared" si="36"/>
        <v/>
      </c>
      <c r="E770" s="18" t="str">
        <f t="shared" si="34"/>
        <v/>
      </c>
      <c r="F770" s="17" t="str">
        <f t="shared" si="35"/>
        <v/>
      </c>
    </row>
    <row r="771" spans="2:6" x14ac:dyDescent="0.2">
      <c r="B771" s="12"/>
      <c r="C771" s="12"/>
      <c r="D771" s="17" t="str">
        <f t="shared" si="36"/>
        <v/>
      </c>
      <c r="E771" s="18" t="str">
        <f t="shared" si="34"/>
        <v/>
      </c>
      <c r="F771" s="17" t="str">
        <f t="shared" si="35"/>
        <v/>
      </c>
    </row>
    <row r="772" spans="2:6" x14ac:dyDescent="0.2">
      <c r="B772" s="12"/>
      <c r="C772" s="12"/>
      <c r="D772" s="17" t="str">
        <f t="shared" si="36"/>
        <v/>
      </c>
      <c r="E772" s="18" t="str">
        <f t="shared" si="34"/>
        <v/>
      </c>
      <c r="F772" s="17" t="str">
        <f t="shared" si="35"/>
        <v/>
      </c>
    </row>
    <row r="773" spans="2:6" x14ac:dyDescent="0.2">
      <c r="B773" s="12"/>
      <c r="C773" s="12"/>
      <c r="D773" s="17" t="str">
        <f t="shared" si="36"/>
        <v/>
      </c>
      <c r="E773" s="18" t="str">
        <f t="shared" ref="E773:E836" si="37">IF(B773="","",ABS(C773-D773))</f>
        <v/>
      </c>
      <c r="F773" s="17" t="str">
        <f t="shared" ref="F773:F836" si="38">IF(B773="","",E773^2)</f>
        <v/>
      </c>
    </row>
    <row r="774" spans="2:6" x14ac:dyDescent="0.2">
      <c r="B774" s="12"/>
      <c r="C774" s="12"/>
      <c r="D774" s="17" t="str">
        <f t="shared" si="36"/>
        <v/>
      </c>
      <c r="E774" s="18" t="str">
        <f t="shared" si="37"/>
        <v/>
      </c>
      <c r="F774" s="17" t="str">
        <f t="shared" si="38"/>
        <v/>
      </c>
    </row>
    <row r="775" spans="2:6" x14ac:dyDescent="0.2">
      <c r="B775" s="12"/>
      <c r="C775" s="12"/>
      <c r="D775" s="17" t="str">
        <f t="shared" si="36"/>
        <v/>
      </c>
      <c r="E775" s="18" t="str">
        <f t="shared" si="37"/>
        <v/>
      </c>
      <c r="F775" s="17" t="str">
        <f t="shared" si="38"/>
        <v/>
      </c>
    </row>
    <row r="776" spans="2:6" x14ac:dyDescent="0.2">
      <c r="B776" s="12"/>
      <c r="C776" s="12"/>
      <c r="D776" s="17" t="str">
        <f t="shared" si="36"/>
        <v/>
      </c>
      <c r="E776" s="18" t="str">
        <f t="shared" si="37"/>
        <v/>
      </c>
      <c r="F776" s="17" t="str">
        <f t="shared" si="38"/>
        <v/>
      </c>
    </row>
    <row r="777" spans="2:6" x14ac:dyDescent="0.2">
      <c r="B777" s="12"/>
      <c r="C777" s="12"/>
      <c r="D777" s="17" t="str">
        <f t="shared" si="36"/>
        <v/>
      </c>
      <c r="E777" s="18" t="str">
        <f t="shared" si="37"/>
        <v/>
      </c>
      <c r="F777" s="17" t="str">
        <f t="shared" si="38"/>
        <v/>
      </c>
    </row>
    <row r="778" spans="2:6" x14ac:dyDescent="0.2">
      <c r="B778" s="12"/>
      <c r="C778" s="12"/>
      <c r="D778" s="17" t="str">
        <f t="shared" si="36"/>
        <v/>
      </c>
      <c r="E778" s="18" t="str">
        <f t="shared" si="37"/>
        <v/>
      </c>
      <c r="F778" s="17" t="str">
        <f t="shared" si="38"/>
        <v/>
      </c>
    </row>
    <row r="779" spans="2:6" x14ac:dyDescent="0.2">
      <c r="B779" s="12"/>
      <c r="C779" s="12"/>
      <c r="D779" s="17" t="str">
        <f t="shared" si="36"/>
        <v/>
      </c>
      <c r="E779" s="18" t="str">
        <f t="shared" si="37"/>
        <v/>
      </c>
      <c r="F779" s="17" t="str">
        <f t="shared" si="38"/>
        <v/>
      </c>
    </row>
    <row r="780" spans="2:6" x14ac:dyDescent="0.2">
      <c r="B780" s="12"/>
      <c r="C780" s="12"/>
      <c r="D780" s="17" t="str">
        <f t="shared" si="36"/>
        <v/>
      </c>
      <c r="E780" s="18" t="str">
        <f t="shared" si="37"/>
        <v/>
      </c>
      <c r="F780" s="17" t="str">
        <f t="shared" si="38"/>
        <v/>
      </c>
    </row>
    <row r="781" spans="2:6" x14ac:dyDescent="0.2">
      <c r="B781" s="12"/>
      <c r="C781" s="12"/>
      <c r="D781" s="17" t="str">
        <f t="shared" si="36"/>
        <v/>
      </c>
      <c r="E781" s="18" t="str">
        <f t="shared" si="37"/>
        <v/>
      </c>
      <c r="F781" s="17" t="str">
        <f t="shared" si="38"/>
        <v/>
      </c>
    </row>
    <row r="782" spans="2:6" x14ac:dyDescent="0.2">
      <c r="B782" s="12"/>
      <c r="C782" s="12"/>
      <c r="D782" s="17" t="str">
        <f t="shared" si="36"/>
        <v/>
      </c>
      <c r="E782" s="18" t="str">
        <f t="shared" si="37"/>
        <v/>
      </c>
      <c r="F782" s="17" t="str">
        <f t="shared" si="38"/>
        <v/>
      </c>
    </row>
    <row r="783" spans="2:6" x14ac:dyDescent="0.2">
      <c r="B783" s="12"/>
      <c r="C783" s="12"/>
      <c r="D783" s="17" t="str">
        <f t="shared" si="36"/>
        <v/>
      </c>
      <c r="E783" s="18" t="str">
        <f t="shared" si="37"/>
        <v/>
      </c>
      <c r="F783" s="17" t="str">
        <f t="shared" si="38"/>
        <v/>
      </c>
    </row>
    <row r="784" spans="2:6" x14ac:dyDescent="0.2">
      <c r="B784" s="12"/>
      <c r="C784" s="12"/>
      <c r="D784" s="17" t="str">
        <f t="shared" si="36"/>
        <v/>
      </c>
      <c r="E784" s="18" t="str">
        <f t="shared" si="37"/>
        <v/>
      </c>
      <c r="F784" s="17" t="str">
        <f t="shared" si="38"/>
        <v/>
      </c>
    </row>
    <row r="785" spans="2:6" x14ac:dyDescent="0.2">
      <c r="B785" s="12"/>
      <c r="C785" s="12"/>
      <c r="D785" s="17" t="str">
        <f t="shared" si="36"/>
        <v/>
      </c>
      <c r="E785" s="18" t="str">
        <f t="shared" si="37"/>
        <v/>
      </c>
      <c r="F785" s="17" t="str">
        <f t="shared" si="38"/>
        <v/>
      </c>
    </row>
    <row r="786" spans="2:6" x14ac:dyDescent="0.2">
      <c r="B786" s="12"/>
      <c r="C786" s="12"/>
      <c r="D786" s="17" t="str">
        <f t="shared" ref="D786:D849" si="39">IF(B786="","",a+b*B786)</f>
        <v/>
      </c>
      <c r="E786" s="18" t="str">
        <f t="shared" si="37"/>
        <v/>
      </c>
      <c r="F786" s="17" t="str">
        <f t="shared" si="38"/>
        <v/>
      </c>
    </row>
    <row r="787" spans="2:6" x14ac:dyDescent="0.2">
      <c r="B787" s="12"/>
      <c r="C787" s="12"/>
      <c r="D787" s="17" t="str">
        <f t="shared" si="39"/>
        <v/>
      </c>
      <c r="E787" s="18" t="str">
        <f t="shared" si="37"/>
        <v/>
      </c>
      <c r="F787" s="17" t="str">
        <f t="shared" si="38"/>
        <v/>
      </c>
    </row>
    <row r="788" spans="2:6" x14ac:dyDescent="0.2">
      <c r="B788" s="12"/>
      <c r="C788" s="12"/>
      <c r="D788" s="17" t="str">
        <f t="shared" si="39"/>
        <v/>
      </c>
      <c r="E788" s="18" t="str">
        <f t="shared" si="37"/>
        <v/>
      </c>
      <c r="F788" s="17" t="str">
        <f t="shared" si="38"/>
        <v/>
      </c>
    </row>
    <row r="789" spans="2:6" x14ac:dyDescent="0.2">
      <c r="B789" s="12"/>
      <c r="C789" s="12"/>
      <c r="D789" s="17" t="str">
        <f t="shared" si="39"/>
        <v/>
      </c>
      <c r="E789" s="18" t="str">
        <f t="shared" si="37"/>
        <v/>
      </c>
      <c r="F789" s="17" t="str">
        <f t="shared" si="38"/>
        <v/>
      </c>
    </row>
    <row r="790" spans="2:6" x14ac:dyDescent="0.2">
      <c r="B790" s="12"/>
      <c r="C790" s="12"/>
      <c r="D790" s="17" t="str">
        <f t="shared" si="39"/>
        <v/>
      </c>
      <c r="E790" s="18" t="str">
        <f t="shared" si="37"/>
        <v/>
      </c>
      <c r="F790" s="17" t="str">
        <f t="shared" si="38"/>
        <v/>
      </c>
    </row>
    <row r="791" spans="2:6" x14ac:dyDescent="0.2">
      <c r="B791" s="12"/>
      <c r="C791" s="12"/>
      <c r="D791" s="17" t="str">
        <f t="shared" si="39"/>
        <v/>
      </c>
      <c r="E791" s="18" t="str">
        <f t="shared" si="37"/>
        <v/>
      </c>
      <c r="F791" s="17" t="str">
        <f t="shared" si="38"/>
        <v/>
      </c>
    </row>
    <row r="792" spans="2:6" x14ac:dyDescent="0.2">
      <c r="B792" s="12"/>
      <c r="C792" s="12"/>
      <c r="D792" s="17" t="str">
        <f t="shared" si="39"/>
        <v/>
      </c>
      <c r="E792" s="18" t="str">
        <f t="shared" si="37"/>
        <v/>
      </c>
      <c r="F792" s="17" t="str">
        <f t="shared" si="38"/>
        <v/>
      </c>
    </row>
    <row r="793" spans="2:6" x14ac:dyDescent="0.2">
      <c r="B793" s="12"/>
      <c r="C793" s="12"/>
      <c r="D793" s="17" t="str">
        <f t="shared" si="39"/>
        <v/>
      </c>
      <c r="E793" s="18" t="str">
        <f t="shared" si="37"/>
        <v/>
      </c>
      <c r="F793" s="17" t="str">
        <f t="shared" si="38"/>
        <v/>
      </c>
    </row>
    <row r="794" spans="2:6" x14ac:dyDescent="0.2">
      <c r="B794" s="12"/>
      <c r="C794" s="12"/>
      <c r="D794" s="17" t="str">
        <f t="shared" si="39"/>
        <v/>
      </c>
      <c r="E794" s="18" t="str">
        <f t="shared" si="37"/>
        <v/>
      </c>
      <c r="F794" s="17" t="str">
        <f t="shared" si="38"/>
        <v/>
      </c>
    </row>
    <row r="795" spans="2:6" x14ac:dyDescent="0.2">
      <c r="B795" s="12"/>
      <c r="C795" s="12"/>
      <c r="D795" s="17" t="str">
        <f t="shared" si="39"/>
        <v/>
      </c>
      <c r="E795" s="18" t="str">
        <f t="shared" si="37"/>
        <v/>
      </c>
      <c r="F795" s="17" t="str">
        <f t="shared" si="38"/>
        <v/>
      </c>
    </row>
    <row r="796" spans="2:6" x14ac:dyDescent="0.2">
      <c r="B796" s="12"/>
      <c r="C796" s="12"/>
      <c r="D796" s="17" t="str">
        <f t="shared" si="39"/>
        <v/>
      </c>
      <c r="E796" s="18" t="str">
        <f t="shared" si="37"/>
        <v/>
      </c>
      <c r="F796" s="17" t="str">
        <f t="shared" si="38"/>
        <v/>
      </c>
    </row>
    <row r="797" spans="2:6" x14ac:dyDescent="0.2">
      <c r="B797" s="12"/>
      <c r="C797" s="12"/>
      <c r="D797" s="17" t="str">
        <f t="shared" si="39"/>
        <v/>
      </c>
      <c r="E797" s="18" t="str">
        <f t="shared" si="37"/>
        <v/>
      </c>
      <c r="F797" s="17" t="str">
        <f t="shared" si="38"/>
        <v/>
      </c>
    </row>
    <row r="798" spans="2:6" x14ac:dyDescent="0.2">
      <c r="B798" s="12"/>
      <c r="C798" s="12"/>
      <c r="D798" s="17" t="str">
        <f t="shared" si="39"/>
        <v/>
      </c>
      <c r="E798" s="18" t="str">
        <f t="shared" si="37"/>
        <v/>
      </c>
      <c r="F798" s="17" t="str">
        <f t="shared" si="38"/>
        <v/>
      </c>
    </row>
    <row r="799" spans="2:6" x14ac:dyDescent="0.2">
      <c r="B799" s="12"/>
      <c r="C799" s="12"/>
      <c r="D799" s="17" t="str">
        <f t="shared" si="39"/>
        <v/>
      </c>
      <c r="E799" s="18" t="str">
        <f t="shared" si="37"/>
        <v/>
      </c>
      <c r="F799" s="17" t="str">
        <f t="shared" si="38"/>
        <v/>
      </c>
    </row>
    <row r="800" spans="2:6" x14ac:dyDescent="0.2">
      <c r="B800" s="12"/>
      <c r="C800" s="12"/>
      <c r="D800" s="17" t="str">
        <f t="shared" si="39"/>
        <v/>
      </c>
      <c r="E800" s="18" t="str">
        <f t="shared" si="37"/>
        <v/>
      </c>
      <c r="F800" s="17" t="str">
        <f t="shared" si="38"/>
        <v/>
      </c>
    </row>
    <row r="801" spans="2:6" x14ac:dyDescent="0.2">
      <c r="B801" s="12"/>
      <c r="C801" s="12"/>
      <c r="D801" s="17" t="str">
        <f t="shared" si="39"/>
        <v/>
      </c>
      <c r="E801" s="18" t="str">
        <f t="shared" si="37"/>
        <v/>
      </c>
      <c r="F801" s="17" t="str">
        <f t="shared" si="38"/>
        <v/>
      </c>
    </row>
    <row r="802" spans="2:6" x14ac:dyDescent="0.2">
      <c r="B802" s="12"/>
      <c r="C802" s="12"/>
      <c r="D802" s="17" t="str">
        <f t="shared" si="39"/>
        <v/>
      </c>
      <c r="E802" s="18" t="str">
        <f t="shared" si="37"/>
        <v/>
      </c>
      <c r="F802" s="17" t="str">
        <f t="shared" si="38"/>
        <v/>
      </c>
    </row>
    <row r="803" spans="2:6" x14ac:dyDescent="0.2">
      <c r="B803" s="12"/>
      <c r="C803" s="12"/>
      <c r="D803" s="17" t="str">
        <f t="shared" si="39"/>
        <v/>
      </c>
      <c r="E803" s="18" t="str">
        <f t="shared" si="37"/>
        <v/>
      </c>
      <c r="F803" s="17" t="str">
        <f t="shared" si="38"/>
        <v/>
      </c>
    </row>
    <row r="804" spans="2:6" x14ac:dyDescent="0.2">
      <c r="B804" s="12"/>
      <c r="C804" s="12"/>
      <c r="D804" s="17" t="str">
        <f t="shared" si="39"/>
        <v/>
      </c>
      <c r="E804" s="18" t="str">
        <f t="shared" si="37"/>
        <v/>
      </c>
      <c r="F804" s="17" t="str">
        <f t="shared" si="38"/>
        <v/>
      </c>
    </row>
    <row r="805" spans="2:6" x14ac:dyDescent="0.2">
      <c r="B805" s="12"/>
      <c r="C805" s="12"/>
      <c r="D805" s="17" t="str">
        <f t="shared" si="39"/>
        <v/>
      </c>
      <c r="E805" s="18" t="str">
        <f t="shared" si="37"/>
        <v/>
      </c>
      <c r="F805" s="17" t="str">
        <f t="shared" si="38"/>
        <v/>
      </c>
    </row>
    <row r="806" spans="2:6" x14ac:dyDescent="0.2">
      <c r="B806" s="12"/>
      <c r="C806" s="12"/>
      <c r="D806" s="17" t="str">
        <f t="shared" si="39"/>
        <v/>
      </c>
      <c r="E806" s="18" t="str">
        <f t="shared" si="37"/>
        <v/>
      </c>
      <c r="F806" s="17" t="str">
        <f t="shared" si="38"/>
        <v/>
      </c>
    </row>
    <row r="807" spans="2:6" x14ac:dyDescent="0.2">
      <c r="B807" s="12"/>
      <c r="C807" s="12"/>
      <c r="D807" s="17" t="str">
        <f t="shared" si="39"/>
        <v/>
      </c>
      <c r="E807" s="18" t="str">
        <f t="shared" si="37"/>
        <v/>
      </c>
      <c r="F807" s="17" t="str">
        <f t="shared" si="38"/>
        <v/>
      </c>
    </row>
    <row r="808" spans="2:6" x14ac:dyDescent="0.2">
      <c r="B808" s="12"/>
      <c r="C808" s="12"/>
      <c r="D808" s="17" t="str">
        <f t="shared" si="39"/>
        <v/>
      </c>
      <c r="E808" s="18" t="str">
        <f t="shared" si="37"/>
        <v/>
      </c>
      <c r="F808" s="17" t="str">
        <f t="shared" si="38"/>
        <v/>
      </c>
    </row>
    <row r="809" spans="2:6" x14ac:dyDescent="0.2">
      <c r="B809" s="12"/>
      <c r="C809" s="12"/>
      <c r="D809" s="17" t="str">
        <f t="shared" si="39"/>
        <v/>
      </c>
      <c r="E809" s="18" t="str">
        <f t="shared" si="37"/>
        <v/>
      </c>
      <c r="F809" s="17" t="str">
        <f t="shared" si="38"/>
        <v/>
      </c>
    </row>
    <row r="810" spans="2:6" x14ac:dyDescent="0.2">
      <c r="B810" s="12"/>
      <c r="C810" s="12"/>
      <c r="D810" s="17" t="str">
        <f t="shared" si="39"/>
        <v/>
      </c>
      <c r="E810" s="18" t="str">
        <f t="shared" si="37"/>
        <v/>
      </c>
      <c r="F810" s="17" t="str">
        <f t="shared" si="38"/>
        <v/>
      </c>
    </row>
    <row r="811" spans="2:6" x14ac:dyDescent="0.2">
      <c r="B811" s="12"/>
      <c r="C811" s="12"/>
      <c r="D811" s="17" t="str">
        <f t="shared" si="39"/>
        <v/>
      </c>
      <c r="E811" s="18" t="str">
        <f t="shared" si="37"/>
        <v/>
      </c>
      <c r="F811" s="17" t="str">
        <f t="shared" si="38"/>
        <v/>
      </c>
    </row>
    <row r="812" spans="2:6" x14ac:dyDescent="0.2">
      <c r="B812" s="12"/>
      <c r="C812" s="12"/>
      <c r="D812" s="17" t="str">
        <f t="shared" si="39"/>
        <v/>
      </c>
      <c r="E812" s="18" t="str">
        <f t="shared" si="37"/>
        <v/>
      </c>
      <c r="F812" s="17" t="str">
        <f t="shared" si="38"/>
        <v/>
      </c>
    </row>
    <row r="813" spans="2:6" x14ac:dyDescent="0.2">
      <c r="B813" s="12"/>
      <c r="C813" s="12"/>
      <c r="D813" s="17" t="str">
        <f t="shared" si="39"/>
        <v/>
      </c>
      <c r="E813" s="18" t="str">
        <f t="shared" si="37"/>
        <v/>
      </c>
      <c r="F813" s="17" t="str">
        <f t="shared" si="38"/>
        <v/>
      </c>
    </row>
    <row r="814" spans="2:6" x14ac:dyDescent="0.2">
      <c r="B814" s="12"/>
      <c r="C814" s="12"/>
      <c r="D814" s="17" t="str">
        <f t="shared" si="39"/>
        <v/>
      </c>
      <c r="E814" s="18" t="str">
        <f t="shared" si="37"/>
        <v/>
      </c>
      <c r="F814" s="17" t="str">
        <f t="shared" si="38"/>
        <v/>
      </c>
    </row>
    <row r="815" spans="2:6" x14ac:dyDescent="0.2">
      <c r="B815" s="12"/>
      <c r="C815" s="12"/>
      <c r="D815" s="17" t="str">
        <f t="shared" si="39"/>
        <v/>
      </c>
      <c r="E815" s="18" t="str">
        <f t="shared" si="37"/>
        <v/>
      </c>
      <c r="F815" s="17" t="str">
        <f t="shared" si="38"/>
        <v/>
      </c>
    </row>
    <row r="816" spans="2:6" x14ac:dyDescent="0.2">
      <c r="B816" s="12"/>
      <c r="C816" s="12"/>
      <c r="D816" s="17" t="str">
        <f t="shared" si="39"/>
        <v/>
      </c>
      <c r="E816" s="18" t="str">
        <f t="shared" si="37"/>
        <v/>
      </c>
      <c r="F816" s="17" t="str">
        <f t="shared" si="38"/>
        <v/>
      </c>
    </row>
    <row r="817" spans="2:6" x14ac:dyDescent="0.2">
      <c r="B817" s="12"/>
      <c r="C817" s="12"/>
      <c r="D817" s="17" t="str">
        <f t="shared" si="39"/>
        <v/>
      </c>
      <c r="E817" s="18" t="str">
        <f t="shared" si="37"/>
        <v/>
      </c>
      <c r="F817" s="17" t="str">
        <f t="shared" si="38"/>
        <v/>
      </c>
    </row>
    <row r="818" spans="2:6" x14ac:dyDescent="0.2">
      <c r="B818" s="12"/>
      <c r="C818" s="12"/>
      <c r="D818" s="17" t="str">
        <f t="shared" si="39"/>
        <v/>
      </c>
      <c r="E818" s="18" t="str">
        <f t="shared" si="37"/>
        <v/>
      </c>
      <c r="F818" s="17" t="str">
        <f t="shared" si="38"/>
        <v/>
      </c>
    </row>
    <row r="819" spans="2:6" x14ac:dyDescent="0.2">
      <c r="B819" s="12"/>
      <c r="C819" s="12"/>
      <c r="D819" s="17" t="str">
        <f t="shared" si="39"/>
        <v/>
      </c>
      <c r="E819" s="18" t="str">
        <f t="shared" si="37"/>
        <v/>
      </c>
      <c r="F819" s="17" t="str">
        <f t="shared" si="38"/>
        <v/>
      </c>
    </row>
    <row r="820" spans="2:6" x14ac:dyDescent="0.2">
      <c r="B820" s="12"/>
      <c r="C820" s="12"/>
      <c r="D820" s="17" t="str">
        <f t="shared" si="39"/>
        <v/>
      </c>
      <c r="E820" s="18" t="str">
        <f t="shared" si="37"/>
        <v/>
      </c>
      <c r="F820" s="17" t="str">
        <f t="shared" si="38"/>
        <v/>
      </c>
    </row>
    <row r="821" spans="2:6" x14ac:dyDescent="0.2">
      <c r="B821" s="12"/>
      <c r="C821" s="12"/>
      <c r="D821" s="17" t="str">
        <f t="shared" si="39"/>
        <v/>
      </c>
      <c r="E821" s="18" t="str">
        <f t="shared" si="37"/>
        <v/>
      </c>
      <c r="F821" s="17" t="str">
        <f t="shared" si="38"/>
        <v/>
      </c>
    </row>
    <row r="822" spans="2:6" x14ac:dyDescent="0.2">
      <c r="B822" s="12"/>
      <c r="C822" s="12"/>
      <c r="D822" s="17" t="str">
        <f t="shared" si="39"/>
        <v/>
      </c>
      <c r="E822" s="18" t="str">
        <f t="shared" si="37"/>
        <v/>
      </c>
      <c r="F822" s="17" t="str">
        <f t="shared" si="38"/>
        <v/>
      </c>
    </row>
    <row r="823" spans="2:6" x14ac:dyDescent="0.2">
      <c r="B823" s="12"/>
      <c r="C823" s="12"/>
      <c r="D823" s="17" t="str">
        <f t="shared" si="39"/>
        <v/>
      </c>
      <c r="E823" s="18" t="str">
        <f t="shared" si="37"/>
        <v/>
      </c>
      <c r="F823" s="17" t="str">
        <f t="shared" si="38"/>
        <v/>
      </c>
    </row>
    <row r="824" spans="2:6" x14ac:dyDescent="0.2">
      <c r="B824" s="12"/>
      <c r="C824" s="12"/>
      <c r="D824" s="17" t="str">
        <f t="shared" si="39"/>
        <v/>
      </c>
      <c r="E824" s="18" t="str">
        <f t="shared" si="37"/>
        <v/>
      </c>
      <c r="F824" s="17" t="str">
        <f t="shared" si="38"/>
        <v/>
      </c>
    </row>
    <row r="825" spans="2:6" x14ac:dyDescent="0.2">
      <c r="B825" s="12"/>
      <c r="C825" s="12"/>
      <c r="D825" s="17" t="str">
        <f t="shared" si="39"/>
        <v/>
      </c>
      <c r="E825" s="18" t="str">
        <f t="shared" si="37"/>
        <v/>
      </c>
      <c r="F825" s="17" t="str">
        <f t="shared" si="38"/>
        <v/>
      </c>
    </row>
    <row r="826" spans="2:6" x14ac:dyDescent="0.2">
      <c r="B826" s="12"/>
      <c r="C826" s="12"/>
      <c r="D826" s="17" t="str">
        <f t="shared" si="39"/>
        <v/>
      </c>
      <c r="E826" s="18" t="str">
        <f t="shared" si="37"/>
        <v/>
      </c>
      <c r="F826" s="17" t="str">
        <f t="shared" si="38"/>
        <v/>
      </c>
    </row>
    <row r="827" spans="2:6" x14ac:dyDescent="0.2">
      <c r="B827" s="12"/>
      <c r="C827" s="12"/>
      <c r="D827" s="17" t="str">
        <f t="shared" si="39"/>
        <v/>
      </c>
      <c r="E827" s="18" t="str">
        <f t="shared" si="37"/>
        <v/>
      </c>
      <c r="F827" s="17" t="str">
        <f t="shared" si="38"/>
        <v/>
      </c>
    </row>
    <row r="828" spans="2:6" x14ac:dyDescent="0.2">
      <c r="B828" s="12"/>
      <c r="C828" s="12"/>
      <c r="D828" s="17" t="str">
        <f t="shared" si="39"/>
        <v/>
      </c>
      <c r="E828" s="18" t="str">
        <f t="shared" si="37"/>
        <v/>
      </c>
      <c r="F828" s="17" t="str">
        <f t="shared" si="38"/>
        <v/>
      </c>
    </row>
    <row r="829" spans="2:6" x14ac:dyDescent="0.2">
      <c r="B829" s="12"/>
      <c r="C829" s="12"/>
      <c r="D829" s="17" t="str">
        <f t="shared" si="39"/>
        <v/>
      </c>
      <c r="E829" s="18" t="str">
        <f t="shared" si="37"/>
        <v/>
      </c>
      <c r="F829" s="17" t="str">
        <f t="shared" si="38"/>
        <v/>
      </c>
    </row>
    <row r="830" spans="2:6" x14ac:dyDescent="0.2">
      <c r="B830" s="12"/>
      <c r="C830" s="12"/>
      <c r="D830" s="17" t="str">
        <f t="shared" si="39"/>
        <v/>
      </c>
      <c r="E830" s="18" t="str">
        <f t="shared" si="37"/>
        <v/>
      </c>
      <c r="F830" s="17" t="str">
        <f t="shared" si="38"/>
        <v/>
      </c>
    </row>
    <row r="831" spans="2:6" x14ac:dyDescent="0.2">
      <c r="B831" s="12"/>
      <c r="C831" s="12"/>
      <c r="D831" s="17" t="str">
        <f t="shared" si="39"/>
        <v/>
      </c>
      <c r="E831" s="18" t="str">
        <f t="shared" si="37"/>
        <v/>
      </c>
      <c r="F831" s="17" t="str">
        <f t="shared" si="38"/>
        <v/>
      </c>
    </row>
    <row r="832" spans="2:6" x14ac:dyDescent="0.2">
      <c r="B832" s="12"/>
      <c r="C832" s="12"/>
      <c r="D832" s="17" t="str">
        <f t="shared" si="39"/>
        <v/>
      </c>
      <c r="E832" s="18" t="str">
        <f t="shared" si="37"/>
        <v/>
      </c>
      <c r="F832" s="17" t="str">
        <f t="shared" si="38"/>
        <v/>
      </c>
    </row>
    <row r="833" spans="2:6" x14ac:dyDescent="0.2">
      <c r="B833" s="12"/>
      <c r="C833" s="12"/>
      <c r="D833" s="17" t="str">
        <f t="shared" si="39"/>
        <v/>
      </c>
      <c r="E833" s="18" t="str">
        <f t="shared" si="37"/>
        <v/>
      </c>
      <c r="F833" s="17" t="str">
        <f t="shared" si="38"/>
        <v/>
      </c>
    </row>
    <row r="834" spans="2:6" x14ac:dyDescent="0.2">
      <c r="B834" s="12"/>
      <c r="C834" s="12"/>
      <c r="D834" s="17" t="str">
        <f t="shared" si="39"/>
        <v/>
      </c>
      <c r="E834" s="18" t="str">
        <f t="shared" si="37"/>
        <v/>
      </c>
      <c r="F834" s="17" t="str">
        <f t="shared" si="38"/>
        <v/>
      </c>
    </row>
    <row r="835" spans="2:6" x14ac:dyDescent="0.2">
      <c r="B835" s="12"/>
      <c r="C835" s="12"/>
      <c r="D835" s="17" t="str">
        <f t="shared" si="39"/>
        <v/>
      </c>
      <c r="E835" s="18" t="str">
        <f t="shared" si="37"/>
        <v/>
      </c>
      <c r="F835" s="17" t="str">
        <f t="shared" si="38"/>
        <v/>
      </c>
    </row>
    <row r="836" spans="2:6" x14ac:dyDescent="0.2">
      <c r="B836" s="12"/>
      <c r="C836" s="12"/>
      <c r="D836" s="17" t="str">
        <f t="shared" si="39"/>
        <v/>
      </c>
      <c r="E836" s="18" t="str">
        <f t="shared" si="37"/>
        <v/>
      </c>
      <c r="F836" s="17" t="str">
        <f t="shared" si="38"/>
        <v/>
      </c>
    </row>
    <row r="837" spans="2:6" x14ac:dyDescent="0.2">
      <c r="B837" s="12"/>
      <c r="C837" s="12"/>
      <c r="D837" s="17" t="str">
        <f t="shared" si="39"/>
        <v/>
      </c>
      <c r="E837" s="18" t="str">
        <f t="shared" ref="E837:E900" si="40">IF(B837="","",ABS(C837-D837))</f>
        <v/>
      </c>
      <c r="F837" s="17" t="str">
        <f t="shared" ref="F837:F900" si="41">IF(B837="","",E837^2)</f>
        <v/>
      </c>
    </row>
    <row r="838" spans="2:6" x14ac:dyDescent="0.2">
      <c r="B838" s="12"/>
      <c r="C838" s="12"/>
      <c r="D838" s="17" t="str">
        <f t="shared" si="39"/>
        <v/>
      </c>
      <c r="E838" s="18" t="str">
        <f t="shared" si="40"/>
        <v/>
      </c>
      <c r="F838" s="17" t="str">
        <f t="shared" si="41"/>
        <v/>
      </c>
    </row>
    <row r="839" spans="2:6" x14ac:dyDescent="0.2">
      <c r="B839" s="12"/>
      <c r="C839" s="12"/>
      <c r="D839" s="17" t="str">
        <f t="shared" si="39"/>
        <v/>
      </c>
      <c r="E839" s="18" t="str">
        <f t="shared" si="40"/>
        <v/>
      </c>
      <c r="F839" s="17" t="str">
        <f t="shared" si="41"/>
        <v/>
      </c>
    </row>
    <row r="840" spans="2:6" x14ac:dyDescent="0.2">
      <c r="B840" s="12"/>
      <c r="C840" s="12"/>
      <c r="D840" s="17" t="str">
        <f t="shared" si="39"/>
        <v/>
      </c>
      <c r="E840" s="18" t="str">
        <f t="shared" si="40"/>
        <v/>
      </c>
      <c r="F840" s="17" t="str">
        <f t="shared" si="41"/>
        <v/>
      </c>
    </row>
    <row r="841" spans="2:6" x14ac:dyDescent="0.2">
      <c r="B841" s="12"/>
      <c r="C841" s="12"/>
      <c r="D841" s="17" t="str">
        <f t="shared" si="39"/>
        <v/>
      </c>
      <c r="E841" s="18" t="str">
        <f t="shared" si="40"/>
        <v/>
      </c>
      <c r="F841" s="17" t="str">
        <f t="shared" si="41"/>
        <v/>
      </c>
    </row>
    <row r="842" spans="2:6" x14ac:dyDescent="0.2">
      <c r="B842" s="12"/>
      <c r="C842" s="12"/>
      <c r="D842" s="17" t="str">
        <f t="shared" si="39"/>
        <v/>
      </c>
      <c r="E842" s="18" t="str">
        <f t="shared" si="40"/>
        <v/>
      </c>
      <c r="F842" s="17" t="str">
        <f t="shared" si="41"/>
        <v/>
      </c>
    </row>
    <row r="843" spans="2:6" x14ac:dyDescent="0.2">
      <c r="B843" s="12"/>
      <c r="C843" s="12"/>
      <c r="D843" s="17" t="str">
        <f t="shared" si="39"/>
        <v/>
      </c>
      <c r="E843" s="18" t="str">
        <f t="shared" si="40"/>
        <v/>
      </c>
      <c r="F843" s="17" t="str">
        <f t="shared" si="41"/>
        <v/>
      </c>
    </row>
    <row r="844" spans="2:6" x14ac:dyDescent="0.2">
      <c r="B844" s="12"/>
      <c r="C844" s="12"/>
      <c r="D844" s="17" t="str">
        <f t="shared" si="39"/>
        <v/>
      </c>
      <c r="E844" s="18" t="str">
        <f t="shared" si="40"/>
        <v/>
      </c>
      <c r="F844" s="17" t="str">
        <f t="shared" si="41"/>
        <v/>
      </c>
    </row>
    <row r="845" spans="2:6" x14ac:dyDescent="0.2">
      <c r="B845" s="12"/>
      <c r="C845" s="12"/>
      <c r="D845" s="17" t="str">
        <f t="shared" si="39"/>
        <v/>
      </c>
      <c r="E845" s="18" t="str">
        <f t="shared" si="40"/>
        <v/>
      </c>
      <c r="F845" s="17" t="str">
        <f t="shared" si="41"/>
        <v/>
      </c>
    </row>
    <row r="846" spans="2:6" x14ac:dyDescent="0.2">
      <c r="B846" s="12"/>
      <c r="C846" s="12"/>
      <c r="D846" s="17" t="str">
        <f t="shared" si="39"/>
        <v/>
      </c>
      <c r="E846" s="18" t="str">
        <f t="shared" si="40"/>
        <v/>
      </c>
      <c r="F846" s="17" t="str">
        <f t="shared" si="41"/>
        <v/>
      </c>
    </row>
    <row r="847" spans="2:6" x14ac:dyDescent="0.2">
      <c r="B847" s="12"/>
      <c r="C847" s="12"/>
      <c r="D847" s="17" t="str">
        <f t="shared" si="39"/>
        <v/>
      </c>
      <c r="E847" s="18" t="str">
        <f t="shared" si="40"/>
        <v/>
      </c>
      <c r="F847" s="17" t="str">
        <f t="shared" si="41"/>
        <v/>
      </c>
    </row>
    <row r="848" spans="2:6" x14ac:dyDescent="0.2">
      <c r="B848" s="12"/>
      <c r="C848" s="12"/>
      <c r="D848" s="17" t="str">
        <f t="shared" si="39"/>
        <v/>
      </c>
      <c r="E848" s="18" t="str">
        <f t="shared" si="40"/>
        <v/>
      </c>
      <c r="F848" s="17" t="str">
        <f t="shared" si="41"/>
        <v/>
      </c>
    </row>
    <row r="849" spans="2:6" x14ac:dyDescent="0.2">
      <c r="B849" s="12"/>
      <c r="C849" s="12"/>
      <c r="D849" s="17" t="str">
        <f t="shared" si="39"/>
        <v/>
      </c>
      <c r="E849" s="18" t="str">
        <f t="shared" si="40"/>
        <v/>
      </c>
      <c r="F849" s="17" t="str">
        <f t="shared" si="41"/>
        <v/>
      </c>
    </row>
    <row r="850" spans="2:6" x14ac:dyDescent="0.2">
      <c r="B850" s="12"/>
      <c r="C850" s="12"/>
      <c r="D850" s="17" t="str">
        <f t="shared" ref="D850:D913" si="42">IF(B850="","",a+b*B850)</f>
        <v/>
      </c>
      <c r="E850" s="18" t="str">
        <f t="shared" si="40"/>
        <v/>
      </c>
      <c r="F850" s="17" t="str">
        <f t="shared" si="41"/>
        <v/>
      </c>
    </row>
    <row r="851" spans="2:6" x14ac:dyDescent="0.2">
      <c r="B851" s="12"/>
      <c r="C851" s="12"/>
      <c r="D851" s="17" t="str">
        <f t="shared" si="42"/>
        <v/>
      </c>
      <c r="E851" s="18" t="str">
        <f t="shared" si="40"/>
        <v/>
      </c>
      <c r="F851" s="17" t="str">
        <f t="shared" si="41"/>
        <v/>
      </c>
    </row>
    <row r="852" spans="2:6" x14ac:dyDescent="0.2">
      <c r="B852" s="12"/>
      <c r="C852" s="12"/>
      <c r="D852" s="17" t="str">
        <f t="shared" si="42"/>
        <v/>
      </c>
      <c r="E852" s="18" t="str">
        <f t="shared" si="40"/>
        <v/>
      </c>
      <c r="F852" s="17" t="str">
        <f t="shared" si="41"/>
        <v/>
      </c>
    </row>
    <row r="853" spans="2:6" x14ac:dyDescent="0.2">
      <c r="B853" s="12"/>
      <c r="C853" s="12"/>
      <c r="D853" s="17" t="str">
        <f t="shared" si="42"/>
        <v/>
      </c>
      <c r="E853" s="18" t="str">
        <f t="shared" si="40"/>
        <v/>
      </c>
      <c r="F853" s="17" t="str">
        <f t="shared" si="41"/>
        <v/>
      </c>
    </row>
    <row r="854" spans="2:6" x14ac:dyDescent="0.2">
      <c r="B854" s="12"/>
      <c r="C854" s="12"/>
      <c r="D854" s="17" t="str">
        <f t="shared" si="42"/>
        <v/>
      </c>
      <c r="E854" s="18" t="str">
        <f t="shared" si="40"/>
        <v/>
      </c>
      <c r="F854" s="17" t="str">
        <f t="shared" si="41"/>
        <v/>
      </c>
    </row>
    <row r="855" spans="2:6" x14ac:dyDescent="0.2">
      <c r="B855" s="12"/>
      <c r="C855" s="12"/>
      <c r="D855" s="17" t="str">
        <f t="shared" si="42"/>
        <v/>
      </c>
      <c r="E855" s="18" t="str">
        <f t="shared" si="40"/>
        <v/>
      </c>
      <c r="F855" s="17" t="str">
        <f t="shared" si="41"/>
        <v/>
      </c>
    </row>
    <row r="856" spans="2:6" x14ac:dyDescent="0.2">
      <c r="B856" s="12"/>
      <c r="C856" s="12"/>
      <c r="D856" s="17" t="str">
        <f t="shared" si="42"/>
        <v/>
      </c>
      <c r="E856" s="18" t="str">
        <f t="shared" si="40"/>
        <v/>
      </c>
      <c r="F856" s="17" t="str">
        <f t="shared" si="41"/>
        <v/>
      </c>
    </row>
    <row r="857" spans="2:6" x14ac:dyDescent="0.2">
      <c r="B857" s="12"/>
      <c r="C857" s="12"/>
      <c r="D857" s="17" t="str">
        <f t="shared" si="42"/>
        <v/>
      </c>
      <c r="E857" s="18" t="str">
        <f t="shared" si="40"/>
        <v/>
      </c>
      <c r="F857" s="17" t="str">
        <f t="shared" si="41"/>
        <v/>
      </c>
    </row>
    <row r="858" spans="2:6" x14ac:dyDescent="0.2">
      <c r="B858" s="12"/>
      <c r="C858" s="12"/>
      <c r="D858" s="17" t="str">
        <f t="shared" si="42"/>
        <v/>
      </c>
      <c r="E858" s="18" t="str">
        <f t="shared" si="40"/>
        <v/>
      </c>
      <c r="F858" s="17" t="str">
        <f t="shared" si="41"/>
        <v/>
      </c>
    </row>
    <row r="859" spans="2:6" x14ac:dyDescent="0.2">
      <c r="B859" s="12"/>
      <c r="C859" s="12"/>
      <c r="D859" s="17" t="str">
        <f t="shared" si="42"/>
        <v/>
      </c>
      <c r="E859" s="18" t="str">
        <f t="shared" si="40"/>
        <v/>
      </c>
      <c r="F859" s="17" t="str">
        <f t="shared" si="41"/>
        <v/>
      </c>
    </row>
    <row r="860" spans="2:6" x14ac:dyDescent="0.2">
      <c r="B860" s="12"/>
      <c r="C860" s="12"/>
      <c r="D860" s="17" t="str">
        <f t="shared" si="42"/>
        <v/>
      </c>
      <c r="E860" s="18" t="str">
        <f t="shared" si="40"/>
        <v/>
      </c>
      <c r="F860" s="17" t="str">
        <f t="shared" si="41"/>
        <v/>
      </c>
    </row>
    <row r="861" spans="2:6" x14ac:dyDescent="0.2">
      <c r="B861" s="12"/>
      <c r="C861" s="12"/>
      <c r="D861" s="17" t="str">
        <f t="shared" si="42"/>
        <v/>
      </c>
      <c r="E861" s="18" t="str">
        <f t="shared" si="40"/>
        <v/>
      </c>
      <c r="F861" s="17" t="str">
        <f t="shared" si="41"/>
        <v/>
      </c>
    </row>
    <row r="862" spans="2:6" x14ac:dyDescent="0.2">
      <c r="B862" s="12"/>
      <c r="C862" s="12"/>
      <c r="D862" s="17" t="str">
        <f t="shared" si="42"/>
        <v/>
      </c>
      <c r="E862" s="18" t="str">
        <f t="shared" si="40"/>
        <v/>
      </c>
      <c r="F862" s="17" t="str">
        <f t="shared" si="41"/>
        <v/>
      </c>
    </row>
    <row r="863" spans="2:6" x14ac:dyDescent="0.2">
      <c r="B863" s="12"/>
      <c r="C863" s="12"/>
      <c r="D863" s="17" t="str">
        <f t="shared" si="42"/>
        <v/>
      </c>
      <c r="E863" s="18" t="str">
        <f t="shared" si="40"/>
        <v/>
      </c>
      <c r="F863" s="17" t="str">
        <f t="shared" si="41"/>
        <v/>
      </c>
    </row>
    <row r="864" spans="2:6" x14ac:dyDescent="0.2">
      <c r="B864" s="12"/>
      <c r="C864" s="12"/>
      <c r="D864" s="17" t="str">
        <f t="shared" si="42"/>
        <v/>
      </c>
      <c r="E864" s="18" t="str">
        <f t="shared" si="40"/>
        <v/>
      </c>
      <c r="F864" s="17" t="str">
        <f t="shared" si="41"/>
        <v/>
      </c>
    </row>
    <row r="865" spans="2:6" x14ac:dyDescent="0.2">
      <c r="B865" s="12"/>
      <c r="C865" s="12"/>
      <c r="D865" s="17" t="str">
        <f t="shared" si="42"/>
        <v/>
      </c>
      <c r="E865" s="18" t="str">
        <f t="shared" si="40"/>
        <v/>
      </c>
      <c r="F865" s="17" t="str">
        <f t="shared" si="41"/>
        <v/>
      </c>
    </row>
    <row r="866" spans="2:6" x14ac:dyDescent="0.2">
      <c r="B866" s="12"/>
      <c r="C866" s="12"/>
      <c r="D866" s="17" t="str">
        <f t="shared" si="42"/>
        <v/>
      </c>
      <c r="E866" s="18" t="str">
        <f t="shared" si="40"/>
        <v/>
      </c>
      <c r="F866" s="17" t="str">
        <f t="shared" si="41"/>
        <v/>
      </c>
    </row>
    <row r="867" spans="2:6" x14ac:dyDescent="0.2">
      <c r="B867" s="12"/>
      <c r="C867" s="12"/>
      <c r="D867" s="17" t="str">
        <f t="shared" si="42"/>
        <v/>
      </c>
      <c r="E867" s="18" t="str">
        <f t="shared" si="40"/>
        <v/>
      </c>
      <c r="F867" s="17" t="str">
        <f t="shared" si="41"/>
        <v/>
      </c>
    </row>
    <row r="868" spans="2:6" x14ac:dyDescent="0.2">
      <c r="B868" s="12"/>
      <c r="C868" s="12"/>
      <c r="D868" s="17" t="str">
        <f t="shared" si="42"/>
        <v/>
      </c>
      <c r="E868" s="18" t="str">
        <f t="shared" si="40"/>
        <v/>
      </c>
      <c r="F868" s="17" t="str">
        <f t="shared" si="41"/>
        <v/>
      </c>
    </row>
    <row r="869" spans="2:6" x14ac:dyDescent="0.2">
      <c r="B869" s="12"/>
      <c r="C869" s="12"/>
      <c r="D869" s="17" t="str">
        <f t="shared" si="42"/>
        <v/>
      </c>
      <c r="E869" s="18" t="str">
        <f t="shared" si="40"/>
        <v/>
      </c>
      <c r="F869" s="17" t="str">
        <f t="shared" si="41"/>
        <v/>
      </c>
    </row>
    <row r="870" spans="2:6" x14ac:dyDescent="0.2">
      <c r="B870" s="12"/>
      <c r="C870" s="12"/>
      <c r="D870" s="17" t="str">
        <f t="shared" si="42"/>
        <v/>
      </c>
      <c r="E870" s="18" t="str">
        <f t="shared" si="40"/>
        <v/>
      </c>
      <c r="F870" s="17" t="str">
        <f t="shared" si="41"/>
        <v/>
      </c>
    </row>
    <row r="871" spans="2:6" x14ac:dyDescent="0.2">
      <c r="B871" s="12"/>
      <c r="C871" s="12"/>
      <c r="D871" s="17" t="str">
        <f t="shared" si="42"/>
        <v/>
      </c>
      <c r="E871" s="18" t="str">
        <f t="shared" si="40"/>
        <v/>
      </c>
      <c r="F871" s="17" t="str">
        <f t="shared" si="41"/>
        <v/>
      </c>
    </row>
    <row r="872" spans="2:6" x14ac:dyDescent="0.2">
      <c r="B872" s="12"/>
      <c r="C872" s="12"/>
      <c r="D872" s="17" t="str">
        <f t="shared" si="42"/>
        <v/>
      </c>
      <c r="E872" s="18" t="str">
        <f t="shared" si="40"/>
        <v/>
      </c>
      <c r="F872" s="17" t="str">
        <f t="shared" si="41"/>
        <v/>
      </c>
    </row>
    <row r="873" spans="2:6" x14ac:dyDescent="0.2">
      <c r="B873" s="12"/>
      <c r="C873" s="12"/>
      <c r="D873" s="17" t="str">
        <f t="shared" si="42"/>
        <v/>
      </c>
      <c r="E873" s="18" t="str">
        <f t="shared" si="40"/>
        <v/>
      </c>
      <c r="F873" s="17" t="str">
        <f t="shared" si="41"/>
        <v/>
      </c>
    </row>
    <row r="874" spans="2:6" x14ac:dyDescent="0.2">
      <c r="B874" s="12"/>
      <c r="C874" s="12"/>
      <c r="D874" s="17" t="str">
        <f t="shared" si="42"/>
        <v/>
      </c>
      <c r="E874" s="18" t="str">
        <f t="shared" si="40"/>
        <v/>
      </c>
      <c r="F874" s="17" t="str">
        <f t="shared" si="41"/>
        <v/>
      </c>
    </row>
    <row r="875" spans="2:6" x14ac:dyDescent="0.2">
      <c r="B875" s="12"/>
      <c r="C875" s="12"/>
      <c r="D875" s="17" t="str">
        <f t="shared" si="42"/>
        <v/>
      </c>
      <c r="E875" s="18" t="str">
        <f t="shared" si="40"/>
        <v/>
      </c>
      <c r="F875" s="17" t="str">
        <f t="shared" si="41"/>
        <v/>
      </c>
    </row>
    <row r="876" spans="2:6" x14ac:dyDescent="0.2">
      <c r="B876" s="12"/>
      <c r="C876" s="12"/>
      <c r="D876" s="17" t="str">
        <f t="shared" si="42"/>
        <v/>
      </c>
      <c r="E876" s="18" t="str">
        <f t="shared" si="40"/>
        <v/>
      </c>
      <c r="F876" s="17" t="str">
        <f t="shared" si="41"/>
        <v/>
      </c>
    </row>
    <row r="877" spans="2:6" x14ac:dyDescent="0.2">
      <c r="B877" s="12"/>
      <c r="C877" s="12"/>
      <c r="D877" s="17" t="str">
        <f t="shared" si="42"/>
        <v/>
      </c>
      <c r="E877" s="18" t="str">
        <f t="shared" si="40"/>
        <v/>
      </c>
      <c r="F877" s="17" t="str">
        <f t="shared" si="41"/>
        <v/>
      </c>
    </row>
    <row r="878" spans="2:6" x14ac:dyDescent="0.2">
      <c r="B878" s="12"/>
      <c r="C878" s="12"/>
      <c r="D878" s="17" t="str">
        <f t="shared" si="42"/>
        <v/>
      </c>
      <c r="E878" s="18" t="str">
        <f t="shared" si="40"/>
        <v/>
      </c>
      <c r="F878" s="17" t="str">
        <f t="shared" si="41"/>
        <v/>
      </c>
    </row>
    <row r="879" spans="2:6" x14ac:dyDescent="0.2">
      <c r="B879" s="12"/>
      <c r="C879" s="12"/>
      <c r="D879" s="17" t="str">
        <f t="shared" si="42"/>
        <v/>
      </c>
      <c r="E879" s="18" t="str">
        <f t="shared" si="40"/>
        <v/>
      </c>
      <c r="F879" s="17" t="str">
        <f t="shared" si="41"/>
        <v/>
      </c>
    </row>
    <row r="880" spans="2:6" x14ac:dyDescent="0.2">
      <c r="B880" s="12"/>
      <c r="C880" s="12"/>
      <c r="D880" s="17" t="str">
        <f t="shared" si="42"/>
        <v/>
      </c>
      <c r="E880" s="18" t="str">
        <f t="shared" si="40"/>
        <v/>
      </c>
      <c r="F880" s="17" t="str">
        <f t="shared" si="41"/>
        <v/>
      </c>
    </row>
    <row r="881" spans="2:6" x14ac:dyDescent="0.2">
      <c r="B881" s="12"/>
      <c r="C881" s="12"/>
      <c r="D881" s="17" t="str">
        <f t="shared" si="42"/>
        <v/>
      </c>
      <c r="E881" s="18" t="str">
        <f t="shared" si="40"/>
        <v/>
      </c>
      <c r="F881" s="17" t="str">
        <f t="shared" si="41"/>
        <v/>
      </c>
    </row>
    <row r="882" spans="2:6" x14ac:dyDescent="0.2">
      <c r="B882" s="12"/>
      <c r="C882" s="12"/>
      <c r="D882" s="17" t="str">
        <f t="shared" si="42"/>
        <v/>
      </c>
      <c r="E882" s="18" t="str">
        <f t="shared" si="40"/>
        <v/>
      </c>
      <c r="F882" s="17" t="str">
        <f t="shared" si="41"/>
        <v/>
      </c>
    </row>
    <row r="883" spans="2:6" x14ac:dyDescent="0.2">
      <c r="B883" s="12"/>
      <c r="C883" s="12"/>
      <c r="D883" s="17" t="str">
        <f t="shared" si="42"/>
        <v/>
      </c>
      <c r="E883" s="18" t="str">
        <f t="shared" si="40"/>
        <v/>
      </c>
      <c r="F883" s="17" t="str">
        <f t="shared" si="41"/>
        <v/>
      </c>
    </row>
    <row r="884" spans="2:6" x14ac:dyDescent="0.2">
      <c r="B884" s="12"/>
      <c r="C884" s="12"/>
      <c r="D884" s="17" t="str">
        <f t="shared" si="42"/>
        <v/>
      </c>
      <c r="E884" s="18" t="str">
        <f t="shared" si="40"/>
        <v/>
      </c>
      <c r="F884" s="17" t="str">
        <f t="shared" si="41"/>
        <v/>
      </c>
    </row>
    <row r="885" spans="2:6" x14ac:dyDescent="0.2">
      <c r="B885" s="12"/>
      <c r="C885" s="12"/>
      <c r="D885" s="17" t="str">
        <f t="shared" si="42"/>
        <v/>
      </c>
      <c r="E885" s="18" t="str">
        <f t="shared" si="40"/>
        <v/>
      </c>
      <c r="F885" s="17" t="str">
        <f t="shared" si="41"/>
        <v/>
      </c>
    </row>
    <row r="886" spans="2:6" x14ac:dyDescent="0.2">
      <c r="B886" s="12"/>
      <c r="C886" s="12"/>
      <c r="D886" s="17" t="str">
        <f t="shared" si="42"/>
        <v/>
      </c>
      <c r="E886" s="18" t="str">
        <f t="shared" si="40"/>
        <v/>
      </c>
      <c r="F886" s="17" t="str">
        <f t="shared" si="41"/>
        <v/>
      </c>
    </row>
    <row r="887" spans="2:6" x14ac:dyDescent="0.2">
      <c r="B887" s="12"/>
      <c r="C887" s="12"/>
      <c r="D887" s="17" t="str">
        <f t="shared" si="42"/>
        <v/>
      </c>
      <c r="E887" s="18" t="str">
        <f t="shared" si="40"/>
        <v/>
      </c>
      <c r="F887" s="17" t="str">
        <f t="shared" si="41"/>
        <v/>
      </c>
    </row>
    <row r="888" spans="2:6" x14ac:dyDescent="0.2">
      <c r="B888" s="12"/>
      <c r="C888" s="12"/>
      <c r="D888" s="17" t="str">
        <f t="shared" si="42"/>
        <v/>
      </c>
      <c r="E888" s="18" t="str">
        <f t="shared" si="40"/>
        <v/>
      </c>
      <c r="F888" s="17" t="str">
        <f t="shared" si="41"/>
        <v/>
      </c>
    </row>
    <row r="889" spans="2:6" x14ac:dyDescent="0.2">
      <c r="B889" s="12"/>
      <c r="C889" s="12"/>
      <c r="D889" s="17" t="str">
        <f t="shared" si="42"/>
        <v/>
      </c>
      <c r="E889" s="18" t="str">
        <f t="shared" si="40"/>
        <v/>
      </c>
      <c r="F889" s="17" t="str">
        <f t="shared" si="41"/>
        <v/>
      </c>
    </row>
    <row r="890" spans="2:6" x14ac:dyDescent="0.2">
      <c r="B890" s="12"/>
      <c r="C890" s="12"/>
      <c r="D890" s="17" t="str">
        <f t="shared" si="42"/>
        <v/>
      </c>
      <c r="E890" s="18" t="str">
        <f t="shared" si="40"/>
        <v/>
      </c>
      <c r="F890" s="17" t="str">
        <f t="shared" si="41"/>
        <v/>
      </c>
    </row>
    <row r="891" spans="2:6" x14ac:dyDescent="0.2">
      <c r="B891" s="12"/>
      <c r="C891" s="12"/>
      <c r="D891" s="17" t="str">
        <f t="shared" si="42"/>
        <v/>
      </c>
      <c r="E891" s="18" t="str">
        <f t="shared" si="40"/>
        <v/>
      </c>
      <c r="F891" s="17" t="str">
        <f t="shared" si="41"/>
        <v/>
      </c>
    </row>
    <row r="892" spans="2:6" x14ac:dyDescent="0.2">
      <c r="B892" s="12"/>
      <c r="C892" s="12"/>
      <c r="D892" s="17" t="str">
        <f t="shared" si="42"/>
        <v/>
      </c>
      <c r="E892" s="18" t="str">
        <f t="shared" si="40"/>
        <v/>
      </c>
      <c r="F892" s="17" t="str">
        <f t="shared" si="41"/>
        <v/>
      </c>
    </row>
    <row r="893" spans="2:6" x14ac:dyDescent="0.2">
      <c r="B893" s="12"/>
      <c r="C893" s="12"/>
      <c r="D893" s="17" t="str">
        <f t="shared" si="42"/>
        <v/>
      </c>
      <c r="E893" s="18" t="str">
        <f t="shared" si="40"/>
        <v/>
      </c>
      <c r="F893" s="17" t="str">
        <f t="shared" si="41"/>
        <v/>
      </c>
    </row>
    <row r="894" spans="2:6" x14ac:dyDescent="0.2">
      <c r="B894" s="12"/>
      <c r="C894" s="12"/>
      <c r="D894" s="17" t="str">
        <f t="shared" si="42"/>
        <v/>
      </c>
      <c r="E894" s="18" t="str">
        <f t="shared" si="40"/>
        <v/>
      </c>
      <c r="F894" s="17" t="str">
        <f t="shared" si="41"/>
        <v/>
      </c>
    </row>
    <row r="895" spans="2:6" x14ac:dyDescent="0.2">
      <c r="B895" s="12"/>
      <c r="C895" s="12"/>
      <c r="D895" s="17" t="str">
        <f t="shared" si="42"/>
        <v/>
      </c>
      <c r="E895" s="18" t="str">
        <f t="shared" si="40"/>
        <v/>
      </c>
      <c r="F895" s="17" t="str">
        <f t="shared" si="41"/>
        <v/>
      </c>
    </row>
    <row r="896" spans="2:6" x14ac:dyDescent="0.2">
      <c r="B896" s="12"/>
      <c r="C896" s="12"/>
      <c r="D896" s="17" t="str">
        <f t="shared" si="42"/>
        <v/>
      </c>
      <c r="E896" s="18" t="str">
        <f t="shared" si="40"/>
        <v/>
      </c>
      <c r="F896" s="17" t="str">
        <f t="shared" si="41"/>
        <v/>
      </c>
    </row>
    <row r="897" spans="2:6" x14ac:dyDescent="0.2">
      <c r="B897" s="12"/>
      <c r="C897" s="12"/>
      <c r="D897" s="17" t="str">
        <f t="shared" si="42"/>
        <v/>
      </c>
      <c r="E897" s="18" t="str">
        <f t="shared" si="40"/>
        <v/>
      </c>
      <c r="F897" s="17" t="str">
        <f t="shared" si="41"/>
        <v/>
      </c>
    </row>
    <row r="898" spans="2:6" x14ac:dyDescent="0.2">
      <c r="B898" s="12"/>
      <c r="C898" s="12"/>
      <c r="D898" s="17" t="str">
        <f t="shared" si="42"/>
        <v/>
      </c>
      <c r="E898" s="18" t="str">
        <f t="shared" si="40"/>
        <v/>
      </c>
      <c r="F898" s="17" t="str">
        <f t="shared" si="41"/>
        <v/>
      </c>
    </row>
    <row r="899" spans="2:6" x14ac:dyDescent="0.2">
      <c r="B899" s="12"/>
      <c r="C899" s="12"/>
      <c r="D899" s="17" t="str">
        <f t="shared" si="42"/>
        <v/>
      </c>
      <c r="E899" s="18" t="str">
        <f t="shared" si="40"/>
        <v/>
      </c>
      <c r="F899" s="17" t="str">
        <f t="shared" si="41"/>
        <v/>
      </c>
    </row>
    <row r="900" spans="2:6" x14ac:dyDescent="0.2">
      <c r="B900" s="12"/>
      <c r="C900" s="12"/>
      <c r="D900" s="17" t="str">
        <f t="shared" si="42"/>
        <v/>
      </c>
      <c r="E900" s="18" t="str">
        <f t="shared" si="40"/>
        <v/>
      </c>
      <c r="F900" s="17" t="str">
        <f t="shared" si="41"/>
        <v/>
      </c>
    </row>
    <row r="901" spans="2:6" x14ac:dyDescent="0.2">
      <c r="B901" s="12"/>
      <c r="C901" s="12"/>
      <c r="D901" s="17" t="str">
        <f t="shared" si="42"/>
        <v/>
      </c>
      <c r="E901" s="18" t="str">
        <f t="shared" ref="E901:E964" si="43">IF(B901="","",ABS(C901-D901))</f>
        <v/>
      </c>
      <c r="F901" s="17" t="str">
        <f t="shared" ref="F901:F964" si="44">IF(B901="","",E901^2)</f>
        <v/>
      </c>
    </row>
    <row r="902" spans="2:6" x14ac:dyDescent="0.2">
      <c r="B902" s="12"/>
      <c r="C902" s="12"/>
      <c r="D902" s="17" t="str">
        <f t="shared" si="42"/>
        <v/>
      </c>
      <c r="E902" s="18" t="str">
        <f t="shared" si="43"/>
        <v/>
      </c>
      <c r="F902" s="17" t="str">
        <f t="shared" si="44"/>
        <v/>
      </c>
    </row>
    <row r="903" spans="2:6" x14ac:dyDescent="0.2">
      <c r="B903" s="12"/>
      <c r="C903" s="12"/>
      <c r="D903" s="17" t="str">
        <f t="shared" si="42"/>
        <v/>
      </c>
      <c r="E903" s="18" t="str">
        <f t="shared" si="43"/>
        <v/>
      </c>
      <c r="F903" s="17" t="str">
        <f t="shared" si="44"/>
        <v/>
      </c>
    </row>
    <row r="904" spans="2:6" x14ac:dyDescent="0.2">
      <c r="B904" s="12"/>
      <c r="C904" s="12"/>
      <c r="D904" s="17" t="str">
        <f t="shared" si="42"/>
        <v/>
      </c>
      <c r="E904" s="18" t="str">
        <f t="shared" si="43"/>
        <v/>
      </c>
      <c r="F904" s="17" t="str">
        <f t="shared" si="44"/>
        <v/>
      </c>
    </row>
    <row r="905" spans="2:6" x14ac:dyDescent="0.2">
      <c r="B905" s="12"/>
      <c r="C905" s="12"/>
      <c r="D905" s="17" t="str">
        <f t="shared" si="42"/>
        <v/>
      </c>
      <c r="E905" s="18" t="str">
        <f t="shared" si="43"/>
        <v/>
      </c>
      <c r="F905" s="17" t="str">
        <f t="shared" si="44"/>
        <v/>
      </c>
    </row>
    <row r="906" spans="2:6" x14ac:dyDescent="0.2">
      <c r="B906" s="12"/>
      <c r="C906" s="12"/>
      <c r="D906" s="17" t="str">
        <f t="shared" si="42"/>
        <v/>
      </c>
      <c r="E906" s="18" t="str">
        <f t="shared" si="43"/>
        <v/>
      </c>
      <c r="F906" s="17" t="str">
        <f t="shared" si="44"/>
        <v/>
      </c>
    </row>
    <row r="907" spans="2:6" x14ac:dyDescent="0.2">
      <c r="B907" s="12"/>
      <c r="C907" s="12"/>
      <c r="D907" s="17" t="str">
        <f t="shared" si="42"/>
        <v/>
      </c>
      <c r="E907" s="18" t="str">
        <f t="shared" si="43"/>
        <v/>
      </c>
      <c r="F907" s="17" t="str">
        <f t="shared" si="44"/>
        <v/>
      </c>
    </row>
    <row r="908" spans="2:6" x14ac:dyDescent="0.2">
      <c r="B908" s="12"/>
      <c r="C908" s="12"/>
      <c r="D908" s="17" t="str">
        <f t="shared" si="42"/>
        <v/>
      </c>
      <c r="E908" s="18" t="str">
        <f t="shared" si="43"/>
        <v/>
      </c>
      <c r="F908" s="17" t="str">
        <f t="shared" si="44"/>
        <v/>
      </c>
    </row>
    <row r="909" spans="2:6" x14ac:dyDescent="0.2">
      <c r="B909" s="12"/>
      <c r="C909" s="12"/>
      <c r="D909" s="17" t="str">
        <f t="shared" si="42"/>
        <v/>
      </c>
      <c r="E909" s="18" t="str">
        <f t="shared" si="43"/>
        <v/>
      </c>
      <c r="F909" s="17" t="str">
        <f t="shared" si="44"/>
        <v/>
      </c>
    </row>
    <row r="910" spans="2:6" x14ac:dyDescent="0.2">
      <c r="B910" s="12"/>
      <c r="C910" s="12"/>
      <c r="D910" s="17" t="str">
        <f t="shared" si="42"/>
        <v/>
      </c>
      <c r="E910" s="18" t="str">
        <f t="shared" si="43"/>
        <v/>
      </c>
      <c r="F910" s="17" t="str">
        <f t="shared" si="44"/>
        <v/>
      </c>
    </row>
    <row r="911" spans="2:6" x14ac:dyDescent="0.2">
      <c r="B911" s="12"/>
      <c r="C911" s="12"/>
      <c r="D911" s="17" t="str">
        <f t="shared" si="42"/>
        <v/>
      </c>
      <c r="E911" s="18" t="str">
        <f t="shared" si="43"/>
        <v/>
      </c>
      <c r="F911" s="17" t="str">
        <f t="shared" si="44"/>
        <v/>
      </c>
    </row>
    <row r="912" spans="2:6" x14ac:dyDescent="0.2">
      <c r="B912" s="12"/>
      <c r="C912" s="12"/>
      <c r="D912" s="17" t="str">
        <f t="shared" si="42"/>
        <v/>
      </c>
      <c r="E912" s="18" t="str">
        <f t="shared" si="43"/>
        <v/>
      </c>
      <c r="F912" s="17" t="str">
        <f t="shared" si="44"/>
        <v/>
      </c>
    </row>
    <row r="913" spans="2:6" x14ac:dyDescent="0.2">
      <c r="B913" s="12"/>
      <c r="C913" s="12"/>
      <c r="D913" s="17" t="str">
        <f t="shared" si="42"/>
        <v/>
      </c>
      <c r="E913" s="18" t="str">
        <f t="shared" si="43"/>
        <v/>
      </c>
      <c r="F913" s="17" t="str">
        <f t="shared" si="44"/>
        <v/>
      </c>
    </row>
    <row r="914" spans="2:6" x14ac:dyDescent="0.2">
      <c r="B914" s="12"/>
      <c r="C914" s="12"/>
      <c r="D914" s="17" t="str">
        <f t="shared" ref="D914:D977" si="45">IF(B914="","",a+b*B914)</f>
        <v/>
      </c>
      <c r="E914" s="18" t="str">
        <f t="shared" si="43"/>
        <v/>
      </c>
      <c r="F914" s="17" t="str">
        <f t="shared" si="44"/>
        <v/>
      </c>
    </row>
    <row r="915" spans="2:6" x14ac:dyDescent="0.2">
      <c r="B915" s="12"/>
      <c r="C915" s="12"/>
      <c r="D915" s="17" t="str">
        <f t="shared" si="45"/>
        <v/>
      </c>
      <c r="E915" s="18" t="str">
        <f t="shared" si="43"/>
        <v/>
      </c>
      <c r="F915" s="17" t="str">
        <f t="shared" si="44"/>
        <v/>
      </c>
    </row>
    <row r="916" spans="2:6" x14ac:dyDescent="0.2">
      <c r="B916" s="12"/>
      <c r="C916" s="12"/>
      <c r="D916" s="17" t="str">
        <f t="shared" si="45"/>
        <v/>
      </c>
      <c r="E916" s="18" t="str">
        <f t="shared" si="43"/>
        <v/>
      </c>
      <c r="F916" s="17" t="str">
        <f t="shared" si="44"/>
        <v/>
      </c>
    </row>
    <row r="917" spans="2:6" x14ac:dyDescent="0.2">
      <c r="B917" s="12"/>
      <c r="C917" s="12"/>
      <c r="D917" s="17" t="str">
        <f t="shared" si="45"/>
        <v/>
      </c>
      <c r="E917" s="18" t="str">
        <f t="shared" si="43"/>
        <v/>
      </c>
      <c r="F917" s="17" t="str">
        <f t="shared" si="44"/>
        <v/>
      </c>
    </row>
    <row r="918" spans="2:6" x14ac:dyDescent="0.2">
      <c r="B918" s="12"/>
      <c r="C918" s="12"/>
      <c r="D918" s="17" t="str">
        <f t="shared" si="45"/>
        <v/>
      </c>
      <c r="E918" s="18" t="str">
        <f t="shared" si="43"/>
        <v/>
      </c>
      <c r="F918" s="17" t="str">
        <f t="shared" si="44"/>
        <v/>
      </c>
    </row>
    <row r="919" spans="2:6" x14ac:dyDescent="0.2">
      <c r="B919" s="12"/>
      <c r="C919" s="12"/>
      <c r="D919" s="17" t="str">
        <f t="shared" si="45"/>
        <v/>
      </c>
      <c r="E919" s="18" t="str">
        <f t="shared" si="43"/>
        <v/>
      </c>
      <c r="F919" s="17" t="str">
        <f t="shared" si="44"/>
        <v/>
      </c>
    </row>
    <row r="920" spans="2:6" x14ac:dyDescent="0.2">
      <c r="B920" s="12"/>
      <c r="C920" s="12"/>
      <c r="D920" s="17" t="str">
        <f t="shared" si="45"/>
        <v/>
      </c>
      <c r="E920" s="18" t="str">
        <f t="shared" si="43"/>
        <v/>
      </c>
      <c r="F920" s="17" t="str">
        <f t="shared" si="44"/>
        <v/>
      </c>
    </row>
    <row r="921" spans="2:6" x14ac:dyDescent="0.2">
      <c r="B921" s="12"/>
      <c r="C921" s="12"/>
      <c r="D921" s="17" t="str">
        <f t="shared" si="45"/>
        <v/>
      </c>
      <c r="E921" s="18" t="str">
        <f t="shared" si="43"/>
        <v/>
      </c>
      <c r="F921" s="17" t="str">
        <f t="shared" si="44"/>
        <v/>
      </c>
    </row>
    <row r="922" spans="2:6" x14ac:dyDescent="0.2">
      <c r="B922" s="12"/>
      <c r="C922" s="12"/>
      <c r="D922" s="17" t="str">
        <f t="shared" si="45"/>
        <v/>
      </c>
      <c r="E922" s="18" t="str">
        <f t="shared" si="43"/>
        <v/>
      </c>
      <c r="F922" s="17" t="str">
        <f t="shared" si="44"/>
        <v/>
      </c>
    </row>
    <row r="923" spans="2:6" x14ac:dyDescent="0.2">
      <c r="B923" s="12"/>
      <c r="C923" s="12"/>
      <c r="D923" s="17" t="str">
        <f t="shared" si="45"/>
        <v/>
      </c>
      <c r="E923" s="18" t="str">
        <f t="shared" si="43"/>
        <v/>
      </c>
      <c r="F923" s="17" t="str">
        <f t="shared" si="44"/>
        <v/>
      </c>
    </row>
    <row r="924" spans="2:6" x14ac:dyDescent="0.2">
      <c r="B924" s="12"/>
      <c r="C924" s="12"/>
      <c r="D924" s="17" t="str">
        <f t="shared" si="45"/>
        <v/>
      </c>
      <c r="E924" s="18" t="str">
        <f t="shared" si="43"/>
        <v/>
      </c>
      <c r="F924" s="17" t="str">
        <f t="shared" si="44"/>
        <v/>
      </c>
    </row>
    <row r="925" spans="2:6" x14ac:dyDescent="0.2">
      <c r="B925" s="12"/>
      <c r="C925" s="12"/>
      <c r="D925" s="17" t="str">
        <f t="shared" si="45"/>
        <v/>
      </c>
      <c r="E925" s="18" t="str">
        <f t="shared" si="43"/>
        <v/>
      </c>
      <c r="F925" s="17" t="str">
        <f t="shared" si="44"/>
        <v/>
      </c>
    </row>
    <row r="926" spans="2:6" x14ac:dyDescent="0.2">
      <c r="B926" s="12"/>
      <c r="C926" s="12"/>
      <c r="D926" s="17" t="str">
        <f t="shared" si="45"/>
        <v/>
      </c>
      <c r="E926" s="18" t="str">
        <f t="shared" si="43"/>
        <v/>
      </c>
      <c r="F926" s="17" t="str">
        <f t="shared" si="44"/>
        <v/>
      </c>
    </row>
    <row r="927" spans="2:6" x14ac:dyDescent="0.2">
      <c r="B927" s="12"/>
      <c r="C927" s="12"/>
      <c r="D927" s="17" t="str">
        <f t="shared" si="45"/>
        <v/>
      </c>
      <c r="E927" s="18" t="str">
        <f t="shared" si="43"/>
        <v/>
      </c>
      <c r="F927" s="17" t="str">
        <f t="shared" si="44"/>
        <v/>
      </c>
    </row>
    <row r="928" spans="2:6" x14ac:dyDescent="0.2">
      <c r="B928" s="12"/>
      <c r="C928" s="12"/>
      <c r="D928" s="17" t="str">
        <f t="shared" si="45"/>
        <v/>
      </c>
      <c r="E928" s="18" t="str">
        <f t="shared" si="43"/>
        <v/>
      </c>
      <c r="F928" s="17" t="str">
        <f t="shared" si="44"/>
        <v/>
      </c>
    </row>
    <row r="929" spans="2:6" x14ac:dyDescent="0.2">
      <c r="B929" s="12"/>
      <c r="C929" s="12"/>
      <c r="D929" s="17" t="str">
        <f t="shared" si="45"/>
        <v/>
      </c>
      <c r="E929" s="18" t="str">
        <f t="shared" si="43"/>
        <v/>
      </c>
      <c r="F929" s="17" t="str">
        <f t="shared" si="44"/>
        <v/>
      </c>
    </row>
    <row r="930" spans="2:6" x14ac:dyDescent="0.2">
      <c r="B930" s="12"/>
      <c r="C930" s="12"/>
      <c r="D930" s="17" t="str">
        <f t="shared" si="45"/>
        <v/>
      </c>
      <c r="E930" s="18" t="str">
        <f t="shared" si="43"/>
        <v/>
      </c>
      <c r="F930" s="17" t="str">
        <f t="shared" si="44"/>
        <v/>
      </c>
    </row>
    <row r="931" spans="2:6" x14ac:dyDescent="0.2">
      <c r="B931" s="12"/>
      <c r="C931" s="12"/>
      <c r="D931" s="17" t="str">
        <f t="shared" si="45"/>
        <v/>
      </c>
      <c r="E931" s="18" t="str">
        <f t="shared" si="43"/>
        <v/>
      </c>
      <c r="F931" s="17" t="str">
        <f t="shared" si="44"/>
        <v/>
      </c>
    </row>
    <row r="932" spans="2:6" x14ac:dyDescent="0.2">
      <c r="B932" s="12"/>
      <c r="C932" s="12"/>
      <c r="D932" s="17" t="str">
        <f t="shared" si="45"/>
        <v/>
      </c>
      <c r="E932" s="18" t="str">
        <f t="shared" si="43"/>
        <v/>
      </c>
      <c r="F932" s="17" t="str">
        <f t="shared" si="44"/>
        <v/>
      </c>
    </row>
    <row r="933" spans="2:6" x14ac:dyDescent="0.2">
      <c r="B933" s="12"/>
      <c r="C933" s="12"/>
      <c r="D933" s="17" t="str">
        <f t="shared" si="45"/>
        <v/>
      </c>
      <c r="E933" s="18" t="str">
        <f t="shared" si="43"/>
        <v/>
      </c>
      <c r="F933" s="17" t="str">
        <f t="shared" si="44"/>
        <v/>
      </c>
    </row>
    <row r="934" spans="2:6" x14ac:dyDescent="0.2">
      <c r="B934" s="12"/>
      <c r="C934" s="12"/>
      <c r="D934" s="17" t="str">
        <f t="shared" si="45"/>
        <v/>
      </c>
      <c r="E934" s="18" t="str">
        <f t="shared" si="43"/>
        <v/>
      </c>
      <c r="F934" s="17" t="str">
        <f t="shared" si="44"/>
        <v/>
      </c>
    </row>
    <row r="935" spans="2:6" x14ac:dyDescent="0.2">
      <c r="B935" s="12"/>
      <c r="C935" s="12"/>
      <c r="D935" s="17" t="str">
        <f t="shared" si="45"/>
        <v/>
      </c>
      <c r="E935" s="18" t="str">
        <f t="shared" si="43"/>
        <v/>
      </c>
      <c r="F935" s="17" t="str">
        <f t="shared" si="44"/>
        <v/>
      </c>
    </row>
    <row r="936" spans="2:6" x14ac:dyDescent="0.2">
      <c r="B936" s="12"/>
      <c r="C936" s="12"/>
      <c r="D936" s="17" t="str">
        <f t="shared" si="45"/>
        <v/>
      </c>
      <c r="E936" s="18" t="str">
        <f t="shared" si="43"/>
        <v/>
      </c>
      <c r="F936" s="17" t="str">
        <f t="shared" si="44"/>
        <v/>
      </c>
    </row>
    <row r="937" spans="2:6" x14ac:dyDescent="0.2">
      <c r="B937" s="12"/>
      <c r="C937" s="12"/>
      <c r="D937" s="17" t="str">
        <f t="shared" si="45"/>
        <v/>
      </c>
      <c r="E937" s="18" t="str">
        <f t="shared" si="43"/>
        <v/>
      </c>
      <c r="F937" s="17" t="str">
        <f t="shared" si="44"/>
        <v/>
      </c>
    </row>
    <row r="938" spans="2:6" x14ac:dyDescent="0.2">
      <c r="B938" s="12"/>
      <c r="C938" s="12"/>
      <c r="D938" s="17" t="str">
        <f t="shared" si="45"/>
        <v/>
      </c>
      <c r="E938" s="18" t="str">
        <f t="shared" si="43"/>
        <v/>
      </c>
      <c r="F938" s="17" t="str">
        <f t="shared" si="44"/>
        <v/>
      </c>
    </row>
    <row r="939" spans="2:6" x14ac:dyDescent="0.2">
      <c r="B939" s="12"/>
      <c r="C939" s="12"/>
      <c r="D939" s="17" t="str">
        <f t="shared" si="45"/>
        <v/>
      </c>
      <c r="E939" s="18" t="str">
        <f t="shared" si="43"/>
        <v/>
      </c>
      <c r="F939" s="17" t="str">
        <f t="shared" si="44"/>
        <v/>
      </c>
    </row>
    <row r="940" spans="2:6" x14ac:dyDescent="0.2">
      <c r="B940" s="12"/>
      <c r="C940" s="12"/>
      <c r="D940" s="17" t="str">
        <f t="shared" si="45"/>
        <v/>
      </c>
      <c r="E940" s="18" t="str">
        <f t="shared" si="43"/>
        <v/>
      </c>
      <c r="F940" s="17" t="str">
        <f t="shared" si="44"/>
        <v/>
      </c>
    </row>
    <row r="941" spans="2:6" x14ac:dyDescent="0.2">
      <c r="B941" s="12"/>
      <c r="C941" s="12"/>
      <c r="D941" s="17" t="str">
        <f t="shared" si="45"/>
        <v/>
      </c>
      <c r="E941" s="18" t="str">
        <f t="shared" si="43"/>
        <v/>
      </c>
      <c r="F941" s="17" t="str">
        <f t="shared" si="44"/>
        <v/>
      </c>
    </row>
    <row r="942" spans="2:6" x14ac:dyDescent="0.2">
      <c r="B942" s="12"/>
      <c r="C942" s="12"/>
      <c r="D942" s="17" t="str">
        <f t="shared" si="45"/>
        <v/>
      </c>
      <c r="E942" s="18" t="str">
        <f t="shared" si="43"/>
        <v/>
      </c>
      <c r="F942" s="17" t="str">
        <f t="shared" si="44"/>
        <v/>
      </c>
    </row>
    <row r="943" spans="2:6" x14ac:dyDescent="0.2">
      <c r="B943" s="12"/>
      <c r="C943" s="12"/>
      <c r="D943" s="17" t="str">
        <f t="shared" si="45"/>
        <v/>
      </c>
      <c r="E943" s="18" t="str">
        <f t="shared" si="43"/>
        <v/>
      </c>
      <c r="F943" s="17" t="str">
        <f t="shared" si="44"/>
        <v/>
      </c>
    </row>
    <row r="944" spans="2:6" x14ac:dyDescent="0.2">
      <c r="B944" s="12"/>
      <c r="C944" s="12"/>
      <c r="D944" s="17" t="str">
        <f t="shared" si="45"/>
        <v/>
      </c>
      <c r="E944" s="18" t="str">
        <f t="shared" si="43"/>
        <v/>
      </c>
      <c r="F944" s="17" t="str">
        <f t="shared" si="44"/>
        <v/>
      </c>
    </row>
    <row r="945" spans="2:6" x14ac:dyDescent="0.2">
      <c r="B945" s="12"/>
      <c r="C945" s="12"/>
      <c r="D945" s="17" t="str">
        <f t="shared" si="45"/>
        <v/>
      </c>
      <c r="E945" s="18" t="str">
        <f t="shared" si="43"/>
        <v/>
      </c>
      <c r="F945" s="17" t="str">
        <f t="shared" si="44"/>
        <v/>
      </c>
    </row>
    <row r="946" spans="2:6" x14ac:dyDescent="0.2">
      <c r="B946" s="12"/>
      <c r="C946" s="12"/>
      <c r="D946" s="17" t="str">
        <f t="shared" si="45"/>
        <v/>
      </c>
      <c r="E946" s="18" t="str">
        <f t="shared" si="43"/>
        <v/>
      </c>
      <c r="F946" s="17" t="str">
        <f t="shared" si="44"/>
        <v/>
      </c>
    </row>
    <row r="947" spans="2:6" x14ac:dyDescent="0.2">
      <c r="B947" s="12"/>
      <c r="C947" s="12"/>
      <c r="D947" s="17" t="str">
        <f t="shared" si="45"/>
        <v/>
      </c>
      <c r="E947" s="18" t="str">
        <f t="shared" si="43"/>
        <v/>
      </c>
      <c r="F947" s="17" t="str">
        <f t="shared" si="44"/>
        <v/>
      </c>
    </row>
    <row r="948" spans="2:6" x14ac:dyDescent="0.2">
      <c r="B948" s="12"/>
      <c r="C948" s="12"/>
      <c r="D948" s="17" t="str">
        <f t="shared" si="45"/>
        <v/>
      </c>
      <c r="E948" s="18" t="str">
        <f t="shared" si="43"/>
        <v/>
      </c>
      <c r="F948" s="17" t="str">
        <f t="shared" si="44"/>
        <v/>
      </c>
    </row>
    <row r="949" spans="2:6" x14ac:dyDescent="0.2">
      <c r="B949" s="12"/>
      <c r="C949" s="12"/>
      <c r="D949" s="17" t="str">
        <f t="shared" si="45"/>
        <v/>
      </c>
      <c r="E949" s="18" t="str">
        <f t="shared" si="43"/>
        <v/>
      </c>
      <c r="F949" s="17" t="str">
        <f t="shared" si="44"/>
        <v/>
      </c>
    </row>
    <row r="950" spans="2:6" x14ac:dyDescent="0.2">
      <c r="B950" s="12"/>
      <c r="C950" s="12"/>
      <c r="D950" s="17" t="str">
        <f t="shared" si="45"/>
        <v/>
      </c>
      <c r="E950" s="18" t="str">
        <f t="shared" si="43"/>
        <v/>
      </c>
      <c r="F950" s="17" t="str">
        <f t="shared" si="44"/>
        <v/>
      </c>
    </row>
    <row r="951" spans="2:6" x14ac:dyDescent="0.2">
      <c r="B951" s="12"/>
      <c r="C951" s="12"/>
      <c r="D951" s="17" t="str">
        <f t="shared" si="45"/>
        <v/>
      </c>
      <c r="E951" s="18" t="str">
        <f t="shared" si="43"/>
        <v/>
      </c>
      <c r="F951" s="17" t="str">
        <f t="shared" si="44"/>
        <v/>
      </c>
    </row>
    <row r="952" spans="2:6" x14ac:dyDescent="0.2">
      <c r="B952" s="12"/>
      <c r="C952" s="12"/>
      <c r="D952" s="17" t="str">
        <f t="shared" si="45"/>
        <v/>
      </c>
      <c r="E952" s="18" t="str">
        <f t="shared" si="43"/>
        <v/>
      </c>
      <c r="F952" s="17" t="str">
        <f t="shared" si="44"/>
        <v/>
      </c>
    </row>
    <row r="953" spans="2:6" x14ac:dyDescent="0.2">
      <c r="B953" s="12"/>
      <c r="C953" s="12"/>
      <c r="D953" s="17" t="str">
        <f t="shared" si="45"/>
        <v/>
      </c>
      <c r="E953" s="18" t="str">
        <f t="shared" si="43"/>
        <v/>
      </c>
      <c r="F953" s="17" t="str">
        <f t="shared" si="44"/>
        <v/>
      </c>
    </row>
    <row r="954" spans="2:6" x14ac:dyDescent="0.2">
      <c r="B954" s="12"/>
      <c r="C954" s="12"/>
      <c r="D954" s="17" t="str">
        <f t="shared" si="45"/>
        <v/>
      </c>
      <c r="E954" s="18" t="str">
        <f t="shared" si="43"/>
        <v/>
      </c>
      <c r="F954" s="17" t="str">
        <f t="shared" si="44"/>
        <v/>
      </c>
    </row>
    <row r="955" spans="2:6" x14ac:dyDescent="0.2">
      <c r="B955" s="12"/>
      <c r="C955" s="12"/>
      <c r="D955" s="17" t="str">
        <f t="shared" si="45"/>
        <v/>
      </c>
      <c r="E955" s="18" t="str">
        <f t="shared" si="43"/>
        <v/>
      </c>
      <c r="F955" s="17" t="str">
        <f t="shared" si="44"/>
        <v/>
      </c>
    </row>
    <row r="956" spans="2:6" x14ac:dyDescent="0.2">
      <c r="B956" s="12"/>
      <c r="C956" s="12"/>
      <c r="D956" s="17" t="str">
        <f t="shared" si="45"/>
        <v/>
      </c>
      <c r="E956" s="18" t="str">
        <f t="shared" si="43"/>
        <v/>
      </c>
      <c r="F956" s="17" t="str">
        <f t="shared" si="44"/>
        <v/>
      </c>
    </row>
    <row r="957" spans="2:6" x14ac:dyDescent="0.2">
      <c r="B957" s="12"/>
      <c r="C957" s="12"/>
      <c r="D957" s="17" t="str">
        <f t="shared" si="45"/>
        <v/>
      </c>
      <c r="E957" s="18" t="str">
        <f t="shared" si="43"/>
        <v/>
      </c>
      <c r="F957" s="17" t="str">
        <f t="shared" si="44"/>
        <v/>
      </c>
    </row>
    <row r="958" spans="2:6" x14ac:dyDescent="0.2">
      <c r="B958" s="12"/>
      <c r="C958" s="12"/>
      <c r="D958" s="17" t="str">
        <f t="shared" si="45"/>
        <v/>
      </c>
      <c r="E958" s="18" t="str">
        <f t="shared" si="43"/>
        <v/>
      </c>
      <c r="F958" s="17" t="str">
        <f t="shared" si="44"/>
        <v/>
      </c>
    </row>
    <row r="959" spans="2:6" x14ac:dyDescent="0.2">
      <c r="B959" s="12"/>
      <c r="C959" s="12"/>
      <c r="D959" s="17" t="str">
        <f t="shared" si="45"/>
        <v/>
      </c>
      <c r="E959" s="18" t="str">
        <f t="shared" si="43"/>
        <v/>
      </c>
      <c r="F959" s="17" t="str">
        <f t="shared" si="44"/>
        <v/>
      </c>
    </row>
    <row r="960" spans="2:6" x14ac:dyDescent="0.2">
      <c r="B960" s="12"/>
      <c r="C960" s="12"/>
      <c r="D960" s="17" t="str">
        <f t="shared" si="45"/>
        <v/>
      </c>
      <c r="E960" s="18" t="str">
        <f t="shared" si="43"/>
        <v/>
      </c>
      <c r="F960" s="17" t="str">
        <f t="shared" si="44"/>
        <v/>
      </c>
    </row>
    <row r="961" spans="2:6" x14ac:dyDescent="0.2">
      <c r="B961" s="12"/>
      <c r="C961" s="12"/>
      <c r="D961" s="17" t="str">
        <f t="shared" si="45"/>
        <v/>
      </c>
      <c r="E961" s="18" t="str">
        <f t="shared" si="43"/>
        <v/>
      </c>
      <c r="F961" s="17" t="str">
        <f t="shared" si="44"/>
        <v/>
      </c>
    </row>
    <row r="962" spans="2:6" x14ac:dyDescent="0.2">
      <c r="B962" s="12"/>
      <c r="C962" s="12"/>
      <c r="D962" s="17" t="str">
        <f t="shared" si="45"/>
        <v/>
      </c>
      <c r="E962" s="18" t="str">
        <f t="shared" si="43"/>
        <v/>
      </c>
      <c r="F962" s="17" t="str">
        <f t="shared" si="44"/>
        <v/>
      </c>
    </row>
    <row r="963" spans="2:6" x14ac:dyDescent="0.2">
      <c r="B963" s="12"/>
      <c r="C963" s="12"/>
      <c r="D963" s="17" t="str">
        <f t="shared" si="45"/>
        <v/>
      </c>
      <c r="E963" s="18" t="str">
        <f t="shared" si="43"/>
        <v/>
      </c>
      <c r="F963" s="17" t="str">
        <f t="shared" si="44"/>
        <v/>
      </c>
    </row>
    <row r="964" spans="2:6" x14ac:dyDescent="0.2">
      <c r="B964" s="12"/>
      <c r="C964" s="12"/>
      <c r="D964" s="17" t="str">
        <f t="shared" si="45"/>
        <v/>
      </c>
      <c r="E964" s="18" t="str">
        <f t="shared" si="43"/>
        <v/>
      </c>
      <c r="F964" s="17" t="str">
        <f t="shared" si="44"/>
        <v/>
      </c>
    </row>
    <row r="965" spans="2:6" x14ac:dyDescent="0.2">
      <c r="B965" s="12"/>
      <c r="C965" s="12"/>
      <c r="D965" s="17" t="str">
        <f t="shared" si="45"/>
        <v/>
      </c>
      <c r="E965" s="18" t="str">
        <f t="shared" ref="E965:E1028" si="46">IF(B965="","",ABS(C965-D965))</f>
        <v/>
      </c>
      <c r="F965" s="17" t="str">
        <f t="shared" ref="F965:F1028" si="47">IF(B965="","",E965^2)</f>
        <v/>
      </c>
    </row>
    <row r="966" spans="2:6" x14ac:dyDescent="0.2">
      <c r="B966" s="12"/>
      <c r="C966" s="12"/>
      <c r="D966" s="17" t="str">
        <f t="shared" si="45"/>
        <v/>
      </c>
      <c r="E966" s="18" t="str">
        <f t="shared" si="46"/>
        <v/>
      </c>
      <c r="F966" s="17" t="str">
        <f t="shared" si="47"/>
        <v/>
      </c>
    </row>
    <row r="967" spans="2:6" x14ac:dyDescent="0.2">
      <c r="B967" s="12"/>
      <c r="C967" s="12"/>
      <c r="D967" s="17" t="str">
        <f t="shared" si="45"/>
        <v/>
      </c>
      <c r="E967" s="18" t="str">
        <f t="shared" si="46"/>
        <v/>
      </c>
      <c r="F967" s="17" t="str">
        <f t="shared" si="47"/>
        <v/>
      </c>
    </row>
    <row r="968" spans="2:6" x14ac:dyDescent="0.2">
      <c r="B968" s="12"/>
      <c r="C968" s="12"/>
      <c r="D968" s="17" t="str">
        <f t="shared" si="45"/>
        <v/>
      </c>
      <c r="E968" s="18" t="str">
        <f t="shared" si="46"/>
        <v/>
      </c>
      <c r="F968" s="17" t="str">
        <f t="shared" si="47"/>
        <v/>
      </c>
    </row>
    <row r="969" spans="2:6" x14ac:dyDescent="0.2">
      <c r="B969" s="12"/>
      <c r="C969" s="12"/>
      <c r="D969" s="17" t="str">
        <f t="shared" si="45"/>
        <v/>
      </c>
      <c r="E969" s="18" t="str">
        <f t="shared" si="46"/>
        <v/>
      </c>
      <c r="F969" s="17" t="str">
        <f t="shared" si="47"/>
        <v/>
      </c>
    </row>
    <row r="970" spans="2:6" x14ac:dyDescent="0.2">
      <c r="B970" s="12"/>
      <c r="C970" s="12"/>
      <c r="D970" s="17" t="str">
        <f t="shared" si="45"/>
        <v/>
      </c>
      <c r="E970" s="18" t="str">
        <f t="shared" si="46"/>
        <v/>
      </c>
      <c r="F970" s="17" t="str">
        <f t="shared" si="47"/>
        <v/>
      </c>
    </row>
    <row r="971" spans="2:6" x14ac:dyDescent="0.2">
      <c r="B971" s="12"/>
      <c r="C971" s="12"/>
      <c r="D971" s="17" t="str">
        <f t="shared" si="45"/>
        <v/>
      </c>
      <c r="E971" s="18" t="str">
        <f t="shared" si="46"/>
        <v/>
      </c>
      <c r="F971" s="17" t="str">
        <f t="shared" si="47"/>
        <v/>
      </c>
    </row>
    <row r="972" spans="2:6" x14ac:dyDescent="0.2">
      <c r="B972" s="12"/>
      <c r="C972" s="12"/>
      <c r="D972" s="17" t="str">
        <f t="shared" si="45"/>
        <v/>
      </c>
      <c r="E972" s="18" t="str">
        <f t="shared" si="46"/>
        <v/>
      </c>
      <c r="F972" s="17" t="str">
        <f t="shared" si="47"/>
        <v/>
      </c>
    </row>
    <row r="973" spans="2:6" x14ac:dyDescent="0.2">
      <c r="B973" s="12"/>
      <c r="C973" s="12"/>
      <c r="D973" s="17" t="str">
        <f t="shared" si="45"/>
        <v/>
      </c>
      <c r="E973" s="18" t="str">
        <f t="shared" si="46"/>
        <v/>
      </c>
      <c r="F973" s="17" t="str">
        <f t="shared" si="47"/>
        <v/>
      </c>
    </row>
    <row r="974" spans="2:6" x14ac:dyDescent="0.2">
      <c r="B974" s="12"/>
      <c r="C974" s="12"/>
      <c r="D974" s="17" t="str">
        <f t="shared" si="45"/>
        <v/>
      </c>
      <c r="E974" s="18" t="str">
        <f t="shared" si="46"/>
        <v/>
      </c>
      <c r="F974" s="17" t="str">
        <f t="shared" si="47"/>
        <v/>
      </c>
    </row>
    <row r="975" spans="2:6" x14ac:dyDescent="0.2">
      <c r="B975" s="12"/>
      <c r="C975" s="12"/>
      <c r="D975" s="17" t="str">
        <f t="shared" si="45"/>
        <v/>
      </c>
      <c r="E975" s="18" t="str">
        <f t="shared" si="46"/>
        <v/>
      </c>
      <c r="F975" s="17" t="str">
        <f t="shared" si="47"/>
        <v/>
      </c>
    </row>
    <row r="976" spans="2:6" x14ac:dyDescent="0.2">
      <c r="B976" s="12"/>
      <c r="C976" s="12"/>
      <c r="D976" s="17" t="str">
        <f t="shared" si="45"/>
        <v/>
      </c>
      <c r="E976" s="18" t="str">
        <f t="shared" si="46"/>
        <v/>
      </c>
      <c r="F976" s="17" t="str">
        <f t="shared" si="47"/>
        <v/>
      </c>
    </row>
    <row r="977" spans="2:6" x14ac:dyDescent="0.2">
      <c r="B977" s="12"/>
      <c r="C977" s="12"/>
      <c r="D977" s="17" t="str">
        <f t="shared" si="45"/>
        <v/>
      </c>
      <c r="E977" s="18" t="str">
        <f t="shared" si="46"/>
        <v/>
      </c>
      <c r="F977" s="17" t="str">
        <f t="shared" si="47"/>
        <v/>
      </c>
    </row>
    <row r="978" spans="2:6" x14ac:dyDescent="0.2">
      <c r="B978" s="12"/>
      <c r="C978" s="12"/>
      <c r="D978" s="17" t="str">
        <f t="shared" ref="D978:D1041" si="48">IF(B978="","",a+b*B978)</f>
        <v/>
      </c>
      <c r="E978" s="18" t="str">
        <f t="shared" si="46"/>
        <v/>
      </c>
      <c r="F978" s="17" t="str">
        <f t="shared" si="47"/>
        <v/>
      </c>
    </row>
    <row r="979" spans="2:6" x14ac:dyDescent="0.2">
      <c r="B979" s="12"/>
      <c r="C979" s="12"/>
      <c r="D979" s="17" t="str">
        <f t="shared" si="48"/>
        <v/>
      </c>
      <c r="E979" s="18" t="str">
        <f t="shared" si="46"/>
        <v/>
      </c>
      <c r="F979" s="17" t="str">
        <f t="shared" si="47"/>
        <v/>
      </c>
    </row>
    <row r="980" spans="2:6" x14ac:dyDescent="0.2">
      <c r="B980" s="12"/>
      <c r="C980" s="12"/>
      <c r="D980" s="17" t="str">
        <f t="shared" si="48"/>
        <v/>
      </c>
      <c r="E980" s="18" t="str">
        <f t="shared" si="46"/>
        <v/>
      </c>
      <c r="F980" s="17" t="str">
        <f t="shared" si="47"/>
        <v/>
      </c>
    </row>
    <row r="981" spans="2:6" x14ac:dyDescent="0.2">
      <c r="B981" s="12"/>
      <c r="C981" s="12"/>
      <c r="D981" s="17" t="str">
        <f t="shared" si="48"/>
        <v/>
      </c>
      <c r="E981" s="18" t="str">
        <f t="shared" si="46"/>
        <v/>
      </c>
      <c r="F981" s="17" t="str">
        <f t="shared" si="47"/>
        <v/>
      </c>
    </row>
    <row r="982" spans="2:6" x14ac:dyDescent="0.2">
      <c r="B982" s="12"/>
      <c r="C982" s="12"/>
      <c r="D982" s="17" t="str">
        <f t="shared" si="48"/>
        <v/>
      </c>
      <c r="E982" s="18" t="str">
        <f t="shared" si="46"/>
        <v/>
      </c>
      <c r="F982" s="17" t="str">
        <f t="shared" si="47"/>
        <v/>
      </c>
    </row>
    <row r="983" spans="2:6" x14ac:dyDescent="0.2">
      <c r="B983" s="12"/>
      <c r="C983" s="12"/>
      <c r="D983" s="17" t="str">
        <f t="shared" si="48"/>
        <v/>
      </c>
      <c r="E983" s="18" t="str">
        <f t="shared" si="46"/>
        <v/>
      </c>
      <c r="F983" s="17" t="str">
        <f t="shared" si="47"/>
        <v/>
      </c>
    </row>
    <row r="984" spans="2:6" x14ac:dyDescent="0.2">
      <c r="B984" s="12"/>
      <c r="C984" s="12"/>
      <c r="D984" s="17" t="str">
        <f t="shared" si="48"/>
        <v/>
      </c>
      <c r="E984" s="18" t="str">
        <f t="shared" si="46"/>
        <v/>
      </c>
      <c r="F984" s="17" t="str">
        <f t="shared" si="47"/>
        <v/>
      </c>
    </row>
    <row r="985" spans="2:6" x14ac:dyDescent="0.2">
      <c r="B985" s="12"/>
      <c r="C985" s="12"/>
      <c r="D985" s="17" t="str">
        <f t="shared" si="48"/>
        <v/>
      </c>
      <c r="E985" s="18" t="str">
        <f t="shared" si="46"/>
        <v/>
      </c>
      <c r="F985" s="17" t="str">
        <f t="shared" si="47"/>
        <v/>
      </c>
    </row>
    <row r="986" spans="2:6" x14ac:dyDescent="0.2">
      <c r="B986" s="12"/>
      <c r="C986" s="12"/>
      <c r="D986" s="17" t="str">
        <f t="shared" si="48"/>
        <v/>
      </c>
      <c r="E986" s="18" t="str">
        <f t="shared" si="46"/>
        <v/>
      </c>
      <c r="F986" s="17" t="str">
        <f t="shared" si="47"/>
        <v/>
      </c>
    </row>
    <row r="987" spans="2:6" x14ac:dyDescent="0.2">
      <c r="B987" s="12"/>
      <c r="C987" s="12"/>
      <c r="D987" s="17" t="str">
        <f t="shared" si="48"/>
        <v/>
      </c>
      <c r="E987" s="18" t="str">
        <f t="shared" si="46"/>
        <v/>
      </c>
      <c r="F987" s="17" t="str">
        <f t="shared" si="47"/>
        <v/>
      </c>
    </row>
    <row r="988" spans="2:6" x14ac:dyDescent="0.2">
      <c r="B988" s="12"/>
      <c r="C988" s="12"/>
      <c r="D988" s="17" t="str">
        <f t="shared" si="48"/>
        <v/>
      </c>
      <c r="E988" s="18" t="str">
        <f t="shared" si="46"/>
        <v/>
      </c>
      <c r="F988" s="17" t="str">
        <f t="shared" si="47"/>
        <v/>
      </c>
    </row>
    <row r="989" spans="2:6" x14ac:dyDescent="0.2">
      <c r="B989" s="12"/>
      <c r="C989" s="12"/>
      <c r="D989" s="17" t="str">
        <f t="shared" si="48"/>
        <v/>
      </c>
      <c r="E989" s="18" t="str">
        <f t="shared" si="46"/>
        <v/>
      </c>
      <c r="F989" s="17" t="str">
        <f t="shared" si="47"/>
        <v/>
      </c>
    </row>
    <row r="990" spans="2:6" x14ac:dyDescent="0.2">
      <c r="B990" s="12"/>
      <c r="C990" s="12"/>
      <c r="D990" s="17" t="str">
        <f t="shared" si="48"/>
        <v/>
      </c>
      <c r="E990" s="18" t="str">
        <f t="shared" si="46"/>
        <v/>
      </c>
      <c r="F990" s="17" t="str">
        <f t="shared" si="47"/>
        <v/>
      </c>
    </row>
    <row r="991" spans="2:6" x14ac:dyDescent="0.2">
      <c r="B991" s="12"/>
      <c r="C991" s="12"/>
      <c r="D991" s="17" t="str">
        <f t="shared" si="48"/>
        <v/>
      </c>
      <c r="E991" s="18" t="str">
        <f t="shared" si="46"/>
        <v/>
      </c>
      <c r="F991" s="17" t="str">
        <f t="shared" si="47"/>
        <v/>
      </c>
    </row>
    <row r="992" spans="2:6" x14ac:dyDescent="0.2">
      <c r="B992" s="12"/>
      <c r="C992" s="12"/>
      <c r="D992" s="17" t="str">
        <f t="shared" si="48"/>
        <v/>
      </c>
      <c r="E992" s="18" t="str">
        <f t="shared" si="46"/>
        <v/>
      </c>
      <c r="F992" s="17" t="str">
        <f t="shared" si="47"/>
        <v/>
      </c>
    </row>
    <row r="993" spans="2:6" x14ac:dyDescent="0.2">
      <c r="B993" s="12"/>
      <c r="C993" s="12"/>
      <c r="D993" s="17" t="str">
        <f t="shared" si="48"/>
        <v/>
      </c>
      <c r="E993" s="18" t="str">
        <f t="shared" si="46"/>
        <v/>
      </c>
      <c r="F993" s="17" t="str">
        <f t="shared" si="47"/>
        <v/>
      </c>
    </row>
    <row r="994" spans="2:6" x14ac:dyDescent="0.2">
      <c r="B994" s="12"/>
      <c r="C994" s="12"/>
      <c r="D994" s="17" t="str">
        <f t="shared" si="48"/>
        <v/>
      </c>
      <c r="E994" s="18" t="str">
        <f t="shared" si="46"/>
        <v/>
      </c>
      <c r="F994" s="17" t="str">
        <f t="shared" si="47"/>
        <v/>
      </c>
    </row>
    <row r="995" spans="2:6" x14ac:dyDescent="0.2">
      <c r="B995" s="12"/>
      <c r="C995" s="12"/>
      <c r="D995" s="17" t="str">
        <f t="shared" si="48"/>
        <v/>
      </c>
      <c r="E995" s="18" t="str">
        <f t="shared" si="46"/>
        <v/>
      </c>
      <c r="F995" s="17" t="str">
        <f t="shared" si="47"/>
        <v/>
      </c>
    </row>
    <row r="996" spans="2:6" x14ac:dyDescent="0.2">
      <c r="B996" s="12"/>
      <c r="C996" s="12"/>
      <c r="D996" s="17" t="str">
        <f t="shared" si="48"/>
        <v/>
      </c>
      <c r="E996" s="18" t="str">
        <f t="shared" si="46"/>
        <v/>
      </c>
      <c r="F996" s="17" t="str">
        <f t="shared" si="47"/>
        <v/>
      </c>
    </row>
    <row r="997" spans="2:6" x14ac:dyDescent="0.2">
      <c r="B997" s="12"/>
      <c r="C997" s="12"/>
      <c r="D997" s="17" t="str">
        <f t="shared" si="48"/>
        <v/>
      </c>
      <c r="E997" s="18" t="str">
        <f t="shared" si="46"/>
        <v/>
      </c>
      <c r="F997" s="17" t="str">
        <f t="shared" si="47"/>
        <v/>
      </c>
    </row>
    <row r="998" spans="2:6" x14ac:dyDescent="0.2">
      <c r="B998" s="12"/>
      <c r="C998" s="12"/>
      <c r="D998" s="17" t="str">
        <f t="shared" si="48"/>
        <v/>
      </c>
      <c r="E998" s="18" t="str">
        <f t="shared" si="46"/>
        <v/>
      </c>
      <c r="F998" s="17" t="str">
        <f t="shared" si="47"/>
        <v/>
      </c>
    </row>
    <row r="999" spans="2:6" x14ac:dyDescent="0.2">
      <c r="B999" s="12"/>
      <c r="C999" s="12"/>
      <c r="D999" s="17" t="str">
        <f t="shared" si="48"/>
        <v/>
      </c>
      <c r="E999" s="18" t="str">
        <f t="shared" si="46"/>
        <v/>
      </c>
      <c r="F999" s="17" t="str">
        <f t="shared" si="47"/>
        <v/>
      </c>
    </row>
    <row r="1000" spans="2:6" x14ac:dyDescent="0.2">
      <c r="B1000" s="12"/>
      <c r="C1000" s="12"/>
      <c r="D1000" s="17" t="str">
        <f t="shared" si="48"/>
        <v/>
      </c>
      <c r="E1000" s="18" t="str">
        <f t="shared" si="46"/>
        <v/>
      </c>
      <c r="F1000" s="17" t="str">
        <f t="shared" si="47"/>
        <v/>
      </c>
    </row>
    <row r="1001" spans="2:6" x14ac:dyDescent="0.2">
      <c r="B1001" s="12"/>
      <c r="C1001" s="12"/>
      <c r="D1001" s="17" t="str">
        <f t="shared" si="48"/>
        <v/>
      </c>
      <c r="E1001" s="18" t="str">
        <f t="shared" si="46"/>
        <v/>
      </c>
      <c r="F1001" s="17" t="str">
        <f t="shared" si="47"/>
        <v/>
      </c>
    </row>
    <row r="1002" spans="2:6" x14ac:dyDescent="0.2">
      <c r="B1002" s="12"/>
      <c r="C1002" s="12"/>
      <c r="D1002" s="17" t="str">
        <f t="shared" si="48"/>
        <v/>
      </c>
      <c r="E1002" s="18" t="str">
        <f t="shared" si="46"/>
        <v/>
      </c>
      <c r="F1002" s="17" t="str">
        <f t="shared" si="47"/>
        <v/>
      </c>
    </row>
    <row r="1003" spans="2:6" x14ac:dyDescent="0.2">
      <c r="B1003" s="12"/>
      <c r="C1003" s="12"/>
      <c r="D1003" s="17" t="str">
        <f t="shared" si="48"/>
        <v/>
      </c>
      <c r="E1003" s="18" t="str">
        <f t="shared" si="46"/>
        <v/>
      </c>
      <c r="F1003" s="17" t="str">
        <f t="shared" si="47"/>
        <v/>
      </c>
    </row>
    <row r="1004" spans="2:6" x14ac:dyDescent="0.2">
      <c r="B1004" s="12"/>
      <c r="C1004" s="12"/>
      <c r="D1004" s="17" t="str">
        <f t="shared" si="48"/>
        <v/>
      </c>
      <c r="E1004" s="18" t="str">
        <f t="shared" si="46"/>
        <v/>
      </c>
      <c r="F1004" s="17" t="str">
        <f t="shared" si="47"/>
        <v/>
      </c>
    </row>
    <row r="1005" spans="2:6" x14ac:dyDescent="0.2">
      <c r="B1005" s="12"/>
      <c r="C1005" s="12"/>
      <c r="D1005" s="17" t="str">
        <f t="shared" si="48"/>
        <v/>
      </c>
      <c r="E1005" s="18" t="str">
        <f t="shared" si="46"/>
        <v/>
      </c>
      <c r="F1005" s="17" t="str">
        <f t="shared" si="47"/>
        <v/>
      </c>
    </row>
    <row r="1006" spans="2:6" x14ac:dyDescent="0.2">
      <c r="B1006" s="12"/>
      <c r="C1006" s="12"/>
      <c r="D1006" s="17" t="str">
        <f t="shared" si="48"/>
        <v/>
      </c>
      <c r="E1006" s="18" t="str">
        <f t="shared" si="46"/>
        <v/>
      </c>
      <c r="F1006" s="17" t="str">
        <f t="shared" si="47"/>
        <v/>
      </c>
    </row>
    <row r="1007" spans="2:6" x14ac:dyDescent="0.2">
      <c r="B1007" s="12"/>
      <c r="C1007" s="12"/>
      <c r="D1007" s="17" t="str">
        <f t="shared" si="48"/>
        <v/>
      </c>
      <c r="E1007" s="18" t="str">
        <f t="shared" si="46"/>
        <v/>
      </c>
      <c r="F1007" s="17" t="str">
        <f t="shared" si="47"/>
        <v/>
      </c>
    </row>
    <row r="1008" spans="2:6" x14ac:dyDescent="0.2">
      <c r="B1008" s="12"/>
      <c r="C1008" s="12"/>
      <c r="D1008" s="17" t="str">
        <f t="shared" si="48"/>
        <v/>
      </c>
      <c r="E1008" s="18" t="str">
        <f t="shared" si="46"/>
        <v/>
      </c>
      <c r="F1008" s="17" t="str">
        <f t="shared" si="47"/>
        <v/>
      </c>
    </row>
    <row r="1009" spans="2:6" x14ac:dyDescent="0.2">
      <c r="B1009" s="12"/>
      <c r="C1009" s="12"/>
      <c r="D1009" s="17" t="str">
        <f t="shared" si="48"/>
        <v/>
      </c>
      <c r="E1009" s="18" t="str">
        <f t="shared" si="46"/>
        <v/>
      </c>
      <c r="F1009" s="17" t="str">
        <f t="shared" si="47"/>
        <v/>
      </c>
    </row>
    <row r="1010" spans="2:6" x14ac:dyDescent="0.2">
      <c r="B1010" s="12"/>
      <c r="C1010" s="12"/>
      <c r="D1010" s="17" t="str">
        <f t="shared" si="48"/>
        <v/>
      </c>
      <c r="E1010" s="18" t="str">
        <f t="shared" si="46"/>
        <v/>
      </c>
      <c r="F1010" s="17" t="str">
        <f t="shared" si="47"/>
        <v/>
      </c>
    </row>
    <row r="1011" spans="2:6" x14ac:dyDescent="0.2">
      <c r="B1011" s="12"/>
      <c r="C1011" s="12"/>
      <c r="D1011" s="17" t="str">
        <f t="shared" si="48"/>
        <v/>
      </c>
      <c r="E1011" s="18" t="str">
        <f t="shared" si="46"/>
        <v/>
      </c>
      <c r="F1011" s="17" t="str">
        <f t="shared" si="47"/>
        <v/>
      </c>
    </row>
    <row r="1012" spans="2:6" x14ac:dyDescent="0.2">
      <c r="B1012" s="12"/>
      <c r="C1012" s="12"/>
      <c r="D1012" s="17" t="str">
        <f t="shared" si="48"/>
        <v/>
      </c>
      <c r="E1012" s="18" t="str">
        <f t="shared" si="46"/>
        <v/>
      </c>
      <c r="F1012" s="17" t="str">
        <f t="shared" si="47"/>
        <v/>
      </c>
    </row>
    <row r="1013" spans="2:6" x14ac:dyDescent="0.2">
      <c r="B1013" s="12"/>
      <c r="C1013" s="12"/>
      <c r="D1013" s="17" t="str">
        <f t="shared" si="48"/>
        <v/>
      </c>
      <c r="E1013" s="18" t="str">
        <f t="shared" si="46"/>
        <v/>
      </c>
      <c r="F1013" s="17" t="str">
        <f t="shared" si="47"/>
        <v/>
      </c>
    </row>
    <row r="1014" spans="2:6" x14ac:dyDescent="0.2">
      <c r="B1014" s="12"/>
      <c r="C1014" s="12"/>
      <c r="D1014" s="17" t="str">
        <f t="shared" si="48"/>
        <v/>
      </c>
      <c r="E1014" s="18" t="str">
        <f t="shared" si="46"/>
        <v/>
      </c>
      <c r="F1014" s="17" t="str">
        <f t="shared" si="47"/>
        <v/>
      </c>
    </row>
    <row r="1015" spans="2:6" x14ac:dyDescent="0.2">
      <c r="B1015" s="12"/>
      <c r="C1015" s="12"/>
      <c r="D1015" s="17" t="str">
        <f t="shared" si="48"/>
        <v/>
      </c>
      <c r="E1015" s="18" t="str">
        <f t="shared" si="46"/>
        <v/>
      </c>
      <c r="F1015" s="17" t="str">
        <f t="shared" si="47"/>
        <v/>
      </c>
    </row>
    <row r="1016" spans="2:6" x14ac:dyDescent="0.2">
      <c r="B1016" s="12"/>
      <c r="C1016" s="12"/>
      <c r="D1016" s="17" t="str">
        <f t="shared" si="48"/>
        <v/>
      </c>
      <c r="E1016" s="18" t="str">
        <f t="shared" si="46"/>
        <v/>
      </c>
      <c r="F1016" s="17" t="str">
        <f t="shared" si="47"/>
        <v/>
      </c>
    </row>
    <row r="1017" spans="2:6" x14ac:dyDescent="0.2">
      <c r="B1017" s="12"/>
      <c r="C1017" s="12"/>
      <c r="D1017" s="17" t="str">
        <f t="shared" si="48"/>
        <v/>
      </c>
      <c r="E1017" s="18" t="str">
        <f t="shared" si="46"/>
        <v/>
      </c>
      <c r="F1017" s="17" t="str">
        <f t="shared" si="47"/>
        <v/>
      </c>
    </row>
    <row r="1018" spans="2:6" x14ac:dyDescent="0.2">
      <c r="B1018" s="12"/>
      <c r="C1018" s="12"/>
      <c r="D1018" s="17" t="str">
        <f t="shared" si="48"/>
        <v/>
      </c>
      <c r="E1018" s="18" t="str">
        <f t="shared" si="46"/>
        <v/>
      </c>
      <c r="F1018" s="17" t="str">
        <f t="shared" si="47"/>
        <v/>
      </c>
    </row>
    <row r="1019" spans="2:6" x14ac:dyDescent="0.2">
      <c r="B1019" s="12"/>
      <c r="C1019" s="12"/>
      <c r="D1019" s="17" t="str">
        <f t="shared" si="48"/>
        <v/>
      </c>
      <c r="E1019" s="18" t="str">
        <f t="shared" si="46"/>
        <v/>
      </c>
      <c r="F1019" s="17" t="str">
        <f t="shared" si="47"/>
        <v/>
      </c>
    </row>
    <row r="1020" spans="2:6" x14ac:dyDescent="0.2">
      <c r="B1020" s="12"/>
      <c r="C1020" s="12"/>
      <c r="D1020" s="17" t="str">
        <f t="shared" si="48"/>
        <v/>
      </c>
      <c r="E1020" s="18" t="str">
        <f t="shared" si="46"/>
        <v/>
      </c>
      <c r="F1020" s="17" t="str">
        <f t="shared" si="47"/>
        <v/>
      </c>
    </row>
    <row r="1021" spans="2:6" x14ac:dyDescent="0.2">
      <c r="B1021" s="12"/>
      <c r="C1021" s="12"/>
      <c r="D1021" s="17" t="str">
        <f t="shared" si="48"/>
        <v/>
      </c>
      <c r="E1021" s="18" t="str">
        <f t="shared" si="46"/>
        <v/>
      </c>
      <c r="F1021" s="17" t="str">
        <f t="shared" si="47"/>
        <v/>
      </c>
    </row>
    <row r="1022" spans="2:6" x14ac:dyDescent="0.2">
      <c r="B1022" s="12"/>
      <c r="C1022" s="12"/>
      <c r="D1022" s="17" t="str">
        <f t="shared" si="48"/>
        <v/>
      </c>
      <c r="E1022" s="18" t="str">
        <f t="shared" si="46"/>
        <v/>
      </c>
      <c r="F1022" s="17" t="str">
        <f t="shared" si="47"/>
        <v/>
      </c>
    </row>
    <row r="1023" spans="2:6" x14ac:dyDescent="0.2">
      <c r="B1023" s="12"/>
      <c r="C1023" s="12"/>
      <c r="D1023" s="17" t="str">
        <f t="shared" si="48"/>
        <v/>
      </c>
      <c r="E1023" s="18" t="str">
        <f t="shared" si="46"/>
        <v/>
      </c>
      <c r="F1023" s="17" t="str">
        <f t="shared" si="47"/>
        <v/>
      </c>
    </row>
    <row r="1024" spans="2:6" x14ac:dyDescent="0.2">
      <c r="B1024" s="12"/>
      <c r="C1024" s="12"/>
      <c r="D1024" s="17" t="str">
        <f t="shared" si="48"/>
        <v/>
      </c>
      <c r="E1024" s="18" t="str">
        <f t="shared" si="46"/>
        <v/>
      </c>
      <c r="F1024" s="17" t="str">
        <f t="shared" si="47"/>
        <v/>
      </c>
    </row>
    <row r="1025" spans="2:6" x14ac:dyDescent="0.2">
      <c r="B1025" s="12"/>
      <c r="C1025" s="12"/>
      <c r="D1025" s="17" t="str">
        <f t="shared" si="48"/>
        <v/>
      </c>
      <c r="E1025" s="18" t="str">
        <f t="shared" si="46"/>
        <v/>
      </c>
      <c r="F1025" s="17" t="str">
        <f t="shared" si="47"/>
        <v/>
      </c>
    </row>
    <row r="1026" spans="2:6" x14ac:dyDescent="0.2">
      <c r="B1026" s="12"/>
      <c r="C1026" s="12"/>
      <c r="D1026" s="17" t="str">
        <f t="shared" si="48"/>
        <v/>
      </c>
      <c r="E1026" s="18" t="str">
        <f t="shared" si="46"/>
        <v/>
      </c>
      <c r="F1026" s="17" t="str">
        <f t="shared" si="47"/>
        <v/>
      </c>
    </row>
    <row r="1027" spans="2:6" x14ac:dyDescent="0.2">
      <c r="B1027" s="12"/>
      <c r="C1027" s="12"/>
      <c r="D1027" s="17" t="str">
        <f t="shared" si="48"/>
        <v/>
      </c>
      <c r="E1027" s="18" t="str">
        <f t="shared" si="46"/>
        <v/>
      </c>
      <c r="F1027" s="17" t="str">
        <f t="shared" si="47"/>
        <v/>
      </c>
    </row>
    <row r="1028" spans="2:6" x14ac:dyDescent="0.2">
      <c r="B1028" s="12"/>
      <c r="C1028" s="12"/>
      <c r="D1028" s="17" t="str">
        <f t="shared" si="48"/>
        <v/>
      </c>
      <c r="E1028" s="18" t="str">
        <f t="shared" si="46"/>
        <v/>
      </c>
      <c r="F1028" s="17" t="str">
        <f t="shared" si="47"/>
        <v/>
      </c>
    </row>
    <row r="1029" spans="2:6" x14ac:dyDescent="0.2">
      <c r="B1029" s="12"/>
      <c r="C1029" s="12"/>
      <c r="D1029" s="17" t="str">
        <f t="shared" si="48"/>
        <v/>
      </c>
      <c r="E1029" s="18" t="str">
        <f t="shared" ref="E1029:E1092" si="49">IF(B1029="","",ABS(C1029-D1029))</f>
        <v/>
      </c>
      <c r="F1029" s="17" t="str">
        <f t="shared" ref="F1029:F1092" si="50">IF(B1029="","",E1029^2)</f>
        <v/>
      </c>
    </row>
    <row r="1030" spans="2:6" x14ac:dyDescent="0.2">
      <c r="B1030" s="12"/>
      <c r="C1030" s="12"/>
      <c r="D1030" s="17" t="str">
        <f t="shared" si="48"/>
        <v/>
      </c>
      <c r="E1030" s="18" t="str">
        <f t="shared" si="49"/>
        <v/>
      </c>
      <c r="F1030" s="17" t="str">
        <f t="shared" si="50"/>
        <v/>
      </c>
    </row>
    <row r="1031" spans="2:6" x14ac:dyDescent="0.2">
      <c r="B1031" s="12"/>
      <c r="C1031" s="12"/>
      <c r="D1031" s="17" t="str">
        <f t="shared" si="48"/>
        <v/>
      </c>
      <c r="E1031" s="18" t="str">
        <f t="shared" si="49"/>
        <v/>
      </c>
      <c r="F1031" s="17" t="str">
        <f t="shared" si="50"/>
        <v/>
      </c>
    </row>
    <row r="1032" spans="2:6" x14ac:dyDescent="0.2">
      <c r="B1032" s="12"/>
      <c r="C1032" s="12"/>
      <c r="D1032" s="17" t="str">
        <f t="shared" si="48"/>
        <v/>
      </c>
      <c r="E1032" s="18" t="str">
        <f t="shared" si="49"/>
        <v/>
      </c>
      <c r="F1032" s="17" t="str">
        <f t="shared" si="50"/>
        <v/>
      </c>
    </row>
    <row r="1033" spans="2:6" x14ac:dyDescent="0.2">
      <c r="B1033" s="12"/>
      <c r="C1033" s="12"/>
      <c r="D1033" s="17" t="str">
        <f t="shared" si="48"/>
        <v/>
      </c>
      <c r="E1033" s="18" t="str">
        <f t="shared" si="49"/>
        <v/>
      </c>
      <c r="F1033" s="17" t="str">
        <f t="shared" si="50"/>
        <v/>
      </c>
    </row>
    <row r="1034" spans="2:6" x14ac:dyDescent="0.2">
      <c r="B1034" s="12"/>
      <c r="C1034" s="12"/>
      <c r="D1034" s="17" t="str">
        <f t="shared" si="48"/>
        <v/>
      </c>
      <c r="E1034" s="18" t="str">
        <f t="shared" si="49"/>
        <v/>
      </c>
      <c r="F1034" s="17" t="str">
        <f t="shared" si="50"/>
        <v/>
      </c>
    </row>
    <row r="1035" spans="2:6" x14ac:dyDescent="0.2">
      <c r="B1035" s="12"/>
      <c r="C1035" s="12"/>
      <c r="D1035" s="17" t="str">
        <f t="shared" si="48"/>
        <v/>
      </c>
      <c r="E1035" s="18" t="str">
        <f t="shared" si="49"/>
        <v/>
      </c>
      <c r="F1035" s="17" t="str">
        <f t="shared" si="50"/>
        <v/>
      </c>
    </row>
    <row r="1036" spans="2:6" x14ac:dyDescent="0.2">
      <c r="B1036" s="12"/>
      <c r="C1036" s="12"/>
      <c r="D1036" s="17" t="str">
        <f t="shared" si="48"/>
        <v/>
      </c>
      <c r="E1036" s="18" t="str">
        <f t="shared" si="49"/>
        <v/>
      </c>
      <c r="F1036" s="17" t="str">
        <f t="shared" si="50"/>
        <v/>
      </c>
    </row>
    <row r="1037" spans="2:6" x14ac:dyDescent="0.2">
      <c r="B1037" s="12"/>
      <c r="C1037" s="12"/>
      <c r="D1037" s="17" t="str">
        <f t="shared" si="48"/>
        <v/>
      </c>
      <c r="E1037" s="18" t="str">
        <f t="shared" si="49"/>
        <v/>
      </c>
      <c r="F1037" s="17" t="str">
        <f t="shared" si="50"/>
        <v/>
      </c>
    </row>
    <row r="1038" spans="2:6" x14ac:dyDescent="0.2">
      <c r="B1038" s="12"/>
      <c r="C1038" s="12"/>
      <c r="D1038" s="17" t="str">
        <f t="shared" si="48"/>
        <v/>
      </c>
      <c r="E1038" s="18" t="str">
        <f t="shared" si="49"/>
        <v/>
      </c>
      <c r="F1038" s="17" t="str">
        <f t="shared" si="50"/>
        <v/>
      </c>
    </row>
    <row r="1039" spans="2:6" x14ac:dyDescent="0.2">
      <c r="B1039" s="12"/>
      <c r="C1039" s="12"/>
      <c r="D1039" s="17" t="str">
        <f t="shared" si="48"/>
        <v/>
      </c>
      <c r="E1039" s="18" t="str">
        <f t="shared" si="49"/>
        <v/>
      </c>
      <c r="F1039" s="17" t="str">
        <f t="shared" si="50"/>
        <v/>
      </c>
    </row>
    <row r="1040" spans="2:6" x14ac:dyDescent="0.2">
      <c r="B1040" s="12"/>
      <c r="C1040" s="12"/>
      <c r="D1040" s="17" t="str">
        <f t="shared" si="48"/>
        <v/>
      </c>
      <c r="E1040" s="18" t="str">
        <f t="shared" si="49"/>
        <v/>
      </c>
      <c r="F1040" s="17" t="str">
        <f t="shared" si="50"/>
        <v/>
      </c>
    </row>
    <row r="1041" spans="2:6" x14ac:dyDescent="0.2">
      <c r="B1041" s="12"/>
      <c r="C1041" s="12"/>
      <c r="D1041" s="17" t="str">
        <f t="shared" si="48"/>
        <v/>
      </c>
      <c r="E1041" s="18" t="str">
        <f t="shared" si="49"/>
        <v/>
      </c>
      <c r="F1041" s="17" t="str">
        <f t="shared" si="50"/>
        <v/>
      </c>
    </row>
    <row r="1042" spans="2:6" x14ac:dyDescent="0.2">
      <c r="B1042" s="12"/>
      <c r="C1042" s="12"/>
      <c r="D1042" s="17" t="str">
        <f t="shared" ref="D1042:D1105" si="51">IF(B1042="","",a+b*B1042)</f>
        <v/>
      </c>
      <c r="E1042" s="18" t="str">
        <f t="shared" si="49"/>
        <v/>
      </c>
      <c r="F1042" s="17" t="str">
        <f t="shared" si="50"/>
        <v/>
      </c>
    </row>
    <row r="1043" spans="2:6" x14ac:dyDescent="0.2">
      <c r="B1043" s="12"/>
      <c r="C1043" s="12"/>
      <c r="D1043" s="17" t="str">
        <f t="shared" si="51"/>
        <v/>
      </c>
      <c r="E1043" s="18" t="str">
        <f t="shared" si="49"/>
        <v/>
      </c>
      <c r="F1043" s="17" t="str">
        <f t="shared" si="50"/>
        <v/>
      </c>
    </row>
    <row r="1044" spans="2:6" x14ac:dyDescent="0.2">
      <c r="B1044" s="12"/>
      <c r="C1044" s="12"/>
      <c r="D1044" s="17" t="str">
        <f t="shared" si="51"/>
        <v/>
      </c>
      <c r="E1044" s="18" t="str">
        <f t="shared" si="49"/>
        <v/>
      </c>
      <c r="F1044" s="17" t="str">
        <f t="shared" si="50"/>
        <v/>
      </c>
    </row>
    <row r="1045" spans="2:6" x14ac:dyDescent="0.2">
      <c r="B1045" s="12"/>
      <c r="C1045" s="12"/>
      <c r="D1045" s="17" t="str">
        <f t="shared" si="51"/>
        <v/>
      </c>
      <c r="E1045" s="18" t="str">
        <f t="shared" si="49"/>
        <v/>
      </c>
      <c r="F1045" s="17" t="str">
        <f t="shared" si="50"/>
        <v/>
      </c>
    </row>
    <row r="1046" spans="2:6" x14ac:dyDescent="0.2">
      <c r="B1046" s="12"/>
      <c r="C1046" s="12"/>
      <c r="D1046" s="17" t="str">
        <f t="shared" si="51"/>
        <v/>
      </c>
      <c r="E1046" s="18" t="str">
        <f t="shared" si="49"/>
        <v/>
      </c>
      <c r="F1046" s="17" t="str">
        <f t="shared" si="50"/>
        <v/>
      </c>
    </row>
    <row r="1047" spans="2:6" x14ac:dyDescent="0.2">
      <c r="B1047" s="12"/>
      <c r="C1047" s="12"/>
      <c r="D1047" s="17" t="str">
        <f t="shared" si="51"/>
        <v/>
      </c>
      <c r="E1047" s="18" t="str">
        <f t="shared" si="49"/>
        <v/>
      </c>
      <c r="F1047" s="17" t="str">
        <f t="shared" si="50"/>
        <v/>
      </c>
    </row>
    <row r="1048" spans="2:6" x14ac:dyDescent="0.2">
      <c r="B1048" s="12"/>
      <c r="C1048" s="12"/>
      <c r="D1048" s="17" t="str">
        <f t="shared" si="51"/>
        <v/>
      </c>
      <c r="E1048" s="18" t="str">
        <f t="shared" si="49"/>
        <v/>
      </c>
      <c r="F1048" s="17" t="str">
        <f t="shared" si="50"/>
        <v/>
      </c>
    </row>
    <row r="1049" spans="2:6" x14ac:dyDescent="0.2">
      <c r="B1049" s="12"/>
      <c r="C1049" s="12"/>
      <c r="D1049" s="17" t="str">
        <f t="shared" si="51"/>
        <v/>
      </c>
      <c r="E1049" s="18" t="str">
        <f t="shared" si="49"/>
        <v/>
      </c>
      <c r="F1049" s="17" t="str">
        <f t="shared" si="50"/>
        <v/>
      </c>
    </row>
    <row r="1050" spans="2:6" x14ac:dyDescent="0.2">
      <c r="B1050" s="12"/>
      <c r="C1050" s="12"/>
      <c r="D1050" s="17" t="str">
        <f t="shared" si="51"/>
        <v/>
      </c>
      <c r="E1050" s="18" t="str">
        <f t="shared" si="49"/>
        <v/>
      </c>
      <c r="F1050" s="17" t="str">
        <f t="shared" si="50"/>
        <v/>
      </c>
    </row>
    <row r="1051" spans="2:6" x14ac:dyDescent="0.2">
      <c r="B1051" s="12"/>
      <c r="C1051" s="12"/>
      <c r="D1051" s="17" t="str">
        <f t="shared" si="51"/>
        <v/>
      </c>
      <c r="E1051" s="18" t="str">
        <f t="shared" si="49"/>
        <v/>
      </c>
      <c r="F1051" s="17" t="str">
        <f t="shared" si="50"/>
        <v/>
      </c>
    </row>
    <row r="1052" spans="2:6" x14ac:dyDescent="0.2">
      <c r="B1052" s="12"/>
      <c r="C1052" s="12"/>
      <c r="D1052" s="17" t="str">
        <f t="shared" si="51"/>
        <v/>
      </c>
      <c r="E1052" s="18" t="str">
        <f t="shared" si="49"/>
        <v/>
      </c>
      <c r="F1052" s="17" t="str">
        <f t="shared" si="50"/>
        <v/>
      </c>
    </row>
    <row r="1053" spans="2:6" x14ac:dyDescent="0.2">
      <c r="B1053" s="12"/>
      <c r="C1053" s="12"/>
      <c r="D1053" s="17" t="str">
        <f t="shared" si="51"/>
        <v/>
      </c>
      <c r="E1053" s="18" t="str">
        <f t="shared" si="49"/>
        <v/>
      </c>
      <c r="F1053" s="17" t="str">
        <f t="shared" si="50"/>
        <v/>
      </c>
    </row>
    <row r="1054" spans="2:6" x14ac:dyDescent="0.2">
      <c r="B1054" s="12"/>
      <c r="C1054" s="12"/>
      <c r="D1054" s="17" t="str">
        <f t="shared" si="51"/>
        <v/>
      </c>
      <c r="E1054" s="18" t="str">
        <f t="shared" si="49"/>
        <v/>
      </c>
      <c r="F1054" s="17" t="str">
        <f t="shared" si="50"/>
        <v/>
      </c>
    </row>
    <row r="1055" spans="2:6" x14ac:dyDescent="0.2">
      <c r="B1055" s="12"/>
      <c r="C1055" s="12"/>
      <c r="D1055" s="17" t="str">
        <f t="shared" si="51"/>
        <v/>
      </c>
      <c r="E1055" s="18" t="str">
        <f t="shared" si="49"/>
        <v/>
      </c>
      <c r="F1055" s="17" t="str">
        <f t="shared" si="50"/>
        <v/>
      </c>
    </row>
    <row r="1056" spans="2:6" x14ac:dyDescent="0.2">
      <c r="B1056" s="12"/>
      <c r="C1056" s="12"/>
      <c r="D1056" s="17" t="str">
        <f t="shared" si="51"/>
        <v/>
      </c>
      <c r="E1056" s="18" t="str">
        <f t="shared" si="49"/>
        <v/>
      </c>
      <c r="F1056" s="17" t="str">
        <f t="shared" si="50"/>
        <v/>
      </c>
    </row>
    <row r="1057" spans="2:6" x14ac:dyDescent="0.2">
      <c r="B1057" s="12"/>
      <c r="C1057" s="12"/>
      <c r="D1057" s="17" t="str">
        <f t="shared" si="51"/>
        <v/>
      </c>
      <c r="E1057" s="18" t="str">
        <f t="shared" si="49"/>
        <v/>
      </c>
      <c r="F1057" s="17" t="str">
        <f t="shared" si="50"/>
        <v/>
      </c>
    </row>
    <row r="1058" spans="2:6" x14ac:dyDescent="0.2">
      <c r="B1058" s="12"/>
      <c r="C1058" s="12"/>
      <c r="D1058" s="17" t="str">
        <f t="shared" si="51"/>
        <v/>
      </c>
      <c r="E1058" s="18" t="str">
        <f t="shared" si="49"/>
        <v/>
      </c>
      <c r="F1058" s="17" t="str">
        <f t="shared" si="50"/>
        <v/>
      </c>
    </row>
    <row r="1059" spans="2:6" x14ac:dyDescent="0.2">
      <c r="B1059" s="12"/>
      <c r="C1059" s="12"/>
      <c r="D1059" s="17" t="str">
        <f t="shared" si="51"/>
        <v/>
      </c>
      <c r="E1059" s="18" t="str">
        <f t="shared" si="49"/>
        <v/>
      </c>
      <c r="F1059" s="17" t="str">
        <f t="shared" si="50"/>
        <v/>
      </c>
    </row>
    <row r="1060" spans="2:6" x14ac:dyDescent="0.2">
      <c r="B1060" s="12"/>
      <c r="C1060" s="12"/>
      <c r="D1060" s="17" t="str">
        <f t="shared" si="51"/>
        <v/>
      </c>
      <c r="E1060" s="18" t="str">
        <f t="shared" si="49"/>
        <v/>
      </c>
      <c r="F1060" s="17" t="str">
        <f t="shared" si="50"/>
        <v/>
      </c>
    </row>
    <row r="1061" spans="2:6" x14ac:dyDescent="0.2">
      <c r="B1061" s="12"/>
      <c r="C1061" s="12"/>
      <c r="D1061" s="17" t="str">
        <f t="shared" si="51"/>
        <v/>
      </c>
      <c r="E1061" s="18" t="str">
        <f t="shared" si="49"/>
        <v/>
      </c>
      <c r="F1061" s="17" t="str">
        <f t="shared" si="50"/>
        <v/>
      </c>
    </row>
    <row r="1062" spans="2:6" x14ac:dyDescent="0.2">
      <c r="B1062" s="12"/>
      <c r="C1062" s="12"/>
      <c r="D1062" s="17" t="str">
        <f t="shared" si="51"/>
        <v/>
      </c>
      <c r="E1062" s="18" t="str">
        <f t="shared" si="49"/>
        <v/>
      </c>
      <c r="F1062" s="17" t="str">
        <f t="shared" si="50"/>
        <v/>
      </c>
    </row>
    <row r="1063" spans="2:6" x14ac:dyDescent="0.2">
      <c r="B1063" s="12"/>
      <c r="C1063" s="12"/>
      <c r="D1063" s="17" t="str">
        <f t="shared" si="51"/>
        <v/>
      </c>
      <c r="E1063" s="18" t="str">
        <f t="shared" si="49"/>
        <v/>
      </c>
      <c r="F1063" s="17" t="str">
        <f t="shared" si="50"/>
        <v/>
      </c>
    </row>
    <row r="1064" spans="2:6" x14ac:dyDescent="0.2">
      <c r="B1064" s="12"/>
      <c r="C1064" s="12"/>
      <c r="D1064" s="17" t="str">
        <f t="shared" si="51"/>
        <v/>
      </c>
      <c r="E1064" s="18" t="str">
        <f t="shared" si="49"/>
        <v/>
      </c>
      <c r="F1064" s="17" t="str">
        <f t="shared" si="50"/>
        <v/>
      </c>
    </row>
    <row r="1065" spans="2:6" x14ac:dyDescent="0.2">
      <c r="B1065" s="12"/>
      <c r="C1065" s="12"/>
      <c r="D1065" s="17" t="str">
        <f t="shared" si="51"/>
        <v/>
      </c>
      <c r="E1065" s="18" t="str">
        <f t="shared" si="49"/>
        <v/>
      </c>
      <c r="F1065" s="17" t="str">
        <f t="shared" si="50"/>
        <v/>
      </c>
    </row>
    <row r="1066" spans="2:6" x14ac:dyDescent="0.2">
      <c r="B1066" s="12"/>
      <c r="C1066" s="12"/>
      <c r="D1066" s="17" t="str">
        <f t="shared" si="51"/>
        <v/>
      </c>
      <c r="E1066" s="18" t="str">
        <f t="shared" si="49"/>
        <v/>
      </c>
      <c r="F1066" s="17" t="str">
        <f t="shared" si="50"/>
        <v/>
      </c>
    </row>
    <row r="1067" spans="2:6" x14ac:dyDescent="0.2">
      <c r="B1067" s="12"/>
      <c r="C1067" s="12"/>
      <c r="D1067" s="17" t="str">
        <f t="shared" si="51"/>
        <v/>
      </c>
      <c r="E1067" s="18" t="str">
        <f t="shared" si="49"/>
        <v/>
      </c>
      <c r="F1067" s="17" t="str">
        <f t="shared" si="50"/>
        <v/>
      </c>
    </row>
    <row r="1068" spans="2:6" x14ac:dyDescent="0.2">
      <c r="B1068" s="12"/>
      <c r="C1068" s="12"/>
      <c r="D1068" s="17" t="str">
        <f t="shared" si="51"/>
        <v/>
      </c>
      <c r="E1068" s="18" t="str">
        <f t="shared" si="49"/>
        <v/>
      </c>
      <c r="F1068" s="17" t="str">
        <f t="shared" si="50"/>
        <v/>
      </c>
    </row>
    <row r="1069" spans="2:6" x14ac:dyDescent="0.2">
      <c r="B1069" s="12"/>
      <c r="C1069" s="12"/>
      <c r="D1069" s="17" t="str">
        <f t="shared" si="51"/>
        <v/>
      </c>
      <c r="E1069" s="18" t="str">
        <f t="shared" si="49"/>
        <v/>
      </c>
      <c r="F1069" s="17" t="str">
        <f t="shared" si="50"/>
        <v/>
      </c>
    </row>
    <row r="1070" spans="2:6" x14ac:dyDescent="0.2">
      <c r="B1070" s="12"/>
      <c r="C1070" s="12"/>
      <c r="D1070" s="17" t="str">
        <f t="shared" si="51"/>
        <v/>
      </c>
      <c r="E1070" s="18" t="str">
        <f t="shared" si="49"/>
        <v/>
      </c>
      <c r="F1070" s="17" t="str">
        <f t="shared" si="50"/>
        <v/>
      </c>
    </row>
    <row r="1071" spans="2:6" x14ac:dyDescent="0.2">
      <c r="B1071" s="12"/>
      <c r="C1071" s="12"/>
      <c r="D1071" s="17" t="str">
        <f t="shared" si="51"/>
        <v/>
      </c>
      <c r="E1071" s="18" t="str">
        <f t="shared" si="49"/>
        <v/>
      </c>
      <c r="F1071" s="17" t="str">
        <f t="shared" si="50"/>
        <v/>
      </c>
    </row>
    <row r="1072" spans="2:6" x14ac:dyDescent="0.2">
      <c r="B1072" s="12"/>
      <c r="C1072" s="12"/>
      <c r="D1072" s="17" t="str">
        <f t="shared" si="51"/>
        <v/>
      </c>
      <c r="E1072" s="18" t="str">
        <f t="shared" si="49"/>
        <v/>
      </c>
      <c r="F1072" s="17" t="str">
        <f t="shared" si="50"/>
        <v/>
      </c>
    </row>
    <row r="1073" spans="2:6" x14ac:dyDescent="0.2">
      <c r="B1073" s="12"/>
      <c r="C1073" s="12"/>
      <c r="D1073" s="17" t="str">
        <f t="shared" si="51"/>
        <v/>
      </c>
      <c r="E1073" s="18" t="str">
        <f t="shared" si="49"/>
        <v/>
      </c>
      <c r="F1073" s="17" t="str">
        <f t="shared" si="50"/>
        <v/>
      </c>
    </row>
    <row r="1074" spans="2:6" x14ac:dyDescent="0.2">
      <c r="B1074" s="12"/>
      <c r="C1074" s="12"/>
      <c r="D1074" s="17" t="str">
        <f t="shared" si="51"/>
        <v/>
      </c>
      <c r="E1074" s="18" t="str">
        <f t="shared" si="49"/>
        <v/>
      </c>
      <c r="F1074" s="17" t="str">
        <f t="shared" si="50"/>
        <v/>
      </c>
    </row>
    <row r="1075" spans="2:6" x14ac:dyDescent="0.2">
      <c r="B1075" s="12"/>
      <c r="C1075" s="12"/>
      <c r="D1075" s="17" t="str">
        <f t="shared" si="51"/>
        <v/>
      </c>
      <c r="E1075" s="18" t="str">
        <f t="shared" si="49"/>
        <v/>
      </c>
      <c r="F1075" s="17" t="str">
        <f t="shared" si="50"/>
        <v/>
      </c>
    </row>
    <row r="1076" spans="2:6" x14ac:dyDescent="0.2">
      <c r="B1076" s="12"/>
      <c r="C1076" s="12"/>
      <c r="D1076" s="17" t="str">
        <f t="shared" si="51"/>
        <v/>
      </c>
      <c r="E1076" s="18" t="str">
        <f t="shared" si="49"/>
        <v/>
      </c>
      <c r="F1076" s="17" t="str">
        <f t="shared" si="50"/>
        <v/>
      </c>
    </row>
    <row r="1077" spans="2:6" x14ac:dyDescent="0.2">
      <c r="B1077" s="12"/>
      <c r="C1077" s="12"/>
      <c r="D1077" s="17" t="str">
        <f t="shared" si="51"/>
        <v/>
      </c>
      <c r="E1077" s="18" t="str">
        <f t="shared" si="49"/>
        <v/>
      </c>
      <c r="F1077" s="17" t="str">
        <f t="shared" si="50"/>
        <v/>
      </c>
    </row>
    <row r="1078" spans="2:6" x14ac:dyDescent="0.2">
      <c r="B1078" s="12"/>
      <c r="C1078" s="12"/>
      <c r="D1078" s="17" t="str">
        <f t="shared" si="51"/>
        <v/>
      </c>
      <c r="E1078" s="18" t="str">
        <f t="shared" si="49"/>
        <v/>
      </c>
      <c r="F1078" s="17" t="str">
        <f t="shared" si="50"/>
        <v/>
      </c>
    </row>
    <row r="1079" spans="2:6" x14ac:dyDescent="0.2">
      <c r="B1079" s="12"/>
      <c r="C1079" s="12"/>
      <c r="D1079" s="17" t="str">
        <f t="shared" si="51"/>
        <v/>
      </c>
      <c r="E1079" s="18" t="str">
        <f t="shared" si="49"/>
        <v/>
      </c>
      <c r="F1079" s="17" t="str">
        <f t="shared" si="50"/>
        <v/>
      </c>
    </row>
    <row r="1080" spans="2:6" x14ac:dyDescent="0.2">
      <c r="B1080" s="12"/>
      <c r="C1080" s="12"/>
      <c r="D1080" s="17" t="str">
        <f t="shared" si="51"/>
        <v/>
      </c>
      <c r="E1080" s="18" t="str">
        <f t="shared" si="49"/>
        <v/>
      </c>
      <c r="F1080" s="17" t="str">
        <f t="shared" si="50"/>
        <v/>
      </c>
    </row>
    <row r="1081" spans="2:6" x14ac:dyDescent="0.2">
      <c r="B1081" s="12"/>
      <c r="C1081" s="12"/>
      <c r="D1081" s="17" t="str">
        <f t="shared" si="51"/>
        <v/>
      </c>
      <c r="E1081" s="18" t="str">
        <f t="shared" si="49"/>
        <v/>
      </c>
      <c r="F1081" s="17" t="str">
        <f t="shared" si="50"/>
        <v/>
      </c>
    </row>
    <row r="1082" spans="2:6" x14ac:dyDescent="0.2">
      <c r="B1082" s="12"/>
      <c r="C1082" s="12"/>
      <c r="D1082" s="17" t="str">
        <f t="shared" si="51"/>
        <v/>
      </c>
      <c r="E1082" s="18" t="str">
        <f t="shared" si="49"/>
        <v/>
      </c>
      <c r="F1082" s="17" t="str">
        <f t="shared" si="50"/>
        <v/>
      </c>
    </row>
    <row r="1083" spans="2:6" x14ac:dyDescent="0.2">
      <c r="B1083" s="12"/>
      <c r="C1083" s="12"/>
      <c r="D1083" s="17" t="str">
        <f t="shared" si="51"/>
        <v/>
      </c>
      <c r="E1083" s="18" t="str">
        <f t="shared" si="49"/>
        <v/>
      </c>
      <c r="F1083" s="17" t="str">
        <f t="shared" si="50"/>
        <v/>
      </c>
    </row>
    <row r="1084" spans="2:6" x14ac:dyDescent="0.2">
      <c r="B1084" s="12"/>
      <c r="C1084" s="12"/>
      <c r="D1084" s="17" t="str">
        <f t="shared" si="51"/>
        <v/>
      </c>
      <c r="E1084" s="18" t="str">
        <f t="shared" si="49"/>
        <v/>
      </c>
      <c r="F1084" s="17" t="str">
        <f t="shared" si="50"/>
        <v/>
      </c>
    </row>
    <row r="1085" spans="2:6" x14ac:dyDescent="0.2">
      <c r="B1085" s="12"/>
      <c r="C1085" s="12"/>
      <c r="D1085" s="17" t="str">
        <f t="shared" si="51"/>
        <v/>
      </c>
      <c r="E1085" s="18" t="str">
        <f t="shared" si="49"/>
        <v/>
      </c>
      <c r="F1085" s="17" t="str">
        <f t="shared" si="50"/>
        <v/>
      </c>
    </row>
    <row r="1086" spans="2:6" x14ac:dyDescent="0.2">
      <c r="B1086" s="12"/>
      <c r="C1086" s="12"/>
      <c r="D1086" s="17" t="str">
        <f t="shared" si="51"/>
        <v/>
      </c>
      <c r="E1086" s="18" t="str">
        <f t="shared" si="49"/>
        <v/>
      </c>
      <c r="F1086" s="17" t="str">
        <f t="shared" si="50"/>
        <v/>
      </c>
    </row>
    <row r="1087" spans="2:6" x14ac:dyDescent="0.2">
      <c r="B1087" s="12"/>
      <c r="C1087" s="12"/>
      <c r="D1087" s="17" t="str">
        <f t="shared" si="51"/>
        <v/>
      </c>
      <c r="E1087" s="18" t="str">
        <f t="shared" si="49"/>
        <v/>
      </c>
      <c r="F1087" s="17" t="str">
        <f t="shared" si="50"/>
        <v/>
      </c>
    </row>
    <row r="1088" spans="2:6" x14ac:dyDescent="0.2">
      <c r="B1088" s="12"/>
      <c r="C1088" s="12"/>
      <c r="D1088" s="17" t="str">
        <f t="shared" si="51"/>
        <v/>
      </c>
      <c r="E1088" s="18" t="str">
        <f t="shared" si="49"/>
        <v/>
      </c>
      <c r="F1088" s="17" t="str">
        <f t="shared" si="50"/>
        <v/>
      </c>
    </row>
    <row r="1089" spans="2:6" x14ac:dyDescent="0.2">
      <c r="B1089" s="12"/>
      <c r="C1089" s="12"/>
      <c r="D1089" s="17" t="str">
        <f t="shared" si="51"/>
        <v/>
      </c>
      <c r="E1089" s="18" t="str">
        <f t="shared" si="49"/>
        <v/>
      </c>
      <c r="F1089" s="17" t="str">
        <f t="shared" si="50"/>
        <v/>
      </c>
    </row>
    <row r="1090" spans="2:6" x14ac:dyDescent="0.2">
      <c r="B1090" s="12"/>
      <c r="C1090" s="12"/>
      <c r="D1090" s="17" t="str">
        <f t="shared" si="51"/>
        <v/>
      </c>
      <c r="E1090" s="18" t="str">
        <f t="shared" si="49"/>
        <v/>
      </c>
      <c r="F1090" s="17" t="str">
        <f t="shared" si="50"/>
        <v/>
      </c>
    </row>
    <row r="1091" spans="2:6" x14ac:dyDescent="0.2">
      <c r="B1091" s="12"/>
      <c r="C1091" s="12"/>
      <c r="D1091" s="17" t="str">
        <f t="shared" si="51"/>
        <v/>
      </c>
      <c r="E1091" s="18" t="str">
        <f t="shared" si="49"/>
        <v/>
      </c>
      <c r="F1091" s="17" t="str">
        <f t="shared" si="50"/>
        <v/>
      </c>
    </row>
    <row r="1092" spans="2:6" x14ac:dyDescent="0.2">
      <c r="B1092" s="12"/>
      <c r="C1092" s="12"/>
      <c r="D1092" s="17" t="str">
        <f t="shared" si="51"/>
        <v/>
      </c>
      <c r="E1092" s="18" t="str">
        <f t="shared" si="49"/>
        <v/>
      </c>
      <c r="F1092" s="17" t="str">
        <f t="shared" si="50"/>
        <v/>
      </c>
    </row>
    <row r="1093" spans="2:6" x14ac:dyDescent="0.2">
      <c r="B1093" s="12"/>
      <c r="C1093" s="12"/>
      <c r="D1093" s="17" t="str">
        <f t="shared" si="51"/>
        <v/>
      </c>
      <c r="E1093" s="18" t="str">
        <f t="shared" ref="E1093:E1156" si="52">IF(B1093="","",ABS(C1093-D1093))</f>
        <v/>
      </c>
      <c r="F1093" s="17" t="str">
        <f t="shared" ref="F1093:F1156" si="53">IF(B1093="","",E1093^2)</f>
        <v/>
      </c>
    </row>
    <row r="1094" spans="2:6" x14ac:dyDescent="0.2">
      <c r="B1094" s="12"/>
      <c r="C1094" s="12"/>
      <c r="D1094" s="17" t="str">
        <f t="shared" si="51"/>
        <v/>
      </c>
      <c r="E1094" s="18" t="str">
        <f t="shared" si="52"/>
        <v/>
      </c>
      <c r="F1094" s="17" t="str">
        <f t="shared" si="53"/>
        <v/>
      </c>
    </row>
    <row r="1095" spans="2:6" x14ac:dyDescent="0.2">
      <c r="B1095" s="12"/>
      <c r="C1095" s="12"/>
      <c r="D1095" s="17" t="str">
        <f t="shared" si="51"/>
        <v/>
      </c>
      <c r="E1095" s="18" t="str">
        <f t="shared" si="52"/>
        <v/>
      </c>
      <c r="F1095" s="17" t="str">
        <f t="shared" si="53"/>
        <v/>
      </c>
    </row>
    <row r="1096" spans="2:6" x14ac:dyDescent="0.2">
      <c r="B1096" s="12"/>
      <c r="C1096" s="12"/>
      <c r="D1096" s="17" t="str">
        <f t="shared" si="51"/>
        <v/>
      </c>
      <c r="E1096" s="18" t="str">
        <f t="shared" si="52"/>
        <v/>
      </c>
      <c r="F1096" s="17" t="str">
        <f t="shared" si="53"/>
        <v/>
      </c>
    </row>
    <row r="1097" spans="2:6" x14ac:dyDescent="0.2">
      <c r="B1097" s="12"/>
      <c r="C1097" s="12"/>
      <c r="D1097" s="17" t="str">
        <f t="shared" si="51"/>
        <v/>
      </c>
      <c r="E1097" s="18" t="str">
        <f t="shared" si="52"/>
        <v/>
      </c>
      <c r="F1097" s="17" t="str">
        <f t="shared" si="53"/>
        <v/>
      </c>
    </row>
    <row r="1098" spans="2:6" x14ac:dyDescent="0.2">
      <c r="B1098" s="12"/>
      <c r="C1098" s="12"/>
      <c r="D1098" s="17" t="str">
        <f t="shared" si="51"/>
        <v/>
      </c>
      <c r="E1098" s="18" t="str">
        <f t="shared" si="52"/>
        <v/>
      </c>
      <c r="F1098" s="17" t="str">
        <f t="shared" si="53"/>
        <v/>
      </c>
    </row>
    <row r="1099" spans="2:6" x14ac:dyDescent="0.2">
      <c r="B1099" s="12"/>
      <c r="C1099" s="12"/>
      <c r="D1099" s="17" t="str">
        <f t="shared" si="51"/>
        <v/>
      </c>
      <c r="E1099" s="18" t="str">
        <f t="shared" si="52"/>
        <v/>
      </c>
      <c r="F1099" s="17" t="str">
        <f t="shared" si="53"/>
        <v/>
      </c>
    </row>
    <row r="1100" spans="2:6" x14ac:dyDescent="0.2">
      <c r="B1100" s="12"/>
      <c r="C1100" s="12"/>
      <c r="D1100" s="17" t="str">
        <f t="shared" si="51"/>
        <v/>
      </c>
      <c r="E1100" s="18" t="str">
        <f t="shared" si="52"/>
        <v/>
      </c>
      <c r="F1100" s="17" t="str">
        <f t="shared" si="53"/>
        <v/>
      </c>
    </row>
    <row r="1101" spans="2:6" x14ac:dyDescent="0.2">
      <c r="B1101" s="12"/>
      <c r="C1101" s="12"/>
      <c r="D1101" s="17" t="str">
        <f t="shared" si="51"/>
        <v/>
      </c>
      <c r="E1101" s="18" t="str">
        <f t="shared" si="52"/>
        <v/>
      </c>
      <c r="F1101" s="17" t="str">
        <f t="shared" si="53"/>
        <v/>
      </c>
    </row>
    <row r="1102" spans="2:6" x14ac:dyDescent="0.2">
      <c r="B1102" s="12"/>
      <c r="C1102" s="12"/>
      <c r="D1102" s="17" t="str">
        <f t="shared" si="51"/>
        <v/>
      </c>
      <c r="E1102" s="18" t="str">
        <f t="shared" si="52"/>
        <v/>
      </c>
      <c r="F1102" s="17" t="str">
        <f t="shared" si="53"/>
        <v/>
      </c>
    </row>
    <row r="1103" spans="2:6" x14ac:dyDescent="0.2">
      <c r="B1103" s="12"/>
      <c r="C1103" s="12"/>
      <c r="D1103" s="17" t="str">
        <f t="shared" si="51"/>
        <v/>
      </c>
      <c r="E1103" s="18" t="str">
        <f t="shared" si="52"/>
        <v/>
      </c>
      <c r="F1103" s="17" t="str">
        <f t="shared" si="53"/>
        <v/>
      </c>
    </row>
    <row r="1104" spans="2:6" x14ac:dyDescent="0.2">
      <c r="B1104" s="12"/>
      <c r="C1104" s="12"/>
      <c r="D1104" s="17" t="str">
        <f t="shared" si="51"/>
        <v/>
      </c>
      <c r="E1104" s="18" t="str">
        <f t="shared" si="52"/>
        <v/>
      </c>
      <c r="F1104" s="17" t="str">
        <f t="shared" si="53"/>
        <v/>
      </c>
    </row>
    <row r="1105" spans="2:6" x14ac:dyDescent="0.2">
      <c r="B1105" s="12"/>
      <c r="C1105" s="12"/>
      <c r="D1105" s="17" t="str">
        <f t="shared" si="51"/>
        <v/>
      </c>
      <c r="E1105" s="18" t="str">
        <f t="shared" si="52"/>
        <v/>
      </c>
      <c r="F1105" s="17" t="str">
        <f t="shared" si="53"/>
        <v/>
      </c>
    </row>
    <row r="1106" spans="2:6" x14ac:dyDescent="0.2">
      <c r="B1106" s="12"/>
      <c r="C1106" s="12"/>
      <c r="D1106" s="17" t="str">
        <f t="shared" ref="D1106:D1169" si="54">IF(B1106="","",a+b*B1106)</f>
        <v/>
      </c>
      <c r="E1106" s="18" t="str">
        <f t="shared" si="52"/>
        <v/>
      </c>
      <c r="F1106" s="17" t="str">
        <f t="shared" si="53"/>
        <v/>
      </c>
    </row>
    <row r="1107" spans="2:6" x14ac:dyDescent="0.2">
      <c r="B1107" s="12"/>
      <c r="C1107" s="12"/>
      <c r="D1107" s="17" t="str">
        <f t="shared" si="54"/>
        <v/>
      </c>
      <c r="E1107" s="18" t="str">
        <f t="shared" si="52"/>
        <v/>
      </c>
      <c r="F1107" s="17" t="str">
        <f t="shared" si="53"/>
        <v/>
      </c>
    </row>
    <row r="1108" spans="2:6" x14ac:dyDescent="0.2">
      <c r="B1108" s="12"/>
      <c r="C1108" s="12"/>
      <c r="D1108" s="17" t="str">
        <f t="shared" si="54"/>
        <v/>
      </c>
      <c r="E1108" s="18" t="str">
        <f t="shared" si="52"/>
        <v/>
      </c>
      <c r="F1108" s="17" t="str">
        <f t="shared" si="53"/>
        <v/>
      </c>
    </row>
    <row r="1109" spans="2:6" x14ac:dyDescent="0.2">
      <c r="B1109" s="12"/>
      <c r="C1109" s="12"/>
      <c r="D1109" s="17" t="str">
        <f t="shared" si="54"/>
        <v/>
      </c>
      <c r="E1109" s="18" t="str">
        <f t="shared" si="52"/>
        <v/>
      </c>
      <c r="F1109" s="17" t="str">
        <f t="shared" si="53"/>
        <v/>
      </c>
    </row>
    <row r="1110" spans="2:6" x14ac:dyDescent="0.2">
      <c r="B1110" s="12"/>
      <c r="C1110" s="12"/>
      <c r="D1110" s="17" t="str">
        <f t="shared" si="54"/>
        <v/>
      </c>
      <c r="E1110" s="18" t="str">
        <f t="shared" si="52"/>
        <v/>
      </c>
      <c r="F1110" s="17" t="str">
        <f t="shared" si="53"/>
        <v/>
      </c>
    </row>
    <row r="1111" spans="2:6" x14ac:dyDescent="0.2">
      <c r="B1111" s="12"/>
      <c r="C1111" s="12"/>
      <c r="D1111" s="17" t="str">
        <f t="shared" si="54"/>
        <v/>
      </c>
      <c r="E1111" s="18" t="str">
        <f t="shared" si="52"/>
        <v/>
      </c>
      <c r="F1111" s="17" t="str">
        <f t="shared" si="53"/>
        <v/>
      </c>
    </row>
    <row r="1112" spans="2:6" x14ac:dyDescent="0.2">
      <c r="B1112" s="12"/>
      <c r="C1112" s="12"/>
      <c r="D1112" s="17" t="str">
        <f t="shared" si="54"/>
        <v/>
      </c>
      <c r="E1112" s="18" t="str">
        <f t="shared" si="52"/>
        <v/>
      </c>
      <c r="F1112" s="17" t="str">
        <f t="shared" si="53"/>
        <v/>
      </c>
    </row>
    <row r="1113" spans="2:6" x14ac:dyDescent="0.2">
      <c r="B1113" s="12"/>
      <c r="C1113" s="12"/>
      <c r="D1113" s="17" t="str">
        <f t="shared" si="54"/>
        <v/>
      </c>
      <c r="E1113" s="18" t="str">
        <f t="shared" si="52"/>
        <v/>
      </c>
      <c r="F1113" s="17" t="str">
        <f t="shared" si="53"/>
        <v/>
      </c>
    </row>
    <row r="1114" spans="2:6" x14ac:dyDescent="0.2">
      <c r="B1114" s="12"/>
      <c r="C1114" s="12"/>
      <c r="D1114" s="17" t="str">
        <f t="shared" si="54"/>
        <v/>
      </c>
      <c r="E1114" s="18" t="str">
        <f t="shared" si="52"/>
        <v/>
      </c>
      <c r="F1114" s="17" t="str">
        <f t="shared" si="53"/>
        <v/>
      </c>
    </row>
    <row r="1115" spans="2:6" x14ac:dyDescent="0.2">
      <c r="B1115" s="12"/>
      <c r="C1115" s="12"/>
      <c r="D1115" s="17" t="str">
        <f t="shared" si="54"/>
        <v/>
      </c>
      <c r="E1115" s="18" t="str">
        <f t="shared" si="52"/>
        <v/>
      </c>
      <c r="F1115" s="17" t="str">
        <f t="shared" si="53"/>
        <v/>
      </c>
    </row>
    <row r="1116" spans="2:6" x14ac:dyDescent="0.2">
      <c r="B1116" s="12"/>
      <c r="C1116" s="12"/>
      <c r="D1116" s="17" t="str">
        <f t="shared" si="54"/>
        <v/>
      </c>
      <c r="E1116" s="18" t="str">
        <f t="shared" si="52"/>
        <v/>
      </c>
      <c r="F1116" s="17" t="str">
        <f t="shared" si="53"/>
        <v/>
      </c>
    </row>
    <row r="1117" spans="2:6" x14ac:dyDescent="0.2">
      <c r="B1117" s="12"/>
      <c r="C1117" s="12"/>
      <c r="D1117" s="17" t="str">
        <f t="shared" si="54"/>
        <v/>
      </c>
      <c r="E1117" s="18" t="str">
        <f t="shared" si="52"/>
        <v/>
      </c>
      <c r="F1117" s="17" t="str">
        <f t="shared" si="53"/>
        <v/>
      </c>
    </row>
    <row r="1118" spans="2:6" x14ac:dyDescent="0.2">
      <c r="B1118" s="12"/>
      <c r="C1118" s="12"/>
      <c r="D1118" s="17" t="str">
        <f t="shared" si="54"/>
        <v/>
      </c>
      <c r="E1118" s="18" t="str">
        <f t="shared" si="52"/>
        <v/>
      </c>
      <c r="F1118" s="17" t="str">
        <f t="shared" si="53"/>
        <v/>
      </c>
    </row>
    <row r="1119" spans="2:6" x14ac:dyDescent="0.2">
      <c r="B1119" s="12"/>
      <c r="C1119" s="12"/>
      <c r="D1119" s="17" t="str">
        <f t="shared" si="54"/>
        <v/>
      </c>
      <c r="E1119" s="18" t="str">
        <f t="shared" si="52"/>
        <v/>
      </c>
      <c r="F1119" s="17" t="str">
        <f t="shared" si="53"/>
        <v/>
      </c>
    </row>
    <row r="1120" spans="2:6" x14ac:dyDescent="0.2">
      <c r="B1120" s="12"/>
      <c r="C1120" s="12"/>
      <c r="D1120" s="17" t="str">
        <f t="shared" si="54"/>
        <v/>
      </c>
      <c r="E1120" s="18" t="str">
        <f t="shared" si="52"/>
        <v/>
      </c>
      <c r="F1120" s="17" t="str">
        <f t="shared" si="53"/>
        <v/>
      </c>
    </row>
    <row r="1121" spans="2:6" x14ac:dyDescent="0.2">
      <c r="B1121" s="12"/>
      <c r="C1121" s="12"/>
      <c r="D1121" s="17" t="str">
        <f t="shared" si="54"/>
        <v/>
      </c>
      <c r="E1121" s="18" t="str">
        <f t="shared" si="52"/>
        <v/>
      </c>
      <c r="F1121" s="17" t="str">
        <f t="shared" si="53"/>
        <v/>
      </c>
    </row>
    <row r="1122" spans="2:6" x14ac:dyDescent="0.2">
      <c r="B1122" s="12"/>
      <c r="C1122" s="12"/>
      <c r="D1122" s="17" t="str">
        <f t="shared" si="54"/>
        <v/>
      </c>
      <c r="E1122" s="18" t="str">
        <f t="shared" si="52"/>
        <v/>
      </c>
      <c r="F1122" s="17" t="str">
        <f t="shared" si="53"/>
        <v/>
      </c>
    </row>
    <row r="1123" spans="2:6" x14ac:dyDescent="0.2">
      <c r="B1123" s="12"/>
      <c r="C1123" s="12"/>
      <c r="D1123" s="17" t="str">
        <f t="shared" si="54"/>
        <v/>
      </c>
      <c r="E1123" s="18" t="str">
        <f t="shared" si="52"/>
        <v/>
      </c>
      <c r="F1123" s="17" t="str">
        <f t="shared" si="53"/>
        <v/>
      </c>
    </row>
    <row r="1124" spans="2:6" x14ac:dyDescent="0.2">
      <c r="B1124" s="12"/>
      <c r="C1124" s="12"/>
      <c r="D1124" s="17" t="str">
        <f t="shared" si="54"/>
        <v/>
      </c>
      <c r="E1124" s="18" t="str">
        <f t="shared" si="52"/>
        <v/>
      </c>
      <c r="F1124" s="17" t="str">
        <f t="shared" si="53"/>
        <v/>
      </c>
    </row>
    <row r="1125" spans="2:6" x14ac:dyDescent="0.2">
      <c r="B1125" s="12"/>
      <c r="C1125" s="12"/>
      <c r="D1125" s="17" t="str">
        <f t="shared" si="54"/>
        <v/>
      </c>
      <c r="E1125" s="18" t="str">
        <f t="shared" si="52"/>
        <v/>
      </c>
      <c r="F1125" s="17" t="str">
        <f t="shared" si="53"/>
        <v/>
      </c>
    </row>
    <row r="1126" spans="2:6" x14ac:dyDescent="0.2">
      <c r="B1126" s="12"/>
      <c r="C1126" s="12"/>
      <c r="D1126" s="17" t="str">
        <f t="shared" si="54"/>
        <v/>
      </c>
      <c r="E1126" s="18" t="str">
        <f t="shared" si="52"/>
        <v/>
      </c>
      <c r="F1126" s="17" t="str">
        <f t="shared" si="53"/>
        <v/>
      </c>
    </row>
    <row r="1127" spans="2:6" x14ac:dyDescent="0.2">
      <c r="B1127" s="12"/>
      <c r="C1127" s="12"/>
      <c r="D1127" s="17" t="str">
        <f t="shared" si="54"/>
        <v/>
      </c>
      <c r="E1127" s="18" t="str">
        <f t="shared" si="52"/>
        <v/>
      </c>
      <c r="F1127" s="17" t="str">
        <f t="shared" si="53"/>
        <v/>
      </c>
    </row>
    <row r="1128" spans="2:6" x14ac:dyDescent="0.2">
      <c r="B1128" s="12"/>
      <c r="C1128" s="12"/>
      <c r="D1128" s="17" t="str">
        <f t="shared" si="54"/>
        <v/>
      </c>
      <c r="E1128" s="18" t="str">
        <f t="shared" si="52"/>
        <v/>
      </c>
      <c r="F1128" s="17" t="str">
        <f t="shared" si="53"/>
        <v/>
      </c>
    </row>
    <row r="1129" spans="2:6" x14ac:dyDescent="0.2">
      <c r="B1129" s="12"/>
      <c r="C1129" s="12"/>
      <c r="D1129" s="17" t="str">
        <f t="shared" si="54"/>
        <v/>
      </c>
      <c r="E1129" s="18" t="str">
        <f t="shared" si="52"/>
        <v/>
      </c>
      <c r="F1129" s="17" t="str">
        <f t="shared" si="53"/>
        <v/>
      </c>
    </row>
    <row r="1130" spans="2:6" x14ac:dyDescent="0.2">
      <c r="B1130" s="12"/>
      <c r="C1130" s="12"/>
      <c r="D1130" s="17" t="str">
        <f t="shared" si="54"/>
        <v/>
      </c>
      <c r="E1130" s="18" t="str">
        <f t="shared" si="52"/>
        <v/>
      </c>
      <c r="F1130" s="17" t="str">
        <f t="shared" si="53"/>
        <v/>
      </c>
    </row>
    <row r="1131" spans="2:6" x14ac:dyDescent="0.2">
      <c r="B1131" s="12"/>
      <c r="C1131" s="12"/>
      <c r="D1131" s="17" t="str">
        <f t="shared" si="54"/>
        <v/>
      </c>
      <c r="E1131" s="18" t="str">
        <f t="shared" si="52"/>
        <v/>
      </c>
      <c r="F1131" s="17" t="str">
        <f t="shared" si="53"/>
        <v/>
      </c>
    </row>
    <row r="1132" spans="2:6" x14ac:dyDescent="0.2">
      <c r="B1132" s="12"/>
      <c r="C1132" s="12"/>
      <c r="D1132" s="17" t="str">
        <f t="shared" si="54"/>
        <v/>
      </c>
      <c r="E1132" s="18" t="str">
        <f t="shared" si="52"/>
        <v/>
      </c>
      <c r="F1132" s="17" t="str">
        <f t="shared" si="53"/>
        <v/>
      </c>
    </row>
    <row r="1133" spans="2:6" x14ac:dyDescent="0.2">
      <c r="B1133" s="12"/>
      <c r="C1133" s="12"/>
      <c r="D1133" s="17" t="str">
        <f t="shared" si="54"/>
        <v/>
      </c>
      <c r="E1133" s="18" t="str">
        <f t="shared" si="52"/>
        <v/>
      </c>
      <c r="F1133" s="17" t="str">
        <f t="shared" si="53"/>
        <v/>
      </c>
    </row>
    <row r="1134" spans="2:6" x14ac:dyDescent="0.2">
      <c r="B1134" s="12"/>
      <c r="C1134" s="12"/>
      <c r="D1134" s="17" t="str">
        <f t="shared" si="54"/>
        <v/>
      </c>
      <c r="E1134" s="18" t="str">
        <f t="shared" si="52"/>
        <v/>
      </c>
      <c r="F1134" s="17" t="str">
        <f t="shared" si="53"/>
        <v/>
      </c>
    </row>
    <row r="1135" spans="2:6" x14ac:dyDescent="0.2">
      <c r="B1135" s="12"/>
      <c r="C1135" s="12"/>
      <c r="D1135" s="17" t="str">
        <f t="shared" si="54"/>
        <v/>
      </c>
      <c r="E1135" s="18" t="str">
        <f t="shared" si="52"/>
        <v/>
      </c>
      <c r="F1135" s="17" t="str">
        <f t="shared" si="53"/>
        <v/>
      </c>
    </row>
    <row r="1136" spans="2:6" x14ac:dyDescent="0.2">
      <c r="B1136" s="12"/>
      <c r="C1136" s="12"/>
      <c r="D1136" s="17" t="str">
        <f t="shared" si="54"/>
        <v/>
      </c>
      <c r="E1136" s="18" t="str">
        <f t="shared" si="52"/>
        <v/>
      </c>
      <c r="F1136" s="17" t="str">
        <f t="shared" si="53"/>
        <v/>
      </c>
    </row>
    <row r="1137" spans="2:6" x14ac:dyDescent="0.2">
      <c r="B1137" s="12"/>
      <c r="C1137" s="12"/>
      <c r="D1137" s="17" t="str">
        <f t="shared" si="54"/>
        <v/>
      </c>
      <c r="E1137" s="18" t="str">
        <f t="shared" si="52"/>
        <v/>
      </c>
      <c r="F1137" s="17" t="str">
        <f t="shared" si="53"/>
        <v/>
      </c>
    </row>
    <row r="1138" spans="2:6" x14ac:dyDescent="0.2">
      <c r="B1138" s="12"/>
      <c r="C1138" s="12"/>
      <c r="D1138" s="17" t="str">
        <f t="shared" si="54"/>
        <v/>
      </c>
      <c r="E1138" s="18" t="str">
        <f t="shared" si="52"/>
        <v/>
      </c>
      <c r="F1138" s="17" t="str">
        <f t="shared" si="53"/>
        <v/>
      </c>
    </row>
    <row r="1139" spans="2:6" x14ac:dyDescent="0.2">
      <c r="B1139" s="12"/>
      <c r="C1139" s="12"/>
      <c r="D1139" s="17" t="str">
        <f t="shared" si="54"/>
        <v/>
      </c>
      <c r="E1139" s="18" t="str">
        <f t="shared" si="52"/>
        <v/>
      </c>
      <c r="F1139" s="17" t="str">
        <f t="shared" si="53"/>
        <v/>
      </c>
    </row>
    <row r="1140" spans="2:6" x14ac:dyDescent="0.2">
      <c r="B1140" s="12"/>
      <c r="C1140" s="12"/>
      <c r="D1140" s="17" t="str">
        <f t="shared" si="54"/>
        <v/>
      </c>
      <c r="E1140" s="18" t="str">
        <f t="shared" si="52"/>
        <v/>
      </c>
      <c r="F1140" s="17" t="str">
        <f t="shared" si="53"/>
        <v/>
      </c>
    </row>
    <row r="1141" spans="2:6" x14ac:dyDescent="0.2">
      <c r="B1141" s="12"/>
      <c r="C1141" s="12"/>
      <c r="D1141" s="17" t="str">
        <f t="shared" si="54"/>
        <v/>
      </c>
      <c r="E1141" s="18" t="str">
        <f t="shared" si="52"/>
        <v/>
      </c>
      <c r="F1141" s="17" t="str">
        <f t="shared" si="53"/>
        <v/>
      </c>
    </row>
    <row r="1142" spans="2:6" x14ac:dyDescent="0.2">
      <c r="B1142" s="12"/>
      <c r="C1142" s="12"/>
      <c r="D1142" s="17" t="str">
        <f t="shared" si="54"/>
        <v/>
      </c>
      <c r="E1142" s="18" t="str">
        <f t="shared" si="52"/>
        <v/>
      </c>
      <c r="F1142" s="17" t="str">
        <f t="shared" si="53"/>
        <v/>
      </c>
    </row>
    <row r="1143" spans="2:6" x14ac:dyDescent="0.2">
      <c r="B1143" s="12"/>
      <c r="C1143" s="12"/>
      <c r="D1143" s="17" t="str">
        <f t="shared" si="54"/>
        <v/>
      </c>
      <c r="E1143" s="18" t="str">
        <f t="shared" si="52"/>
        <v/>
      </c>
      <c r="F1143" s="17" t="str">
        <f t="shared" si="53"/>
        <v/>
      </c>
    </row>
    <row r="1144" spans="2:6" x14ac:dyDescent="0.2">
      <c r="B1144" s="12"/>
      <c r="C1144" s="12"/>
      <c r="D1144" s="17" t="str">
        <f t="shared" si="54"/>
        <v/>
      </c>
      <c r="E1144" s="18" t="str">
        <f t="shared" si="52"/>
        <v/>
      </c>
      <c r="F1144" s="17" t="str">
        <f t="shared" si="53"/>
        <v/>
      </c>
    </row>
    <row r="1145" spans="2:6" x14ac:dyDescent="0.2">
      <c r="B1145" s="12"/>
      <c r="C1145" s="12"/>
      <c r="D1145" s="17" t="str">
        <f t="shared" si="54"/>
        <v/>
      </c>
      <c r="E1145" s="18" t="str">
        <f t="shared" si="52"/>
        <v/>
      </c>
      <c r="F1145" s="17" t="str">
        <f t="shared" si="53"/>
        <v/>
      </c>
    </row>
    <row r="1146" spans="2:6" x14ac:dyDescent="0.2">
      <c r="B1146" s="12"/>
      <c r="C1146" s="12"/>
      <c r="D1146" s="17" t="str">
        <f t="shared" si="54"/>
        <v/>
      </c>
      <c r="E1146" s="18" t="str">
        <f t="shared" si="52"/>
        <v/>
      </c>
      <c r="F1146" s="17" t="str">
        <f t="shared" si="53"/>
        <v/>
      </c>
    </row>
    <row r="1147" spans="2:6" x14ac:dyDescent="0.2">
      <c r="B1147" s="12"/>
      <c r="C1147" s="12"/>
      <c r="D1147" s="17" t="str">
        <f t="shared" si="54"/>
        <v/>
      </c>
      <c r="E1147" s="18" t="str">
        <f t="shared" si="52"/>
        <v/>
      </c>
      <c r="F1147" s="17" t="str">
        <f t="shared" si="53"/>
        <v/>
      </c>
    </row>
    <row r="1148" spans="2:6" x14ac:dyDescent="0.2">
      <c r="B1148" s="12"/>
      <c r="C1148" s="12"/>
      <c r="D1148" s="17" t="str">
        <f t="shared" si="54"/>
        <v/>
      </c>
      <c r="E1148" s="18" t="str">
        <f t="shared" si="52"/>
        <v/>
      </c>
      <c r="F1148" s="17" t="str">
        <f t="shared" si="53"/>
        <v/>
      </c>
    </row>
    <row r="1149" spans="2:6" x14ac:dyDescent="0.2">
      <c r="B1149" s="12"/>
      <c r="C1149" s="12"/>
      <c r="D1149" s="17" t="str">
        <f t="shared" si="54"/>
        <v/>
      </c>
      <c r="E1149" s="18" t="str">
        <f t="shared" si="52"/>
        <v/>
      </c>
      <c r="F1149" s="17" t="str">
        <f t="shared" si="53"/>
        <v/>
      </c>
    </row>
    <row r="1150" spans="2:6" x14ac:dyDescent="0.2">
      <c r="B1150" s="12"/>
      <c r="C1150" s="12"/>
      <c r="D1150" s="17" t="str">
        <f t="shared" si="54"/>
        <v/>
      </c>
      <c r="E1150" s="18" t="str">
        <f t="shared" si="52"/>
        <v/>
      </c>
      <c r="F1150" s="17" t="str">
        <f t="shared" si="53"/>
        <v/>
      </c>
    </row>
    <row r="1151" spans="2:6" x14ac:dyDescent="0.2">
      <c r="B1151" s="12"/>
      <c r="C1151" s="12"/>
      <c r="D1151" s="17" t="str">
        <f t="shared" si="54"/>
        <v/>
      </c>
      <c r="E1151" s="18" t="str">
        <f t="shared" si="52"/>
        <v/>
      </c>
      <c r="F1151" s="17" t="str">
        <f t="shared" si="53"/>
        <v/>
      </c>
    </row>
    <row r="1152" spans="2:6" x14ac:dyDescent="0.2">
      <c r="B1152" s="12"/>
      <c r="C1152" s="12"/>
      <c r="D1152" s="17" t="str">
        <f t="shared" si="54"/>
        <v/>
      </c>
      <c r="E1152" s="18" t="str">
        <f t="shared" si="52"/>
        <v/>
      </c>
      <c r="F1152" s="17" t="str">
        <f t="shared" si="53"/>
        <v/>
      </c>
    </row>
    <row r="1153" spans="2:6" x14ac:dyDescent="0.2">
      <c r="B1153" s="12"/>
      <c r="C1153" s="12"/>
      <c r="D1153" s="17" t="str">
        <f t="shared" si="54"/>
        <v/>
      </c>
      <c r="E1153" s="18" t="str">
        <f t="shared" si="52"/>
        <v/>
      </c>
      <c r="F1153" s="17" t="str">
        <f t="shared" si="53"/>
        <v/>
      </c>
    </row>
    <row r="1154" spans="2:6" x14ac:dyDescent="0.2">
      <c r="B1154" s="12"/>
      <c r="C1154" s="12"/>
      <c r="D1154" s="17" t="str">
        <f t="shared" si="54"/>
        <v/>
      </c>
      <c r="E1154" s="18" t="str">
        <f t="shared" si="52"/>
        <v/>
      </c>
      <c r="F1154" s="17" t="str">
        <f t="shared" si="53"/>
        <v/>
      </c>
    </row>
    <row r="1155" spans="2:6" x14ac:dyDescent="0.2">
      <c r="B1155" s="12"/>
      <c r="C1155" s="12"/>
      <c r="D1155" s="17" t="str">
        <f t="shared" si="54"/>
        <v/>
      </c>
      <c r="E1155" s="18" t="str">
        <f t="shared" si="52"/>
        <v/>
      </c>
      <c r="F1155" s="17" t="str">
        <f t="shared" si="53"/>
        <v/>
      </c>
    </row>
    <row r="1156" spans="2:6" x14ac:dyDescent="0.2">
      <c r="B1156" s="12"/>
      <c r="C1156" s="12"/>
      <c r="D1156" s="17" t="str">
        <f t="shared" si="54"/>
        <v/>
      </c>
      <c r="E1156" s="18" t="str">
        <f t="shared" si="52"/>
        <v/>
      </c>
      <c r="F1156" s="17" t="str">
        <f t="shared" si="53"/>
        <v/>
      </c>
    </row>
    <row r="1157" spans="2:6" x14ac:dyDescent="0.2">
      <c r="B1157" s="12"/>
      <c r="C1157" s="12"/>
      <c r="D1157" s="17" t="str">
        <f t="shared" si="54"/>
        <v/>
      </c>
      <c r="E1157" s="18" t="str">
        <f t="shared" ref="E1157:E1220" si="55">IF(B1157="","",ABS(C1157-D1157))</f>
        <v/>
      </c>
      <c r="F1157" s="17" t="str">
        <f t="shared" ref="F1157:F1220" si="56">IF(B1157="","",E1157^2)</f>
        <v/>
      </c>
    </row>
    <row r="1158" spans="2:6" x14ac:dyDescent="0.2">
      <c r="B1158" s="12"/>
      <c r="C1158" s="12"/>
      <c r="D1158" s="17" t="str">
        <f t="shared" si="54"/>
        <v/>
      </c>
      <c r="E1158" s="18" t="str">
        <f t="shared" si="55"/>
        <v/>
      </c>
      <c r="F1158" s="17" t="str">
        <f t="shared" si="56"/>
        <v/>
      </c>
    </row>
    <row r="1159" spans="2:6" x14ac:dyDescent="0.2">
      <c r="B1159" s="12"/>
      <c r="C1159" s="12"/>
      <c r="D1159" s="17" t="str">
        <f t="shared" si="54"/>
        <v/>
      </c>
      <c r="E1159" s="18" t="str">
        <f t="shared" si="55"/>
        <v/>
      </c>
      <c r="F1159" s="17" t="str">
        <f t="shared" si="56"/>
        <v/>
      </c>
    </row>
    <row r="1160" spans="2:6" x14ac:dyDescent="0.2">
      <c r="B1160" s="12"/>
      <c r="C1160" s="12"/>
      <c r="D1160" s="17" t="str">
        <f t="shared" si="54"/>
        <v/>
      </c>
      <c r="E1160" s="18" t="str">
        <f t="shared" si="55"/>
        <v/>
      </c>
      <c r="F1160" s="17" t="str">
        <f t="shared" si="56"/>
        <v/>
      </c>
    </row>
    <row r="1161" spans="2:6" x14ac:dyDescent="0.2">
      <c r="B1161" s="12"/>
      <c r="C1161" s="12"/>
      <c r="D1161" s="17" t="str">
        <f t="shared" si="54"/>
        <v/>
      </c>
      <c r="E1161" s="18" t="str">
        <f t="shared" si="55"/>
        <v/>
      </c>
      <c r="F1161" s="17" t="str">
        <f t="shared" si="56"/>
        <v/>
      </c>
    </row>
    <row r="1162" spans="2:6" x14ac:dyDescent="0.2">
      <c r="B1162" s="12"/>
      <c r="C1162" s="12"/>
      <c r="D1162" s="17" t="str">
        <f t="shared" si="54"/>
        <v/>
      </c>
      <c r="E1162" s="18" t="str">
        <f t="shared" si="55"/>
        <v/>
      </c>
      <c r="F1162" s="17" t="str">
        <f t="shared" si="56"/>
        <v/>
      </c>
    </row>
    <row r="1163" spans="2:6" x14ac:dyDescent="0.2">
      <c r="B1163" s="12"/>
      <c r="C1163" s="12"/>
      <c r="D1163" s="17" t="str">
        <f t="shared" si="54"/>
        <v/>
      </c>
      <c r="E1163" s="18" t="str">
        <f t="shared" si="55"/>
        <v/>
      </c>
      <c r="F1163" s="17" t="str">
        <f t="shared" si="56"/>
        <v/>
      </c>
    </row>
    <row r="1164" spans="2:6" x14ac:dyDescent="0.2">
      <c r="B1164" s="12"/>
      <c r="C1164" s="12"/>
      <c r="D1164" s="17" t="str">
        <f t="shared" si="54"/>
        <v/>
      </c>
      <c r="E1164" s="18" t="str">
        <f t="shared" si="55"/>
        <v/>
      </c>
      <c r="F1164" s="17" t="str">
        <f t="shared" si="56"/>
        <v/>
      </c>
    </row>
    <row r="1165" spans="2:6" x14ac:dyDescent="0.2">
      <c r="B1165" s="12"/>
      <c r="C1165" s="12"/>
      <c r="D1165" s="17" t="str">
        <f t="shared" si="54"/>
        <v/>
      </c>
      <c r="E1165" s="18" t="str">
        <f t="shared" si="55"/>
        <v/>
      </c>
      <c r="F1165" s="17" t="str">
        <f t="shared" si="56"/>
        <v/>
      </c>
    </row>
    <row r="1166" spans="2:6" x14ac:dyDescent="0.2">
      <c r="B1166" s="12"/>
      <c r="C1166" s="12"/>
      <c r="D1166" s="17" t="str">
        <f t="shared" si="54"/>
        <v/>
      </c>
      <c r="E1166" s="18" t="str">
        <f t="shared" si="55"/>
        <v/>
      </c>
      <c r="F1166" s="17" t="str">
        <f t="shared" si="56"/>
        <v/>
      </c>
    </row>
    <row r="1167" spans="2:6" x14ac:dyDescent="0.2">
      <c r="B1167" s="12"/>
      <c r="C1167" s="12"/>
      <c r="D1167" s="17" t="str">
        <f t="shared" si="54"/>
        <v/>
      </c>
      <c r="E1167" s="18" t="str">
        <f t="shared" si="55"/>
        <v/>
      </c>
      <c r="F1167" s="17" t="str">
        <f t="shared" si="56"/>
        <v/>
      </c>
    </row>
    <row r="1168" spans="2:6" x14ac:dyDescent="0.2">
      <c r="B1168" s="12"/>
      <c r="C1168" s="12"/>
      <c r="D1168" s="17" t="str">
        <f t="shared" si="54"/>
        <v/>
      </c>
      <c r="E1168" s="18" t="str">
        <f t="shared" si="55"/>
        <v/>
      </c>
      <c r="F1168" s="17" t="str">
        <f t="shared" si="56"/>
        <v/>
      </c>
    </row>
    <row r="1169" spans="2:6" x14ac:dyDescent="0.2">
      <c r="B1169" s="12"/>
      <c r="C1169" s="12"/>
      <c r="D1169" s="17" t="str">
        <f t="shared" si="54"/>
        <v/>
      </c>
      <c r="E1169" s="18" t="str">
        <f t="shared" si="55"/>
        <v/>
      </c>
      <c r="F1169" s="17" t="str">
        <f t="shared" si="56"/>
        <v/>
      </c>
    </row>
    <row r="1170" spans="2:6" x14ac:dyDescent="0.2">
      <c r="B1170" s="12"/>
      <c r="C1170" s="12"/>
      <c r="D1170" s="17" t="str">
        <f t="shared" ref="D1170:D1233" si="57">IF(B1170="","",a+b*B1170)</f>
        <v/>
      </c>
      <c r="E1170" s="18" t="str">
        <f t="shared" si="55"/>
        <v/>
      </c>
      <c r="F1170" s="17" t="str">
        <f t="shared" si="56"/>
        <v/>
      </c>
    </row>
    <row r="1171" spans="2:6" x14ac:dyDescent="0.2">
      <c r="B1171" s="12"/>
      <c r="C1171" s="12"/>
      <c r="D1171" s="17" t="str">
        <f t="shared" si="57"/>
        <v/>
      </c>
      <c r="E1171" s="18" t="str">
        <f t="shared" si="55"/>
        <v/>
      </c>
      <c r="F1171" s="17" t="str">
        <f t="shared" si="56"/>
        <v/>
      </c>
    </row>
    <row r="1172" spans="2:6" x14ac:dyDescent="0.2">
      <c r="B1172" s="12"/>
      <c r="C1172" s="12"/>
      <c r="D1172" s="17" t="str">
        <f t="shared" si="57"/>
        <v/>
      </c>
      <c r="E1172" s="18" t="str">
        <f t="shared" si="55"/>
        <v/>
      </c>
      <c r="F1172" s="17" t="str">
        <f t="shared" si="56"/>
        <v/>
      </c>
    </row>
    <row r="1173" spans="2:6" x14ac:dyDescent="0.2">
      <c r="B1173" s="12"/>
      <c r="C1173" s="12"/>
      <c r="D1173" s="17" t="str">
        <f t="shared" si="57"/>
        <v/>
      </c>
      <c r="E1173" s="18" t="str">
        <f t="shared" si="55"/>
        <v/>
      </c>
      <c r="F1173" s="17" t="str">
        <f t="shared" si="56"/>
        <v/>
      </c>
    </row>
    <row r="1174" spans="2:6" x14ac:dyDescent="0.2">
      <c r="B1174" s="12"/>
      <c r="C1174" s="12"/>
      <c r="D1174" s="17" t="str">
        <f t="shared" si="57"/>
        <v/>
      </c>
      <c r="E1174" s="18" t="str">
        <f t="shared" si="55"/>
        <v/>
      </c>
      <c r="F1174" s="17" t="str">
        <f t="shared" si="56"/>
        <v/>
      </c>
    </row>
    <row r="1175" spans="2:6" x14ac:dyDescent="0.2">
      <c r="B1175" s="12"/>
      <c r="C1175" s="12"/>
      <c r="D1175" s="17" t="str">
        <f t="shared" si="57"/>
        <v/>
      </c>
      <c r="E1175" s="18" t="str">
        <f t="shared" si="55"/>
        <v/>
      </c>
      <c r="F1175" s="17" t="str">
        <f t="shared" si="56"/>
        <v/>
      </c>
    </row>
    <row r="1176" spans="2:6" x14ac:dyDescent="0.2">
      <c r="B1176" s="12"/>
      <c r="C1176" s="12"/>
      <c r="D1176" s="17" t="str">
        <f t="shared" si="57"/>
        <v/>
      </c>
      <c r="E1176" s="18" t="str">
        <f t="shared" si="55"/>
        <v/>
      </c>
      <c r="F1176" s="17" t="str">
        <f t="shared" si="56"/>
        <v/>
      </c>
    </row>
    <row r="1177" spans="2:6" x14ac:dyDescent="0.2">
      <c r="B1177" s="12"/>
      <c r="C1177" s="12"/>
      <c r="D1177" s="17" t="str">
        <f t="shared" si="57"/>
        <v/>
      </c>
      <c r="E1177" s="18" t="str">
        <f t="shared" si="55"/>
        <v/>
      </c>
      <c r="F1177" s="17" t="str">
        <f t="shared" si="56"/>
        <v/>
      </c>
    </row>
    <row r="1178" spans="2:6" x14ac:dyDescent="0.2">
      <c r="B1178" s="12"/>
      <c r="C1178" s="12"/>
      <c r="D1178" s="17" t="str">
        <f t="shared" si="57"/>
        <v/>
      </c>
      <c r="E1178" s="18" t="str">
        <f t="shared" si="55"/>
        <v/>
      </c>
      <c r="F1178" s="17" t="str">
        <f t="shared" si="56"/>
        <v/>
      </c>
    </row>
    <row r="1179" spans="2:6" x14ac:dyDescent="0.2">
      <c r="B1179" s="12"/>
      <c r="C1179" s="12"/>
      <c r="D1179" s="17" t="str">
        <f t="shared" si="57"/>
        <v/>
      </c>
      <c r="E1179" s="18" t="str">
        <f t="shared" si="55"/>
        <v/>
      </c>
      <c r="F1179" s="17" t="str">
        <f t="shared" si="56"/>
        <v/>
      </c>
    </row>
    <row r="1180" spans="2:6" x14ac:dyDescent="0.2">
      <c r="B1180" s="12"/>
      <c r="C1180" s="12"/>
      <c r="D1180" s="17" t="str">
        <f t="shared" si="57"/>
        <v/>
      </c>
      <c r="E1180" s="18" t="str">
        <f t="shared" si="55"/>
        <v/>
      </c>
      <c r="F1180" s="17" t="str">
        <f t="shared" si="56"/>
        <v/>
      </c>
    </row>
    <row r="1181" spans="2:6" x14ac:dyDescent="0.2">
      <c r="B1181" s="12"/>
      <c r="C1181" s="12"/>
      <c r="D1181" s="17" t="str">
        <f t="shared" si="57"/>
        <v/>
      </c>
      <c r="E1181" s="18" t="str">
        <f t="shared" si="55"/>
        <v/>
      </c>
      <c r="F1181" s="17" t="str">
        <f t="shared" si="56"/>
        <v/>
      </c>
    </row>
    <row r="1182" spans="2:6" x14ac:dyDescent="0.2">
      <c r="B1182" s="12"/>
      <c r="C1182" s="12"/>
      <c r="D1182" s="17" t="str">
        <f t="shared" si="57"/>
        <v/>
      </c>
      <c r="E1182" s="18" t="str">
        <f t="shared" si="55"/>
        <v/>
      </c>
      <c r="F1182" s="17" t="str">
        <f t="shared" si="56"/>
        <v/>
      </c>
    </row>
    <row r="1183" spans="2:6" x14ac:dyDescent="0.2">
      <c r="B1183" s="12"/>
      <c r="C1183" s="12"/>
      <c r="D1183" s="17" t="str">
        <f t="shared" si="57"/>
        <v/>
      </c>
      <c r="E1183" s="18" t="str">
        <f t="shared" si="55"/>
        <v/>
      </c>
      <c r="F1183" s="17" t="str">
        <f t="shared" si="56"/>
        <v/>
      </c>
    </row>
    <row r="1184" spans="2:6" x14ac:dyDescent="0.2">
      <c r="B1184" s="12"/>
      <c r="C1184" s="12"/>
      <c r="D1184" s="17" t="str">
        <f t="shared" si="57"/>
        <v/>
      </c>
      <c r="E1184" s="18" t="str">
        <f t="shared" si="55"/>
        <v/>
      </c>
      <c r="F1184" s="17" t="str">
        <f t="shared" si="56"/>
        <v/>
      </c>
    </row>
    <row r="1185" spans="2:6" x14ac:dyDescent="0.2">
      <c r="B1185" s="12"/>
      <c r="C1185" s="12"/>
      <c r="D1185" s="17" t="str">
        <f t="shared" si="57"/>
        <v/>
      </c>
      <c r="E1185" s="18" t="str">
        <f t="shared" si="55"/>
        <v/>
      </c>
      <c r="F1185" s="17" t="str">
        <f t="shared" si="56"/>
        <v/>
      </c>
    </row>
    <row r="1186" spans="2:6" x14ac:dyDescent="0.2">
      <c r="B1186" s="12"/>
      <c r="C1186" s="12"/>
      <c r="D1186" s="17" t="str">
        <f t="shared" si="57"/>
        <v/>
      </c>
      <c r="E1186" s="18" t="str">
        <f t="shared" si="55"/>
        <v/>
      </c>
      <c r="F1186" s="17" t="str">
        <f t="shared" si="56"/>
        <v/>
      </c>
    </row>
    <row r="1187" spans="2:6" x14ac:dyDescent="0.2">
      <c r="B1187" s="12"/>
      <c r="C1187" s="12"/>
      <c r="D1187" s="17" t="str">
        <f t="shared" si="57"/>
        <v/>
      </c>
      <c r="E1187" s="18" t="str">
        <f t="shared" si="55"/>
        <v/>
      </c>
      <c r="F1187" s="17" t="str">
        <f t="shared" si="56"/>
        <v/>
      </c>
    </row>
    <row r="1188" spans="2:6" x14ac:dyDescent="0.2">
      <c r="B1188" s="12"/>
      <c r="C1188" s="12"/>
      <c r="D1188" s="17" t="str">
        <f t="shared" si="57"/>
        <v/>
      </c>
      <c r="E1188" s="18" t="str">
        <f t="shared" si="55"/>
        <v/>
      </c>
      <c r="F1188" s="17" t="str">
        <f t="shared" si="56"/>
        <v/>
      </c>
    </row>
    <row r="1189" spans="2:6" x14ac:dyDescent="0.2">
      <c r="B1189" s="12"/>
      <c r="C1189" s="12"/>
      <c r="D1189" s="17" t="str">
        <f t="shared" si="57"/>
        <v/>
      </c>
      <c r="E1189" s="18" t="str">
        <f t="shared" si="55"/>
        <v/>
      </c>
      <c r="F1189" s="17" t="str">
        <f t="shared" si="56"/>
        <v/>
      </c>
    </row>
    <row r="1190" spans="2:6" x14ac:dyDescent="0.2">
      <c r="B1190" s="12"/>
      <c r="C1190" s="12"/>
      <c r="D1190" s="17" t="str">
        <f t="shared" si="57"/>
        <v/>
      </c>
      <c r="E1190" s="18" t="str">
        <f t="shared" si="55"/>
        <v/>
      </c>
      <c r="F1190" s="17" t="str">
        <f t="shared" si="56"/>
        <v/>
      </c>
    </row>
    <row r="1191" spans="2:6" x14ac:dyDescent="0.2">
      <c r="B1191" s="12"/>
      <c r="C1191" s="12"/>
      <c r="D1191" s="17" t="str">
        <f t="shared" si="57"/>
        <v/>
      </c>
      <c r="E1191" s="18" t="str">
        <f t="shared" si="55"/>
        <v/>
      </c>
      <c r="F1191" s="17" t="str">
        <f t="shared" si="56"/>
        <v/>
      </c>
    </row>
    <row r="1192" spans="2:6" x14ac:dyDescent="0.2">
      <c r="B1192" s="12"/>
      <c r="C1192" s="12"/>
      <c r="D1192" s="17" t="str">
        <f t="shared" si="57"/>
        <v/>
      </c>
      <c r="E1192" s="18" t="str">
        <f t="shared" si="55"/>
        <v/>
      </c>
      <c r="F1192" s="17" t="str">
        <f t="shared" si="56"/>
        <v/>
      </c>
    </row>
    <row r="1193" spans="2:6" x14ac:dyDescent="0.2">
      <c r="B1193" s="12"/>
      <c r="C1193" s="12"/>
      <c r="D1193" s="17" t="str">
        <f t="shared" si="57"/>
        <v/>
      </c>
      <c r="E1193" s="18" t="str">
        <f t="shared" si="55"/>
        <v/>
      </c>
      <c r="F1193" s="17" t="str">
        <f t="shared" si="56"/>
        <v/>
      </c>
    </row>
    <row r="1194" spans="2:6" x14ac:dyDescent="0.2">
      <c r="B1194" s="12"/>
      <c r="C1194" s="12"/>
      <c r="D1194" s="17" t="str">
        <f t="shared" si="57"/>
        <v/>
      </c>
      <c r="E1194" s="18" t="str">
        <f t="shared" si="55"/>
        <v/>
      </c>
      <c r="F1194" s="17" t="str">
        <f t="shared" si="56"/>
        <v/>
      </c>
    </row>
    <row r="1195" spans="2:6" x14ac:dyDescent="0.2">
      <c r="B1195" s="12"/>
      <c r="C1195" s="12"/>
      <c r="D1195" s="17" t="str">
        <f t="shared" si="57"/>
        <v/>
      </c>
      <c r="E1195" s="18" t="str">
        <f t="shared" si="55"/>
        <v/>
      </c>
      <c r="F1195" s="17" t="str">
        <f t="shared" si="56"/>
        <v/>
      </c>
    </row>
    <row r="1196" spans="2:6" x14ac:dyDescent="0.2">
      <c r="B1196" s="12"/>
      <c r="C1196" s="12"/>
      <c r="D1196" s="17" t="str">
        <f t="shared" si="57"/>
        <v/>
      </c>
      <c r="E1196" s="18" t="str">
        <f t="shared" si="55"/>
        <v/>
      </c>
      <c r="F1196" s="17" t="str">
        <f t="shared" si="56"/>
        <v/>
      </c>
    </row>
    <row r="1197" spans="2:6" x14ac:dyDescent="0.2">
      <c r="B1197" s="12"/>
      <c r="C1197" s="12"/>
      <c r="D1197" s="17" t="str">
        <f t="shared" si="57"/>
        <v/>
      </c>
      <c r="E1197" s="18" t="str">
        <f t="shared" si="55"/>
        <v/>
      </c>
      <c r="F1197" s="17" t="str">
        <f t="shared" si="56"/>
        <v/>
      </c>
    </row>
    <row r="1198" spans="2:6" x14ac:dyDescent="0.2">
      <c r="B1198" s="12"/>
      <c r="C1198" s="12"/>
      <c r="D1198" s="17" t="str">
        <f t="shared" si="57"/>
        <v/>
      </c>
      <c r="E1198" s="18" t="str">
        <f t="shared" si="55"/>
        <v/>
      </c>
      <c r="F1198" s="17" t="str">
        <f t="shared" si="56"/>
        <v/>
      </c>
    </row>
    <row r="1199" spans="2:6" x14ac:dyDescent="0.2">
      <c r="B1199" s="12"/>
      <c r="C1199" s="12"/>
      <c r="D1199" s="17" t="str">
        <f t="shared" si="57"/>
        <v/>
      </c>
      <c r="E1199" s="18" t="str">
        <f t="shared" si="55"/>
        <v/>
      </c>
      <c r="F1199" s="17" t="str">
        <f t="shared" si="56"/>
        <v/>
      </c>
    </row>
    <row r="1200" spans="2:6" x14ac:dyDescent="0.2">
      <c r="B1200" s="12"/>
      <c r="C1200" s="12"/>
      <c r="D1200" s="17" t="str">
        <f t="shared" si="57"/>
        <v/>
      </c>
      <c r="E1200" s="18" t="str">
        <f t="shared" si="55"/>
        <v/>
      </c>
      <c r="F1200" s="17" t="str">
        <f t="shared" si="56"/>
        <v/>
      </c>
    </row>
    <row r="1201" spans="2:6" x14ac:dyDescent="0.2">
      <c r="B1201" s="12"/>
      <c r="C1201" s="12"/>
      <c r="D1201" s="17" t="str">
        <f t="shared" si="57"/>
        <v/>
      </c>
      <c r="E1201" s="18" t="str">
        <f t="shared" si="55"/>
        <v/>
      </c>
      <c r="F1201" s="17" t="str">
        <f t="shared" si="56"/>
        <v/>
      </c>
    </row>
    <row r="1202" spans="2:6" x14ac:dyDescent="0.2">
      <c r="B1202" s="12"/>
      <c r="C1202" s="12"/>
      <c r="D1202" s="17" t="str">
        <f t="shared" si="57"/>
        <v/>
      </c>
      <c r="E1202" s="18" t="str">
        <f t="shared" si="55"/>
        <v/>
      </c>
      <c r="F1202" s="17" t="str">
        <f t="shared" si="56"/>
        <v/>
      </c>
    </row>
    <row r="1203" spans="2:6" x14ac:dyDescent="0.2">
      <c r="B1203" s="12"/>
      <c r="C1203" s="12"/>
      <c r="D1203" s="17" t="str">
        <f t="shared" si="57"/>
        <v/>
      </c>
      <c r="E1203" s="18" t="str">
        <f t="shared" si="55"/>
        <v/>
      </c>
      <c r="F1203" s="17" t="str">
        <f t="shared" si="56"/>
        <v/>
      </c>
    </row>
    <row r="1204" spans="2:6" x14ac:dyDescent="0.2">
      <c r="B1204" s="12"/>
      <c r="C1204" s="12"/>
      <c r="D1204" s="17" t="str">
        <f t="shared" si="57"/>
        <v/>
      </c>
      <c r="E1204" s="18" t="str">
        <f t="shared" si="55"/>
        <v/>
      </c>
      <c r="F1204" s="17" t="str">
        <f t="shared" si="56"/>
        <v/>
      </c>
    </row>
    <row r="1205" spans="2:6" x14ac:dyDescent="0.2">
      <c r="B1205" s="12"/>
      <c r="C1205" s="12"/>
      <c r="D1205" s="17" t="str">
        <f t="shared" si="57"/>
        <v/>
      </c>
      <c r="E1205" s="18" t="str">
        <f t="shared" si="55"/>
        <v/>
      </c>
      <c r="F1205" s="17" t="str">
        <f t="shared" si="56"/>
        <v/>
      </c>
    </row>
    <row r="1206" spans="2:6" x14ac:dyDescent="0.2">
      <c r="B1206" s="12"/>
      <c r="C1206" s="12"/>
      <c r="D1206" s="17" t="str">
        <f t="shared" si="57"/>
        <v/>
      </c>
      <c r="E1206" s="18" t="str">
        <f t="shared" si="55"/>
        <v/>
      </c>
      <c r="F1206" s="17" t="str">
        <f t="shared" si="56"/>
        <v/>
      </c>
    </row>
    <row r="1207" spans="2:6" x14ac:dyDescent="0.2">
      <c r="B1207" s="12"/>
      <c r="C1207" s="12"/>
      <c r="D1207" s="17" t="str">
        <f t="shared" si="57"/>
        <v/>
      </c>
      <c r="E1207" s="18" t="str">
        <f t="shared" si="55"/>
        <v/>
      </c>
      <c r="F1207" s="17" t="str">
        <f t="shared" si="56"/>
        <v/>
      </c>
    </row>
    <row r="1208" spans="2:6" x14ac:dyDescent="0.2">
      <c r="B1208" s="12"/>
      <c r="C1208" s="12"/>
      <c r="D1208" s="17" t="str">
        <f t="shared" si="57"/>
        <v/>
      </c>
      <c r="E1208" s="18" t="str">
        <f t="shared" si="55"/>
        <v/>
      </c>
      <c r="F1208" s="17" t="str">
        <f t="shared" si="56"/>
        <v/>
      </c>
    </row>
    <row r="1209" spans="2:6" x14ac:dyDescent="0.2">
      <c r="B1209" s="12"/>
      <c r="C1209" s="12"/>
      <c r="D1209" s="17" t="str">
        <f t="shared" si="57"/>
        <v/>
      </c>
      <c r="E1209" s="18" t="str">
        <f t="shared" si="55"/>
        <v/>
      </c>
      <c r="F1209" s="17" t="str">
        <f t="shared" si="56"/>
        <v/>
      </c>
    </row>
    <row r="1210" spans="2:6" x14ac:dyDescent="0.2">
      <c r="B1210" s="12"/>
      <c r="C1210" s="12"/>
      <c r="D1210" s="17" t="str">
        <f t="shared" si="57"/>
        <v/>
      </c>
      <c r="E1210" s="18" t="str">
        <f t="shared" si="55"/>
        <v/>
      </c>
      <c r="F1210" s="17" t="str">
        <f t="shared" si="56"/>
        <v/>
      </c>
    </row>
    <row r="1211" spans="2:6" x14ac:dyDescent="0.2">
      <c r="B1211" s="12"/>
      <c r="C1211" s="12"/>
      <c r="D1211" s="17" t="str">
        <f t="shared" si="57"/>
        <v/>
      </c>
      <c r="E1211" s="18" t="str">
        <f t="shared" si="55"/>
        <v/>
      </c>
      <c r="F1211" s="17" t="str">
        <f t="shared" si="56"/>
        <v/>
      </c>
    </row>
    <row r="1212" spans="2:6" x14ac:dyDescent="0.2">
      <c r="B1212" s="12"/>
      <c r="C1212" s="12"/>
      <c r="D1212" s="17" t="str">
        <f t="shared" si="57"/>
        <v/>
      </c>
      <c r="E1212" s="18" t="str">
        <f t="shared" si="55"/>
        <v/>
      </c>
      <c r="F1212" s="17" t="str">
        <f t="shared" si="56"/>
        <v/>
      </c>
    </row>
    <row r="1213" spans="2:6" x14ac:dyDescent="0.2">
      <c r="B1213" s="12"/>
      <c r="C1213" s="12"/>
      <c r="D1213" s="17" t="str">
        <f t="shared" si="57"/>
        <v/>
      </c>
      <c r="E1213" s="18" t="str">
        <f t="shared" si="55"/>
        <v/>
      </c>
      <c r="F1213" s="17" t="str">
        <f t="shared" si="56"/>
        <v/>
      </c>
    </row>
    <row r="1214" spans="2:6" x14ac:dyDescent="0.2">
      <c r="B1214" s="12"/>
      <c r="C1214" s="12"/>
      <c r="D1214" s="17" t="str">
        <f t="shared" si="57"/>
        <v/>
      </c>
      <c r="E1214" s="18" t="str">
        <f t="shared" si="55"/>
        <v/>
      </c>
      <c r="F1214" s="17" t="str">
        <f t="shared" si="56"/>
        <v/>
      </c>
    </row>
    <row r="1215" spans="2:6" x14ac:dyDescent="0.2">
      <c r="B1215" s="12"/>
      <c r="C1215" s="12"/>
      <c r="D1215" s="17" t="str">
        <f t="shared" si="57"/>
        <v/>
      </c>
      <c r="E1215" s="18" t="str">
        <f t="shared" si="55"/>
        <v/>
      </c>
      <c r="F1215" s="17" t="str">
        <f t="shared" si="56"/>
        <v/>
      </c>
    </row>
    <row r="1216" spans="2:6" x14ac:dyDescent="0.2">
      <c r="B1216" s="12"/>
      <c r="C1216" s="12"/>
      <c r="D1216" s="17" t="str">
        <f t="shared" si="57"/>
        <v/>
      </c>
      <c r="E1216" s="18" t="str">
        <f t="shared" si="55"/>
        <v/>
      </c>
      <c r="F1216" s="17" t="str">
        <f t="shared" si="56"/>
        <v/>
      </c>
    </row>
    <row r="1217" spans="2:6" x14ac:dyDescent="0.2">
      <c r="B1217" s="12"/>
      <c r="C1217" s="12"/>
      <c r="D1217" s="17" t="str">
        <f t="shared" si="57"/>
        <v/>
      </c>
      <c r="E1217" s="18" t="str">
        <f t="shared" si="55"/>
        <v/>
      </c>
      <c r="F1217" s="17" t="str">
        <f t="shared" si="56"/>
        <v/>
      </c>
    </row>
    <row r="1218" spans="2:6" x14ac:dyDescent="0.2">
      <c r="B1218" s="12"/>
      <c r="C1218" s="12"/>
      <c r="D1218" s="17" t="str">
        <f t="shared" si="57"/>
        <v/>
      </c>
      <c r="E1218" s="18" t="str">
        <f t="shared" si="55"/>
        <v/>
      </c>
      <c r="F1218" s="17" t="str">
        <f t="shared" si="56"/>
        <v/>
      </c>
    </row>
    <row r="1219" spans="2:6" x14ac:dyDescent="0.2">
      <c r="B1219" s="12"/>
      <c r="C1219" s="12"/>
      <c r="D1219" s="17" t="str">
        <f t="shared" si="57"/>
        <v/>
      </c>
      <c r="E1219" s="18" t="str">
        <f t="shared" si="55"/>
        <v/>
      </c>
      <c r="F1219" s="17" t="str">
        <f t="shared" si="56"/>
        <v/>
      </c>
    </row>
    <row r="1220" spans="2:6" x14ac:dyDescent="0.2">
      <c r="B1220" s="12"/>
      <c r="C1220" s="12"/>
      <c r="D1220" s="17" t="str">
        <f t="shared" si="57"/>
        <v/>
      </c>
      <c r="E1220" s="18" t="str">
        <f t="shared" si="55"/>
        <v/>
      </c>
      <c r="F1220" s="17" t="str">
        <f t="shared" si="56"/>
        <v/>
      </c>
    </row>
    <row r="1221" spans="2:6" x14ac:dyDescent="0.2">
      <c r="B1221" s="12"/>
      <c r="C1221" s="12"/>
      <c r="D1221" s="17" t="str">
        <f t="shared" si="57"/>
        <v/>
      </c>
      <c r="E1221" s="18" t="str">
        <f t="shared" ref="E1221:E1284" si="58">IF(B1221="","",ABS(C1221-D1221))</f>
        <v/>
      </c>
      <c r="F1221" s="17" t="str">
        <f t="shared" ref="F1221:F1284" si="59">IF(B1221="","",E1221^2)</f>
        <v/>
      </c>
    </row>
    <row r="1222" spans="2:6" x14ac:dyDescent="0.2">
      <c r="B1222" s="12"/>
      <c r="C1222" s="12"/>
      <c r="D1222" s="17" t="str">
        <f t="shared" si="57"/>
        <v/>
      </c>
      <c r="E1222" s="18" t="str">
        <f t="shared" si="58"/>
        <v/>
      </c>
      <c r="F1222" s="17" t="str">
        <f t="shared" si="59"/>
        <v/>
      </c>
    </row>
    <row r="1223" spans="2:6" x14ac:dyDescent="0.2">
      <c r="B1223" s="12"/>
      <c r="C1223" s="12"/>
      <c r="D1223" s="17" t="str">
        <f t="shared" si="57"/>
        <v/>
      </c>
      <c r="E1223" s="18" t="str">
        <f t="shared" si="58"/>
        <v/>
      </c>
      <c r="F1223" s="17" t="str">
        <f t="shared" si="59"/>
        <v/>
      </c>
    </row>
    <row r="1224" spans="2:6" x14ac:dyDescent="0.2">
      <c r="B1224" s="12"/>
      <c r="C1224" s="12"/>
      <c r="D1224" s="17" t="str">
        <f t="shared" si="57"/>
        <v/>
      </c>
      <c r="E1224" s="18" t="str">
        <f t="shared" si="58"/>
        <v/>
      </c>
      <c r="F1224" s="17" t="str">
        <f t="shared" si="59"/>
        <v/>
      </c>
    </row>
    <row r="1225" spans="2:6" x14ac:dyDescent="0.2">
      <c r="B1225" s="12"/>
      <c r="C1225" s="12"/>
      <c r="D1225" s="17" t="str">
        <f t="shared" si="57"/>
        <v/>
      </c>
      <c r="E1225" s="18" t="str">
        <f t="shared" si="58"/>
        <v/>
      </c>
      <c r="F1225" s="17" t="str">
        <f t="shared" si="59"/>
        <v/>
      </c>
    </row>
    <row r="1226" spans="2:6" x14ac:dyDescent="0.2">
      <c r="B1226" s="12"/>
      <c r="C1226" s="12"/>
      <c r="D1226" s="17" t="str">
        <f t="shared" si="57"/>
        <v/>
      </c>
      <c r="E1226" s="18" t="str">
        <f t="shared" si="58"/>
        <v/>
      </c>
      <c r="F1226" s="17" t="str">
        <f t="shared" si="59"/>
        <v/>
      </c>
    </row>
    <row r="1227" spans="2:6" x14ac:dyDescent="0.2">
      <c r="B1227" s="12"/>
      <c r="C1227" s="12"/>
      <c r="D1227" s="17" t="str">
        <f t="shared" si="57"/>
        <v/>
      </c>
      <c r="E1227" s="18" t="str">
        <f t="shared" si="58"/>
        <v/>
      </c>
      <c r="F1227" s="17" t="str">
        <f t="shared" si="59"/>
        <v/>
      </c>
    </row>
    <row r="1228" spans="2:6" x14ac:dyDescent="0.2">
      <c r="B1228" s="12"/>
      <c r="C1228" s="12"/>
      <c r="D1228" s="17" t="str">
        <f t="shared" si="57"/>
        <v/>
      </c>
      <c r="E1228" s="18" t="str">
        <f t="shared" si="58"/>
        <v/>
      </c>
      <c r="F1228" s="17" t="str">
        <f t="shared" si="59"/>
        <v/>
      </c>
    </row>
    <row r="1229" spans="2:6" x14ac:dyDescent="0.2">
      <c r="B1229" s="12"/>
      <c r="C1229" s="12"/>
      <c r="D1229" s="17" t="str">
        <f t="shared" si="57"/>
        <v/>
      </c>
      <c r="E1229" s="18" t="str">
        <f t="shared" si="58"/>
        <v/>
      </c>
      <c r="F1229" s="17" t="str">
        <f t="shared" si="59"/>
        <v/>
      </c>
    </row>
    <row r="1230" spans="2:6" x14ac:dyDescent="0.2">
      <c r="B1230" s="12"/>
      <c r="C1230" s="12"/>
      <c r="D1230" s="17" t="str">
        <f t="shared" si="57"/>
        <v/>
      </c>
      <c r="E1230" s="18" t="str">
        <f t="shared" si="58"/>
        <v/>
      </c>
      <c r="F1230" s="17" t="str">
        <f t="shared" si="59"/>
        <v/>
      </c>
    </row>
    <row r="1231" spans="2:6" x14ac:dyDescent="0.2">
      <c r="B1231" s="12"/>
      <c r="C1231" s="12"/>
      <c r="D1231" s="17" t="str">
        <f t="shared" si="57"/>
        <v/>
      </c>
      <c r="E1231" s="18" t="str">
        <f t="shared" si="58"/>
        <v/>
      </c>
      <c r="F1231" s="17" t="str">
        <f t="shared" si="59"/>
        <v/>
      </c>
    </row>
    <row r="1232" spans="2:6" x14ac:dyDescent="0.2">
      <c r="B1232" s="12"/>
      <c r="C1232" s="12"/>
      <c r="D1232" s="17" t="str">
        <f t="shared" si="57"/>
        <v/>
      </c>
      <c r="E1232" s="18" t="str">
        <f t="shared" si="58"/>
        <v/>
      </c>
      <c r="F1232" s="17" t="str">
        <f t="shared" si="59"/>
        <v/>
      </c>
    </row>
    <row r="1233" spans="2:6" x14ac:dyDescent="0.2">
      <c r="B1233" s="12"/>
      <c r="C1233" s="12"/>
      <c r="D1233" s="17" t="str">
        <f t="shared" si="57"/>
        <v/>
      </c>
      <c r="E1233" s="18" t="str">
        <f t="shared" si="58"/>
        <v/>
      </c>
      <c r="F1233" s="17" t="str">
        <f t="shared" si="59"/>
        <v/>
      </c>
    </row>
    <row r="1234" spans="2:6" x14ac:dyDescent="0.2">
      <c r="B1234" s="12"/>
      <c r="C1234" s="12"/>
      <c r="D1234" s="17" t="str">
        <f t="shared" ref="D1234:D1297" si="60">IF(B1234="","",a+b*B1234)</f>
        <v/>
      </c>
      <c r="E1234" s="18" t="str">
        <f t="shared" si="58"/>
        <v/>
      </c>
      <c r="F1234" s="17" t="str">
        <f t="shared" si="59"/>
        <v/>
      </c>
    </row>
    <row r="1235" spans="2:6" x14ac:dyDescent="0.2">
      <c r="B1235" s="12"/>
      <c r="C1235" s="12"/>
      <c r="D1235" s="17" t="str">
        <f t="shared" si="60"/>
        <v/>
      </c>
      <c r="E1235" s="18" t="str">
        <f t="shared" si="58"/>
        <v/>
      </c>
      <c r="F1235" s="17" t="str">
        <f t="shared" si="59"/>
        <v/>
      </c>
    </row>
    <row r="1236" spans="2:6" x14ac:dyDescent="0.2">
      <c r="B1236" s="12"/>
      <c r="C1236" s="12"/>
      <c r="D1236" s="17" t="str">
        <f t="shared" si="60"/>
        <v/>
      </c>
      <c r="E1236" s="18" t="str">
        <f t="shared" si="58"/>
        <v/>
      </c>
      <c r="F1236" s="17" t="str">
        <f t="shared" si="59"/>
        <v/>
      </c>
    </row>
    <row r="1237" spans="2:6" x14ac:dyDescent="0.2">
      <c r="B1237" s="12"/>
      <c r="C1237" s="12"/>
      <c r="D1237" s="17" t="str">
        <f t="shared" si="60"/>
        <v/>
      </c>
      <c r="E1237" s="18" t="str">
        <f t="shared" si="58"/>
        <v/>
      </c>
      <c r="F1237" s="17" t="str">
        <f t="shared" si="59"/>
        <v/>
      </c>
    </row>
    <row r="1238" spans="2:6" x14ac:dyDescent="0.2">
      <c r="B1238" s="12"/>
      <c r="C1238" s="12"/>
      <c r="D1238" s="17" t="str">
        <f t="shared" si="60"/>
        <v/>
      </c>
      <c r="E1238" s="18" t="str">
        <f t="shared" si="58"/>
        <v/>
      </c>
      <c r="F1238" s="17" t="str">
        <f t="shared" si="59"/>
        <v/>
      </c>
    </row>
    <row r="1239" spans="2:6" x14ac:dyDescent="0.2">
      <c r="B1239" s="12"/>
      <c r="C1239" s="12"/>
      <c r="D1239" s="17" t="str">
        <f t="shared" si="60"/>
        <v/>
      </c>
      <c r="E1239" s="18" t="str">
        <f t="shared" si="58"/>
        <v/>
      </c>
      <c r="F1239" s="17" t="str">
        <f t="shared" si="59"/>
        <v/>
      </c>
    </row>
    <row r="1240" spans="2:6" x14ac:dyDescent="0.2">
      <c r="B1240" s="12"/>
      <c r="C1240" s="12"/>
      <c r="D1240" s="17" t="str">
        <f t="shared" si="60"/>
        <v/>
      </c>
      <c r="E1240" s="18" t="str">
        <f t="shared" si="58"/>
        <v/>
      </c>
      <c r="F1240" s="17" t="str">
        <f t="shared" si="59"/>
        <v/>
      </c>
    </row>
    <row r="1241" spans="2:6" x14ac:dyDescent="0.2">
      <c r="B1241" s="12"/>
      <c r="C1241" s="12"/>
      <c r="D1241" s="17" t="str">
        <f t="shared" si="60"/>
        <v/>
      </c>
      <c r="E1241" s="18" t="str">
        <f t="shared" si="58"/>
        <v/>
      </c>
      <c r="F1241" s="17" t="str">
        <f t="shared" si="59"/>
        <v/>
      </c>
    </row>
    <row r="1242" spans="2:6" x14ac:dyDescent="0.2">
      <c r="B1242" s="12"/>
      <c r="C1242" s="12"/>
      <c r="D1242" s="17" t="str">
        <f t="shared" si="60"/>
        <v/>
      </c>
      <c r="E1242" s="18" t="str">
        <f t="shared" si="58"/>
        <v/>
      </c>
      <c r="F1242" s="17" t="str">
        <f t="shared" si="59"/>
        <v/>
      </c>
    </row>
    <row r="1243" spans="2:6" x14ac:dyDescent="0.2">
      <c r="B1243" s="12"/>
      <c r="C1243" s="12"/>
      <c r="D1243" s="17" t="str">
        <f t="shared" si="60"/>
        <v/>
      </c>
      <c r="E1243" s="18" t="str">
        <f t="shared" si="58"/>
        <v/>
      </c>
      <c r="F1243" s="17" t="str">
        <f t="shared" si="59"/>
        <v/>
      </c>
    </row>
    <row r="1244" spans="2:6" x14ac:dyDescent="0.2">
      <c r="B1244" s="12"/>
      <c r="C1244" s="12"/>
      <c r="D1244" s="17" t="str">
        <f t="shared" si="60"/>
        <v/>
      </c>
      <c r="E1244" s="18" t="str">
        <f t="shared" si="58"/>
        <v/>
      </c>
      <c r="F1244" s="17" t="str">
        <f t="shared" si="59"/>
        <v/>
      </c>
    </row>
    <row r="1245" spans="2:6" x14ac:dyDescent="0.2">
      <c r="B1245" s="12"/>
      <c r="C1245" s="12"/>
      <c r="D1245" s="17" t="str">
        <f t="shared" si="60"/>
        <v/>
      </c>
      <c r="E1245" s="18" t="str">
        <f t="shared" si="58"/>
        <v/>
      </c>
      <c r="F1245" s="17" t="str">
        <f t="shared" si="59"/>
        <v/>
      </c>
    </row>
    <row r="1246" spans="2:6" x14ac:dyDescent="0.2">
      <c r="B1246" s="12"/>
      <c r="C1246" s="12"/>
      <c r="D1246" s="17" t="str">
        <f t="shared" si="60"/>
        <v/>
      </c>
      <c r="E1246" s="18" t="str">
        <f t="shared" si="58"/>
        <v/>
      </c>
      <c r="F1246" s="17" t="str">
        <f t="shared" si="59"/>
        <v/>
      </c>
    </row>
    <row r="1247" spans="2:6" x14ac:dyDescent="0.2">
      <c r="B1247" s="12"/>
      <c r="C1247" s="12"/>
      <c r="D1247" s="17" t="str">
        <f t="shared" si="60"/>
        <v/>
      </c>
      <c r="E1247" s="18" t="str">
        <f t="shared" si="58"/>
        <v/>
      </c>
      <c r="F1247" s="17" t="str">
        <f t="shared" si="59"/>
        <v/>
      </c>
    </row>
    <row r="1248" spans="2:6" x14ac:dyDescent="0.2">
      <c r="B1248" s="12"/>
      <c r="C1248" s="12"/>
      <c r="D1248" s="17" t="str">
        <f t="shared" si="60"/>
        <v/>
      </c>
      <c r="E1248" s="18" t="str">
        <f t="shared" si="58"/>
        <v/>
      </c>
      <c r="F1248" s="17" t="str">
        <f t="shared" si="59"/>
        <v/>
      </c>
    </row>
    <row r="1249" spans="2:6" x14ac:dyDescent="0.2">
      <c r="B1249" s="12"/>
      <c r="C1249" s="12"/>
      <c r="D1249" s="17" t="str">
        <f t="shared" si="60"/>
        <v/>
      </c>
      <c r="E1249" s="18" t="str">
        <f t="shared" si="58"/>
        <v/>
      </c>
      <c r="F1249" s="17" t="str">
        <f t="shared" si="59"/>
        <v/>
      </c>
    </row>
    <row r="1250" spans="2:6" x14ac:dyDescent="0.2">
      <c r="B1250" s="12"/>
      <c r="C1250" s="12"/>
      <c r="D1250" s="17" t="str">
        <f t="shared" si="60"/>
        <v/>
      </c>
      <c r="E1250" s="18" t="str">
        <f t="shared" si="58"/>
        <v/>
      </c>
      <c r="F1250" s="17" t="str">
        <f t="shared" si="59"/>
        <v/>
      </c>
    </row>
    <row r="1251" spans="2:6" x14ac:dyDescent="0.2">
      <c r="B1251" s="12"/>
      <c r="C1251" s="12"/>
      <c r="D1251" s="17" t="str">
        <f t="shared" si="60"/>
        <v/>
      </c>
      <c r="E1251" s="18" t="str">
        <f t="shared" si="58"/>
        <v/>
      </c>
      <c r="F1251" s="17" t="str">
        <f t="shared" si="59"/>
        <v/>
      </c>
    </row>
    <row r="1252" spans="2:6" x14ac:dyDescent="0.2">
      <c r="B1252" s="12"/>
      <c r="C1252" s="12"/>
      <c r="D1252" s="17" t="str">
        <f t="shared" si="60"/>
        <v/>
      </c>
      <c r="E1252" s="18" t="str">
        <f t="shared" si="58"/>
        <v/>
      </c>
      <c r="F1252" s="17" t="str">
        <f t="shared" si="59"/>
        <v/>
      </c>
    </row>
    <row r="1253" spans="2:6" x14ac:dyDescent="0.2">
      <c r="B1253" s="12"/>
      <c r="C1253" s="12"/>
      <c r="D1253" s="17" t="str">
        <f t="shared" si="60"/>
        <v/>
      </c>
      <c r="E1253" s="18" t="str">
        <f t="shared" si="58"/>
        <v/>
      </c>
      <c r="F1253" s="17" t="str">
        <f t="shared" si="59"/>
        <v/>
      </c>
    </row>
    <row r="1254" spans="2:6" x14ac:dyDescent="0.2">
      <c r="B1254" s="12"/>
      <c r="C1254" s="12"/>
      <c r="D1254" s="17" t="str">
        <f t="shared" si="60"/>
        <v/>
      </c>
      <c r="E1254" s="18" t="str">
        <f t="shared" si="58"/>
        <v/>
      </c>
      <c r="F1254" s="17" t="str">
        <f t="shared" si="59"/>
        <v/>
      </c>
    </row>
    <row r="1255" spans="2:6" x14ac:dyDescent="0.2">
      <c r="B1255" s="12"/>
      <c r="C1255" s="12"/>
      <c r="D1255" s="17" t="str">
        <f t="shared" si="60"/>
        <v/>
      </c>
      <c r="E1255" s="18" t="str">
        <f t="shared" si="58"/>
        <v/>
      </c>
      <c r="F1255" s="17" t="str">
        <f t="shared" si="59"/>
        <v/>
      </c>
    </row>
    <row r="1256" spans="2:6" x14ac:dyDescent="0.2">
      <c r="B1256" s="12"/>
      <c r="C1256" s="12"/>
      <c r="D1256" s="17" t="str">
        <f t="shared" si="60"/>
        <v/>
      </c>
      <c r="E1256" s="18" t="str">
        <f t="shared" si="58"/>
        <v/>
      </c>
      <c r="F1256" s="17" t="str">
        <f t="shared" si="59"/>
        <v/>
      </c>
    </row>
    <row r="1257" spans="2:6" x14ac:dyDescent="0.2">
      <c r="B1257" s="12"/>
      <c r="C1257" s="12"/>
      <c r="D1257" s="17" t="str">
        <f t="shared" si="60"/>
        <v/>
      </c>
      <c r="E1257" s="18" t="str">
        <f t="shared" si="58"/>
        <v/>
      </c>
      <c r="F1257" s="17" t="str">
        <f t="shared" si="59"/>
        <v/>
      </c>
    </row>
    <row r="1258" spans="2:6" x14ac:dyDescent="0.2">
      <c r="B1258" s="12"/>
      <c r="C1258" s="12"/>
      <c r="D1258" s="17" t="str">
        <f t="shared" si="60"/>
        <v/>
      </c>
      <c r="E1258" s="18" t="str">
        <f t="shared" si="58"/>
        <v/>
      </c>
      <c r="F1258" s="17" t="str">
        <f t="shared" si="59"/>
        <v/>
      </c>
    </row>
    <row r="1259" spans="2:6" x14ac:dyDescent="0.2">
      <c r="B1259" s="12"/>
      <c r="C1259" s="12"/>
      <c r="D1259" s="17" t="str">
        <f t="shared" si="60"/>
        <v/>
      </c>
      <c r="E1259" s="18" t="str">
        <f t="shared" si="58"/>
        <v/>
      </c>
      <c r="F1259" s="17" t="str">
        <f t="shared" si="59"/>
        <v/>
      </c>
    </row>
    <row r="1260" spans="2:6" x14ac:dyDescent="0.2">
      <c r="B1260" s="12"/>
      <c r="C1260" s="12"/>
      <c r="D1260" s="17" t="str">
        <f t="shared" si="60"/>
        <v/>
      </c>
      <c r="E1260" s="18" t="str">
        <f t="shared" si="58"/>
        <v/>
      </c>
      <c r="F1260" s="17" t="str">
        <f t="shared" si="59"/>
        <v/>
      </c>
    </row>
    <row r="1261" spans="2:6" x14ac:dyDescent="0.2">
      <c r="B1261" s="12"/>
      <c r="C1261" s="12"/>
      <c r="D1261" s="17" t="str">
        <f t="shared" si="60"/>
        <v/>
      </c>
      <c r="E1261" s="18" t="str">
        <f t="shared" si="58"/>
        <v/>
      </c>
      <c r="F1261" s="17" t="str">
        <f t="shared" si="59"/>
        <v/>
      </c>
    </row>
    <row r="1262" spans="2:6" x14ac:dyDescent="0.2">
      <c r="B1262" s="12"/>
      <c r="C1262" s="12"/>
      <c r="D1262" s="17" t="str">
        <f t="shared" si="60"/>
        <v/>
      </c>
      <c r="E1262" s="18" t="str">
        <f t="shared" si="58"/>
        <v/>
      </c>
      <c r="F1262" s="17" t="str">
        <f t="shared" si="59"/>
        <v/>
      </c>
    </row>
    <row r="1263" spans="2:6" x14ac:dyDescent="0.2">
      <c r="B1263" s="12"/>
      <c r="C1263" s="12"/>
      <c r="D1263" s="17" t="str">
        <f t="shared" si="60"/>
        <v/>
      </c>
      <c r="E1263" s="18" t="str">
        <f t="shared" si="58"/>
        <v/>
      </c>
      <c r="F1263" s="17" t="str">
        <f t="shared" si="59"/>
        <v/>
      </c>
    </row>
    <row r="1264" spans="2:6" x14ac:dyDescent="0.2">
      <c r="B1264" s="12"/>
      <c r="C1264" s="12"/>
      <c r="D1264" s="17" t="str">
        <f t="shared" si="60"/>
        <v/>
      </c>
      <c r="E1264" s="18" t="str">
        <f t="shared" si="58"/>
        <v/>
      </c>
      <c r="F1264" s="17" t="str">
        <f t="shared" si="59"/>
        <v/>
      </c>
    </row>
    <row r="1265" spans="2:6" x14ac:dyDescent="0.2">
      <c r="B1265" s="12"/>
      <c r="C1265" s="12"/>
      <c r="D1265" s="17" t="str">
        <f t="shared" si="60"/>
        <v/>
      </c>
      <c r="E1265" s="18" t="str">
        <f t="shared" si="58"/>
        <v/>
      </c>
      <c r="F1265" s="17" t="str">
        <f t="shared" si="59"/>
        <v/>
      </c>
    </row>
    <row r="1266" spans="2:6" x14ac:dyDescent="0.2">
      <c r="B1266" s="12"/>
      <c r="C1266" s="12"/>
      <c r="D1266" s="17" t="str">
        <f t="shared" si="60"/>
        <v/>
      </c>
      <c r="E1266" s="18" t="str">
        <f t="shared" si="58"/>
        <v/>
      </c>
      <c r="F1266" s="17" t="str">
        <f t="shared" si="59"/>
        <v/>
      </c>
    </row>
    <row r="1267" spans="2:6" x14ac:dyDescent="0.2">
      <c r="B1267" s="12"/>
      <c r="C1267" s="12"/>
      <c r="D1267" s="17" t="str">
        <f t="shared" si="60"/>
        <v/>
      </c>
      <c r="E1267" s="18" t="str">
        <f t="shared" si="58"/>
        <v/>
      </c>
      <c r="F1267" s="17" t="str">
        <f t="shared" si="59"/>
        <v/>
      </c>
    </row>
    <row r="1268" spans="2:6" x14ac:dyDescent="0.2">
      <c r="B1268" s="12"/>
      <c r="C1268" s="12"/>
      <c r="D1268" s="17" t="str">
        <f t="shared" si="60"/>
        <v/>
      </c>
      <c r="E1268" s="18" t="str">
        <f t="shared" si="58"/>
        <v/>
      </c>
      <c r="F1268" s="17" t="str">
        <f t="shared" si="59"/>
        <v/>
      </c>
    </row>
    <row r="1269" spans="2:6" x14ac:dyDescent="0.2">
      <c r="B1269" s="12"/>
      <c r="C1269" s="12"/>
      <c r="D1269" s="17" t="str">
        <f t="shared" si="60"/>
        <v/>
      </c>
      <c r="E1269" s="18" t="str">
        <f t="shared" si="58"/>
        <v/>
      </c>
      <c r="F1269" s="17" t="str">
        <f t="shared" si="59"/>
        <v/>
      </c>
    </row>
    <row r="1270" spans="2:6" x14ac:dyDescent="0.2">
      <c r="B1270" s="12"/>
      <c r="C1270" s="12"/>
      <c r="D1270" s="17" t="str">
        <f t="shared" si="60"/>
        <v/>
      </c>
      <c r="E1270" s="18" t="str">
        <f t="shared" si="58"/>
        <v/>
      </c>
      <c r="F1270" s="17" t="str">
        <f t="shared" si="59"/>
        <v/>
      </c>
    </row>
    <row r="1271" spans="2:6" x14ac:dyDescent="0.2">
      <c r="B1271" s="12"/>
      <c r="C1271" s="12"/>
      <c r="D1271" s="17" t="str">
        <f t="shared" si="60"/>
        <v/>
      </c>
      <c r="E1271" s="18" t="str">
        <f t="shared" si="58"/>
        <v/>
      </c>
      <c r="F1271" s="17" t="str">
        <f t="shared" si="59"/>
        <v/>
      </c>
    </row>
    <row r="1272" spans="2:6" x14ac:dyDescent="0.2">
      <c r="B1272" s="12"/>
      <c r="C1272" s="12"/>
      <c r="D1272" s="17" t="str">
        <f t="shared" si="60"/>
        <v/>
      </c>
      <c r="E1272" s="18" t="str">
        <f t="shared" si="58"/>
        <v/>
      </c>
      <c r="F1272" s="17" t="str">
        <f t="shared" si="59"/>
        <v/>
      </c>
    </row>
    <row r="1273" spans="2:6" x14ac:dyDescent="0.2">
      <c r="B1273" s="12"/>
      <c r="C1273" s="12"/>
      <c r="D1273" s="17" t="str">
        <f t="shared" si="60"/>
        <v/>
      </c>
      <c r="E1273" s="18" t="str">
        <f t="shared" si="58"/>
        <v/>
      </c>
      <c r="F1273" s="17" t="str">
        <f t="shared" si="59"/>
        <v/>
      </c>
    </row>
    <row r="1274" spans="2:6" x14ac:dyDescent="0.2">
      <c r="B1274" s="12"/>
      <c r="C1274" s="12"/>
      <c r="D1274" s="17" t="str">
        <f t="shared" si="60"/>
        <v/>
      </c>
      <c r="E1274" s="18" t="str">
        <f t="shared" si="58"/>
        <v/>
      </c>
      <c r="F1274" s="17" t="str">
        <f t="shared" si="59"/>
        <v/>
      </c>
    </row>
    <row r="1275" spans="2:6" x14ac:dyDescent="0.2">
      <c r="B1275" s="12"/>
      <c r="C1275" s="12"/>
      <c r="D1275" s="17" t="str">
        <f t="shared" si="60"/>
        <v/>
      </c>
      <c r="E1275" s="18" t="str">
        <f t="shared" si="58"/>
        <v/>
      </c>
      <c r="F1275" s="17" t="str">
        <f t="shared" si="59"/>
        <v/>
      </c>
    </row>
    <row r="1276" spans="2:6" x14ac:dyDescent="0.2">
      <c r="B1276" s="12"/>
      <c r="C1276" s="12"/>
      <c r="D1276" s="17" t="str">
        <f t="shared" si="60"/>
        <v/>
      </c>
      <c r="E1276" s="18" t="str">
        <f t="shared" si="58"/>
        <v/>
      </c>
      <c r="F1276" s="17" t="str">
        <f t="shared" si="59"/>
        <v/>
      </c>
    </row>
    <row r="1277" spans="2:6" x14ac:dyDescent="0.2">
      <c r="B1277" s="12"/>
      <c r="C1277" s="12"/>
      <c r="D1277" s="17" t="str">
        <f t="shared" si="60"/>
        <v/>
      </c>
      <c r="E1277" s="18" t="str">
        <f t="shared" si="58"/>
        <v/>
      </c>
      <c r="F1277" s="17" t="str">
        <f t="shared" si="59"/>
        <v/>
      </c>
    </row>
    <row r="1278" spans="2:6" x14ac:dyDescent="0.2">
      <c r="B1278" s="12"/>
      <c r="C1278" s="12"/>
      <c r="D1278" s="17" t="str">
        <f t="shared" si="60"/>
        <v/>
      </c>
      <c r="E1278" s="18" t="str">
        <f t="shared" si="58"/>
        <v/>
      </c>
      <c r="F1278" s="17" t="str">
        <f t="shared" si="59"/>
        <v/>
      </c>
    </row>
    <row r="1279" spans="2:6" x14ac:dyDescent="0.2">
      <c r="B1279" s="12"/>
      <c r="C1279" s="12"/>
      <c r="D1279" s="17" t="str">
        <f t="shared" si="60"/>
        <v/>
      </c>
      <c r="E1279" s="18" t="str">
        <f t="shared" si="58"/>
        <v/>
      </c>
      <c r="F1279" s="17" t="str">
        <f t="shared" si="59"/>
        <v/>
      </c>
    </row>
    <row r="1280" spans="2:6" x14ac:dyDescent="0.2">
      <c r="B1280" s="12"/>
      <c r="C1280" s="12"/>
      <c r="D1280" s="17" t="str">
        <f t="shared" si="60"/>
        <v/>
      </c>
      <c r="E1280" s="18" t="str">
        <f t="shared" si="58"/>
        <v/>
      </c>
      <c r="F1280" s="17" t="str">
        <f t="shared" si="59"/>
        <v/>
      </c>
    </row>
    <row r="1281" spans="2:6" x14ac:dyDescent="0.2">
      <c r="B1281" s="12"/>
      <c r="C1281" s="12"/>
      <c r="D1281" s="17" t="str">
        <f t="shared" si="60"/>
        <v/>
      </c>
      <c r="E1281" s="18" t="str">
        <f t="shared" si="58"/>
        <v/>
      </c>
      <c r="F1281" s="17" t="str">
        <f t="shared" si="59"/>
        <v/>
      </c>
    </row>
    <row r="1282" spans="2:6" x14ac:dyDescent="0.2">
      <c r="B1282" s="12"/>
      <c r="C1282" s="12"/>
      <c r="D1282" s="17" t="str">
        <f t="shared" si="60"/>
        <v/>
      </c>
      <c r="E1282" s="18" t="str">
        <f t="shared" si="58"/>
        <v/>
      </c>
      <c r="F1282" s="17" t="str">
        <f t="shared" si="59"/>
        <v/>
      </c>
    </row>
    <row r="1283" spans="2:6" x14ac:dyDescent="0.2">
      <c r="B1283" s="12"/>
      <c r="C1283" s="12"/>
      <c r="D1283" s="17" t="str">
        <f t="shared" si="60"/>
        <v/>
      </c>
      <c r="E1283" s="18" t="str">
        <f t="shared" si="58"/>
        <v/>
      </c>
      <c r="F1283" s="17" t="str">
        <f t="shared" si="59"/>
        <v/>
      </c>
    </row>
    <row r="1284" spans="2:6" x14ac:dyDescent="0.2">
      <c r="B1284" s="12"/>
      <c r="C1284" s="12"/>
      <c r="D1284" s="17" t="str">
        <f t="shared" si="60"/>
        <v/>
      </c>
      <c r="E1284" s="18" t="str">
        <f t="shared" si="58"/>
        <v/>
      </c>
      <c r="F1284" s="17" t="str">
        <f t="shared" si="59"/>
        <v/>
      </c>
    </row>
    <row r="1285" spans="2:6" x14ac:dyDescent="0.2">
      <c r="B1285" s="12"/>
      <c r="C1285" s="12"/>
      <c r="D1285" s="17" t="str">
        <f t="shared" si="60"/>
        <v/>
      </c>
      <c r="E1285" s="18" t="str">
        <f t="shared" ref="E1285:E1348" si="61">IF(B1285="","",ABS(C1285-D1285))</f>
        <v/>
      </c>
      <c r="F1285" s="17" t="str">
        <f t="shared" ref="F1285:F1348" si="62">IF(B1285="","",E1285^2)</f>
        <v/>
      </c>
    </row>
    <row r="1286" spans="2:6" x14ac:dyDescent="0.2">
      <c r="B1286" s="12"/>
      <c r="C1286" s="12"/>
      <c r="D1286" s="17" t="str">
        <f t="shared" si="60"/>
        <v/>
      </c>
      <c r="E1286" s="18" t="str">
        <f t="shared" si="61"/>
        <v/>
      </c>
      <c r="F1286" s="17" t="str">
        <f t="shared" si="62"/>
        <v/>
      </c>
    </row>
    <row r="1287" spans="2:6" x14ac:dyDescent="0.2">
      <c r="B1287" s="12"/>
      <c r="C1287" s="12"/>
      <c r="D1287" s="17" t="str">
        <f t="shared" si="60"/>
        <v/>
      </c>
      <c r="E1287" s="18" t="str">
        <f t="shared" si="61"/>
        <v/>
      </c>
      <c r="F1287" s="17" t="str">
        <f t="shared" si="62"/>
        <v/>
      </c>
    </row>
    <row r="1288" spans="2:6" x14ac:dyDescent="0.2">
      <c r="B1288" s="12"/>
      <c r="C1288" s="12"/>
      <c r="D1288" s="17" t="str">
        <f t="shared" si="60"/>
        <v/>
      </c>
      <c r="E1288" s="18" t="str">
        <f t="shared" si="61"/>
        <v/>
      </c>
      <c r="F1288" s="17" t="str">
        <f t="shared" si="62"/>
        <v/>
      </c>
    </row>
    <row r="1289" spans="2:6" x14ac:dyDescent="0.2">
      <c r="B1289" s="12"/>
      <c r="C1289" s="12"/>
      <c r="D1289" s="17" t="str">
        <f t="shared" si="60"/>
        <v/>
      </c>
      <c r="E1289" s="18" t="str">
        <f t="shared" si="61"/>
        <v/>
      </c>
      <c r="F1289" s="17" t="str">
        <f t="shared" si="62"/>
        <v/>
      </c>
    </row>
    <row r="1290" spans="2:6" x14ac:dyDescent="0.2">
      <c r="B1290" s="12"/>
      <c r="C1290" s="12"/>
      <c r="D1290" s="17" t="str">
        <f t="shared" si="60"/>
        <v/>
      </c>
      <c r="E1290" s="18" t="str">
        <f t="shared" si="61"/>
        <v/>
      </c>
      <c r="F1290" s="17" t="str">
        <f t="shared" si="62"/>
        <v/>
      </c>
    </row>
    <row r="1291" spans="2:6" x14ac:dyDescent="0.2">
      <c r="B1291" s="12"/>
      <c r="C1291" s="12"/>
      <c r="D1291" s="17" t="str">
        <f t="shared" si="60"/>
        <v/>
      </c>
      <c r="E1291" s="18" t="str">
        <f t="shared" si="61"/>
        <v/>
      </c>
      <c r="F1291" s="17" t="str">
        <f t="shared" si="62"/>
        <v/>
      </c>
    </row>
    <row r="1292" spans="2:6" x14ac:dyDescent="0.2">
      <c r="B1292" s="12"/>
      <c r="C1292" s="12"/>
      <c r="D1292" s="17" t="str">
        <f t="shared" si="60"/>
        <v/>
      </c>
      <c r="E1292" s="18" t="str">
        <f t="shared" si="61"/>
        <v/>
      </c>
      <c r="F1292" s="17" t="str">
        <f t="shared" si="62"/>
        <v/>
      </c>
    </row>
    <row r="1293" spans="2:6" x14ac:dyDescent="0.2">
      <c r="B1293" s="12"/>
      <c r="C1293" s="12"/>
      <c r="D1293" s="17" t="str">
        <f t="shared" si="60"/>
        <v/>
      </c>
      <c r="E1293" s="18" t="str">
        <f t="shared" si="61"/>
        <v/>
      </c>
      <c r="F1293" s="17" t="str">
        <f t="shared" si="62"/>
        <v/>
      </c>
    </row>
    <row r="1294" spans="2:6" x14ac:dyDescent="0.2">
      <c r="B1294" s="12"/>
      <c r="C1294" s="12"/>
      <c r="D1294" s="17" t="str">
        <f t="shared" si="60"/>
        <v/>
      </c>
      <c r="E1294" s="18" t="str">
        <f t="shared" si="61"/>
        <v/>
      </c>
      <c r="F1294" s="17" t="str">
        <f t="shared" si="62"/>
        <v/>
      </c>
    </row>
    <row r="1295" spans="2:6" x14ac:dyDescent="0.2">
      <c r="B1295" s="12"/>
      <c r="C1295" s="12"/>
      <c r="D1295" s="17" t="str">
        <f t="shared" si="60"/>
        <v/>
      </c>
      <c r="E1295" s="18" t="str">
        <f t="shared" si="61"/>
        <v/>
      </c>
      <c r="F1295" s="17" t="str">
        <f t="shared" si="62"/>
        <v/>
      </c>
    </row>
    <row r="1296" spans="2:6" x14ac:dyDescent="0.2">
      <c r="B1296" s="12"/>
      <c r="C1296" s="12"/>
      <c r="D1296" s="17" t="str">
        <f t="shared" si="60"/>
        <v/>
      </c>
      <c r="E1296" s="18" t="str">
        <f t="shared" si="61"/>
        <v/>
      </c>
      <c r="F1296" s="17" t="str">
        <f t="shared" si="62"/>
        <v/>
      </c>
    </row>
    <row r="1297" spans="2:6" x14ac:dyDescent="0.2">
      <c r="B1297" s="12"/>
      <c r="C1297" s="12"/>
      <c r="D1297" s="17" t="str">
        <f t="shared" si="60"/>
        <v/>
      </c>
      <c r="E1297" s="18" t="str">
        <f t="shared" si="61"/>
        <v/>
      </c>
      <c r="F1297" s="17" t="str">
        <f t="shared" si="62"/>
        <v/>
      </c>
    </row>
    <row r="1298" spans="2:6" x14ac:dyDescent="0.2">
      <c r="B1298" s="12"/>
      <c r="C1298" s="12"/>
      <c r="D1298" s="17" t="str">
        <f t="shared" ref="D1298:D1361" si="63">IF(B1298="","",a+b*B1298)</f>
        <v/>
      </c>
      <c r="E1298" s="18" t="str">
        <f t="shared" si="61"/>
        <v/>
      </c>
      <c r="F1298" s="17" t="str">
        <f t="shared" si="62"/>
        <v/>
      </c>
    </row>
    <row r="1299" spans="2:6" x14ac:dyDescent="0.2">
      <c r="B1299" s="12"/>
      <c r="C1299" s="12"/>
      <c r="D1299" s="17" t="str">
        <f t="shared" si="63"/>
        <v/>
      </c>
      <c r="E1299" s="18" t="str">
        <f t="shared" si="61"/>
        <v/>
      </c>
      <c r="F1299" s="17" t="str">
        <f t="shared" si="62"/>
        <v/>
      </c>
    </row>
    <row r="1300" spans="2:6" x14ac:dyDescent="0.2">
      <c r="B1300" s="12"/>
      <c r="C1300" s="12"/>
      <c r="D1300" s="17" t="str">
        <f t="shared" si="63"/>
        <v/>
      </c>
      <c r="E1300" s="18" t="str">
        <f t="shared" si="61"/>
        <v/>
      </c>
      <c r="F1300" s="17" t="str">
        <f t="shared" si="62"/>
        <v/>
      </c>
    </row>
    <row r="1301" spans="2:6" x14ac:dyDescent="0.2">
      <c r="B1301" s="12"/>
      <c r="C1301" s="12"/>
      <c r="D1301" s="17" t="str">
        <f t="shared" si="63"/>
        <v/>
      </c>
      <c r="E1301" s="18" t="str">
        <f t="shared" si="61"/>
        <v/>
      </c>
      <c r="F1301" s="17" t="str">
        <f t="shared" si="62"/>
        <v/>
      </c>
    </row>
    <row r="1302" spans="2:6" x14ac:dyDescent="0.2">
      <c r="B1302" s="12"/>
      <c r="C1302" s="12"/>
      <c r="D1302" s="17" t="str">
        <f t="shared" si="63"/>
        <v/>
      </c>
      <c r="E1302" s="18" t="str">
        <f t="shared" si="61"/>
        <v/>
      </c>
      <c r="F1302" s="17" t="str">
        <f t="shared" si="62"/>
        <v/>
      </c>
    </row>
    <row r="1303" spans="2:6" x14ac:dyDescent="0.2">
      <c r="B1303" s="12"/>
      <c r="C1303" s="12"/>
      <c r="D1303" s="17" t="str">
        <f t="shared" si="63"/>
        <v/>
      </c>
      <c r="E1303" s="18" t="str">
        <f t="shared" si="61"/>
        <v/>
      </c>
      <c r="F1303" s="17" t="str">
        <f t="shared" si="62"/>
        <v/>
      </c>
    </row>
    <row r="1304" spans="2:6" x14ac:dyDescent="0.2">
      <c r="B1304" s="12"/>
      <c r="C1304" s="12"/>
      <c r="D1304" s="17" t="str">
        <f t="shared" si="63"/>
        <v/>
      </c>
      <c r="E1304" s="18" t="str">
        <f t="shared" si="61"/>
        <v/>
      </c>
      <c r="F1304" s="17" t="str">
        <f t="shared" si="62"/>
        <v/>
      </c>
    </row>
    <row r="1305" spans="2:6" x14ac:dyDescent="0.2">
      <c r="B1305" s="12"/>
      <c r="C1305" s="12"/>
      <c r="D1305" s="17" t="str">
        <f t="shared" si="63"/>
        <v/>
      </c>
      <c r="E1305" s="18" t="str">
        <f t="shared" si="61"/>
        <v/>
      </c>
      <c r="F1305" s="17" t="str">
        <f t="shared" si="62"/>
        <v/>
      </c>
    </row>
    <row r="1306" spans="2:6" x14ac:dyDescent="0.2">
      <c r="B1306" s="12"/>
      <c r="C1306" s="12"/>
      <c r="D1306" s="17" t="str">
        <f t="shared" si="63"/>
        <v/>
      </c>
      <c r="E1306" s="18" t="str">
        <f t="shared" si="61"/>
        <v/>
      </c>
      <c r="F1306" s="17" t="str">
        <f t="shared" si="62"/>
        <v/>
      </c>
    </row>
    <row r="1307" spans="2:6" x14ac:dyDescent="0.2">
      <c r="B1307" s="12"/>
      <c r="C1307" s="12"/>
      <c r="D1307" s="17" t="str">
        <f t="shared" si="63"/>
        <v/>
      </c>
      <c r="E1307" s="18" t="str">
        <f t="shared" si="61"/>
        <v/>
      </c>
      <c r="F1307" s="17" t="str">
        <f t="shared" si="62"/>
        <v/>
      </c>
    </row>
    <row r="1308" spans="2:6" x14ac:dyDescent="0.2">
      <c r="B1308" s="12"/>
      <c r="C1308" s="12"/>
      <c r="D1308" s="17" t="str">
        <f t="shared" si="63"/>
        <v/>
      </c>
      <c r="E1308" s="18" t="str">
        <f t="shared" si="61"/>
        <v/>
      </c>
      <c r="F1308" s="17" t="str">
        <f t="shared" si="62"/>
        <v/>
      </c>
    </row>
    <row r="1309" spans="2:6" x14ac:dyDescent="0.2">
      <c r="B1309" s="12"/>
      <c r="C1309" s="12"/>
      <c r="D1309" s="17" t="str">
        <f t="shared" si="63"/>
        <v/>
      </c>
      <c r="E1309" s="18" t="str">
        <f t="shared" si="61"/>
        <v/>
      </c>
      <c r="F1309" s="17" t="str">
        <f t="shared" si="62"/>
        <v/>
      </c>
    </row>
    <row r="1310" spans="2:6" x14ac:dyDescent="0.2">
      <c r="B1310" s="12"/>
      <c r="C1310" s="12"/>
      <c r="D1310" s="17" t="str">
        <f t="shared" si="63"/>
        <v/>
      </c>
      <c r="E1310" s="18" t="str">
        <f t="shared" si="61"/>
        <v/>
      </c>
      <c r="F1310" s="17" t="str">
        <f t="shared" si="62"/>
        <v/>
      </c>
    </row>
    <row r="1311" spans="2:6" x14ac:dyDescent="0.2">
      <c r="B1311" s="12"/>
      <c r="C1311" s="12"/>
      <c r="D1311" s="17" t="str">
        <f t="shared" si="63"/>
        <v/>
      </c>
      <c r="E1311" s="18" t="str">
        <f t="shared" si="61"/>
        <v/>
      </c>
      <c r="F1311" s="17" t="str">
        <f t="shared" si="62"/>
        <v/>
      </c>
    </row>
    <row r="1312" spans="2:6" x14ac:dyDescent="0.2">
      <c r="B1312" s="12"/>
      <c r="C1312" s="12"/>
      <c r="D1312" s="17" t="str">
        <f t="shared" si="63"/>
        <v/>
      </c>
      <c r="E1312" s="18" t="str">
        <f t="shared" si="61"/>
        <v/>
      </c>
      <c r="F1312" s="17" t="str">
        <f t="shared" si="62"/>
        <v/>
      </c>
    </row>
    <row r="1313" spans="2:6" x14ac:dyDescent="0.2">
      <c r="B1313" s="12"/>
      <c r="C1313" s="12"/>
      <c r="D1313" s="17" t="str">
        <f t="shared" si="63"/>
        <v/>
      </c>
      <c r="E1313" s="18" t="str">
        <f t="shared" si="61"/>
        <v/>
      </c>
      <c r="F1313" s="17" t="str">
        <f t="shared" si="62"/>
        <v/>
      </c>
    </row>
    <row r="1314" spans="2:6" x14ac:dyDescent="0.2">
      <c r="B1314" s="12"/>
      <c r="C1314" s="12"/>
      <c r="D1314" s="17" t="str">
        <f t="shared" si="63"/>
        <v/>
      </c>
      <c r="E1314" s="18" t="str">
        <f t="shared" si="61"/>
        <v/>
      </c>
      <c r="F1314" s="17" t="str">
        <f t="shared" si="62"/>
        <v/>
      </c>
    </row>
    <row r="1315" spans="2:6" x14ac:dyDescent="0.2">
      <c r="B1315" s="12"/>
      <c r="C1315" s="12"/>
      <c r="D1315" s="17" t="str">
        <f t="shared" si="63"/>
        <v/>
      </c>
      <c r="E1315" s="18" t="str">
        <f t="shared" si="61"/>
        <v/>
      </c>
      <c r="F1315" s="17" t="str">
        <f t="shared" si="62"/>
        <v/>
      </c>
    </row>
    <row r="1316" spans="2:6" x14ac:dyDescent="0.2">
      <c r="B1316" s="12"/>
      <c r="C1316" s="12"/>
      <c r="D1316" s="17" t="str">
        <f t="shared" si="63"/>
        <v/>
      </c>
      <c r="E1316" s="18" t="str">
        <f t="shared" si="61"/>
        <v/>
      </c>
      <c r="F1316" s="17" t="str">
        <f t="shared" si="62"/>
        <v/>
      </c>
    </row>
    <row r="1317" spans="2:6" x14ac:dyDescent="0.2">
      <c r="B1317" s="12"/>
      <c r="C1317" s="12"/>
      <c r="D1317" s="17" t="str">
        <f t="shared" si="63"/>
        <v/>
      </c>
      <c r="E1317" s="18" t="str">
        <f t="shared" si="61"/>
        <v/>
      </c>
      <c r="F1317" s="17" t="str">
        <f t="shared" si="62"/>
        <v/>
      </c>
    </row>
    <row r="1318" spans="2:6" x14ac:dyDescent="0.2">
      <c r="B1318" s="12"/>
      <c r="C1318" s="12"/>
      <c r="D1318" s="17" t="str">
        <f t="shared" si="63"/>
        <v/>
      </c>
      <c r="E1318" s="18" t="str">
        <f t="shared" si="61"/>
        <v/>
      </c>
      <c r="F1318" s="17" t="str">
        <f t="shared" si="62"/>
        <v/>
      </c>
    </row>
    <row r="1319" spans="2:6" x14ac:dyDescent="0.2">
      <c r="B1319" s="12"/>
      <c r="C1319" s="12"/>
      <c r="D1319" s="17" t="str">
        <f t="shared" si="63"/>
        <v/>
      </c>
      <c r="E1319" s="18" t="str">
        <f t="shared" si="61"/>
        <v/>
      </c>
      <c r="F1319" s="17" t="str">
        <f t="shared" si="62"/>
        <v/>
      </c>
    </row>
    <row r="1320" spans="2:6" x14ac:dyDescent="0.2">
      <c r="B1320" s="12"/>
      <c r="C1320" s="12"/>
      <c r="D1320" s="17" t="str">
        <f t="shared" si="63"/>
        <v/>
      </c>
      <c r="E1320" s="18" t="str">
        <f t="shared" si="61"/>
        <v/>
      </c>
      <c r="F1320" s="17" t="str">
        <f t="shared" si="62"/>
        <v/>
      </c>
    </row>
    <row r="1321" spans="2:6" x14ac:dyDescent="0.2">
      <c r="B1321" s="12"/>
      <c r="C1321" s="12"/>
      <c r="D1321" s="17" t="str">
        <f t="shared" si="63"/>
        <v/>
      </c>
      <c r="E1321" s="18" t="str">
        <f t="shared" si="61"/>
        <v/>
      </c>
      <c r="F1321" s="17" t="str">
        <f t="shared" si="62"/>
        <v/>
      </c>
    </row>
    <row r="1322" spans="2:6" x14ac:dyDescent="0.2">
      <c r="B1322" s="12"/>
      <c r="C1322" s="12"/>
      <c r="D1322" s="17" t="str">
        <f t="shared" si="63"/>
        <v/>
      </c>
      <c r="E1322" s="18" t="str">
        <f t="shared" si="61"/>
        <v/>
      </c>
      <c r="F1322" s="17" t="str">
        <f t="shared" si="62"/>
        <v/>
      </c>
    </row>
    <row r="1323" spans="2:6" x14ac:dyDescent="0.2">
      <c r="B1323" s="12"/>
      <c r="C1323" s="12"/>
      <c r="D1323" s="17" t="str">
        <f t="shared" si="63"/>
        <v/>
      </c>
      <c r="E1323" s="18" t="str">
        <f t="shared" si="61"/>
        <v/>
      </c>
      <c r="F1323" s="17" t="str">
        <f t="shared" si="62"/>
        <v/>
      </c>
    </row>
    <row r="1324" spans="2:6" x14ac:dyDescent="0.2">
      <c r="B1324" s="12"/>
      <c r="C1324" s="12"/>
      <c r="D1324" s="17" t="str">
        <f t="shared" si="63"/>
        <v/>
      </c>
      <c r="E1324" s="18" t="str">
        <f t="shared" si="61"/>
        <v/>
      </c>
      <c r="F1324" s="17" t="str">
        <f t="shared" si="62"/>
        <v/>
      </c>
    </row>
    <row r="1325" spans="2:6" x14ac:dyDescent="0.2">
      <c r="B1325" s="12"/>
      <c r="C1325" s="12"/>
      <c r="D1325" s="17" t="str">
        <f t="shared" si="63"/>
        <v/>
      </c>
      <c r="E1325" s="18" t="str">
        <f t="shared" si="61"/>
        <v/>
      </c>
      <c r="F1325" s="17" t="str">
        <f t="shared" si="62"/>
        <v/>
      </c>
    </row>
    <row r="1326" spans="2:6" x14ac:dyDescent="0.2">
      <c r="B1326" s="12"/>
      <c r="C1326" s="12"/>
      <c r="D1326" s="17" t="str">
        <f t="shared" si="63"/>
        <v/>
      </c>
      <c r="E1326" s="18" t="str">
        <f t="shared" si="61"/>
        <v/>
      </c>
      <c r="F1326" s="17" t="str">
        <f t="shared" si="62"/>
        <v/>
      </c>
    </row>
    <row r="1327" spans="2:6" x14ac:dyDescent="0.2">
      <c r="B1327" s="12"/>
      <c r="C1327" s="12"/>
      <c r="D1327" s="17" t="str">
        <f t="shared" si="63"/>
        <v/>
      </c>
      <c r="E1327" s="18" t="str">
        <f t="shared" si="61"/>
        <v/>
      </c>
      <c r="F1327" s="17" t="str">
        <f t="shared" si="62"/>
        <v/>
      </c>
    </row>
    <row r="1328" spans="2:6" x14ac:dyDescent="0.2">
      <c r="B1328" s="12"/>
      <c r="C1328" s="12"/>
      <c r="D1328" s="17" t="str">
        <f t="shared" si="63"/>
        <v/>
      </c>
      <c r="E1328" s="18" t="str">
        <f t="shared" si="61"/>
        <v/>
      </c>
      <c r="F1328" s="17" t="str">
        <f t="shared" si="62"/>
        <v/>
      </c>
    </row>
    <row r="1329" spans="2:6" x14ac:dyDescent="0.2">
      <c r="B1329" s="12"/>
      <c r="C1329" s="12"/>
      <c r="D1329" s="17" t="str">
        <f t="shared" si="63"/>
        <v/>
      </c>
      <c r="E1329" s="18" t="str">
        <f t="shared" si="61"/>
        <v/>
      </c>
      <c r="F1329" s="17" t="str">
        <f t="shared" si="62"/>
        <v/>
      </c>
    </row>
    <row r="1330" spans="2:6" x14ac:dyDescent="0.2">
      <c r="B1330" s="12"/>
      <c r="C1330" s="12"/>
      <c r="D1330" s="17" t="str">
        <f t="shared" si="63"/>
        <v/>
      </c>
      <c r="E1330" s="18" t="str">
        <f t="shared" si="61"/>
        <v/>
      </c>
      <c r="F1330" s="17" t="str">
        <f t="shared" si="62"/>
        <v/>
      </c>
    </row>
    <row r="1331" spans="2:6" x14ac:dyDescent="0.2">
      <c r="B1331" s="12"/>
      <c r="C1331" s="12"/>
      <c r="D1331" s="17" t="str">
        <f t="shared" si="63"/>
        <v/>
      </c>
      <c r="E1331" s="18" t="str">
        <f t="shared" si="61"/>
        <v/>
      </c>
      <c r="F1331" s="17" t="str">
        <f t="shared" si="62"/>
        <v/>
      </c>
    </row>
    <row r="1332" spans="2:6" x14ac:dyDescent="0.2">
      <c r="B1332" s="12"/>
      <c r="C1332" s="12"/>
      <c r="D1332" s="17" t="str">
        <f t="shared" si="63"/>
        <v/>
      </c>
      <c r="E1332" s="18" t="str">
        <f t="shared" si="61"/>
        <v/>
      </c>
      <c r="F1332" s="17" t="str">
        <f t="shared" si="62"/>
        <v/>
      </c>
    </row>
    <row r="1333" spans="2:6" x14ac:dyDescent="0.2">
      <c r="B1333" s="12"/>
      <c r="C1333" s="12"/>
      <c r="D1333" s="17" t="str">
        <f t="shared" si="63"/>
        <v/>
      </c>
      <c r="E1333" s="18" t="str">
        <f t="shared" si="61"/>
        <v/>
      </c>
      <c r="F1333" s="17" t="str">
        <f t="shared" si="62"/>
        <v/>
      </c>
    </row>
    <row r="1334" spans="2:6" x14ac:dyDescent="0.2">
      <c r="B1334" s="12"/>
      <c r="C1334" s="12"/>
      <c r="D1334" s="17" t="str">
        <f t="shared" si="63"/>
        <v/>
      </c>
      <c r="E1334" s="18" t="str">
        <f t="shared" si="61"/>
        <v/>
      </c>
      <c r="F1334" s="17" t="str">
        <f t="shared" si="62"/>
        <v/>
      </c>
    </row>
    <row r="1335" spans="2:6" x14ac:dyDescent="0.2">
      <c r="B1335" s="12"/>
      <c r="C1335" s="12"/>
      <c r="D1335" s="17" t="str">
        <f t="shared" si="63"/>
        <v/>
      </c>
      <c r="E1335" s="18" t="str">
        <f t="shared" si="61"/>
        <v/>
      </c>
      <c r="F1335" s="17" t="str">
        <f t="shared" si="62"/>
        <v/>
      </c>
    </row>
    <row r="1336" spans="2:6" x14ac:dyDescent="0.2">
      <c r="B1336" s="12"/>
      <c r="C1336" s="12"/>
      <c r="D1336" s="17" t="str">
        <f t="shared" si="63"/>
        <v/>
      </c>
      <c r="E1336" s="18" t="str">
        <f t="shared" si="61"/>
        <v/>
      </c>
      <c r="F1336" s="17" t="str">
        <f t="shared" si="62"/>
        <v/>
      </c>
    </row>
    <row r="1337" spans="2:6" x14ac:dyDescent="0.2">
      <c r="B1337" s="12"/>
      <c r="C1337" s="12"/>
      <c r="D1337" s="17" t="str">
        <f t="shared" si="63"/>
        <v/>
      </c>
      <c r="E1337" s="18" t="str">
        <f t="shared" si="61"/>
        <v/>
      </c>
      <c r="F1337" s="17" t="str">
        <f t="shared" si="62"/>
        <v/>
      </c>
    </row>
    <row r="1338" spans="2:6" x14ac:dyDescent="0.2">
      <c r="B1338" s="12"/>
      <c r="C1338" s="12"/>
      <c r="D1338" s="17" t="str">
        <f t="shared" si="63"/>
        <v/>
      </c>
      <c r="E1338" s="18" t="str">
        <f t="shared" si="61"/>
        <v/>
      </c>
      <c r="F1338" s="17" t="str">
        <f t="shared" si="62"/>
        <v/>
      </c>
    </row>
    <row r="1339" spans="2:6" x14ac:dyDescent="0.2">
      <c r="B1339" s="12"/>
      <c r="C1339" s="12"/>
      <c r="D1339" s="17" t="str">
        <f t="shared" si="63"/>
        <v/>
      </c>
      <c r="E1339" s="18" t="str">
        <f t="shared" si="61"/>
        <v/>
      </c>
      <c r="F1339" s="17" t="str">
        <f t="shared" si="62"/>
        <v/>
      </c>
    </row>
    <row r="1340" spans="2:6" x14ac:dyDescent="0.2">
      <c r="B1340" s="12"/>
      <c r="C1340" s="12"/>
      <c r="D1340" s="17" t="str">
        <f t="shared" si="63"/>
        <v/>
      </c>
      <c r="E1340" s="18" t="str">
        <f t="shared" si="61"/>
        <v/>
      </c>
      <c r="F1340" s="17" t="str">
        <f t="shared" si="62"/>
        <v/>
      </c>
    </row>
    <row r="1341" spans="2:6" x14ac:dyDescent="0.2">
      <c r="B1341" s="12"/>
      <c r="C1341" s="12"/>
      <c r="D1341" s="17" t="str">
        <f t="shared" si="63"/>
        <v/>
      </c>
      <c r="E1341" s="18" t="str">
        <f t="shared" si="61"/>
        <v/>
      </c>
      <c r="F1341" s="17" t="str">
        <f t="shared" si="62"/>
        <v/>
      </c>
    </row>
    <row r="1342" spans="2:6" x14ac:dyDescent="0.2">
      <c r="B1342" s="12"/>
      <c r="C1342" s="12"/>
      <c r="D1342" s="17" t="str">
        <f t="shared" si="63"/>
        <v/>
      </c>
      <c r="E1342" s="18" t="str">
        <f t="shared" si="61"/>
        <v/>
      </c>
      <c r="F1342" s="17" t="str">
        <f t="shared" si="62"/>
        <v/>
      </c>
    </row>
    <row r="1343" spans="2:6" x14ac:dyDescent="0.2">
      <c r="B1343" s="12"/>
      <c r="C1343" s="12"/>
      <c r="D1343" s="17" t="str">
        <f t="shared" si="63"/>
        <v/>
      </c>
      <c r="E1343" s="18" t="str">
        <f t="shared" si="61"/>
        <v/>
      </c>
      <c r="F1343" s="17" t="str">
        <f t="shared" si="62"/>
        <v/>
      </c>
    </row>
    <row r="1344" spans="2:6" x14ac:dyDescent="0.2">
      <c r="B1344" s="12"/>
      <c r="C1344" s="12"/>
      <c r="D1344" s="17" t="str">
        <f t="shared" si="63"/>
        <v/>
      </c>
      <c r="E1344" s="18" t="str">
        <f t="shared" si="61"/>
        <v/>
      </c>
      <c r="F1344" s="17" t="str">
        <f t="shared" si="62"/>
        <v/>
      </c>
    </row>
    <row r="1345" spans="2:6" x14ac:dyDescent="0.2">
      <c r="B1345" s="12"/>
      <c r="C1345" s="12"/>
      <c r="D1345" s="17" t="str">
        <f t="shared" si="63"/>
        <v/>
      </c>
      <c r="E1345" s="18" t="str">
        <f t="shared" si="61"/>
        <v/>
      </c>
      <c r="F1345" s="17" t="str">
        <f t="shared" si="62"/>
        <v/>
      </c>
    </row>
    <row r="1346" spans="2:6" x14ac:dyDescent="0.2">
      <c r="B1346" s="12"/>
      <c r="C1346" s="12"/>
      <c r="D1346" s="17" t="str">
        <f t="shared" si="63"/>
        <v/>
      </c>
      <c r="E1346" s="18" t="str">
        <f t="shared" si="61"/>
        <v/>
      </c>
      <c r="F1346" s="17" t="str">
        <f t="shared" si="62"/>
        <v/>
      </c>
    </row>
    <row r="1347" spans="2:6" x14ac:dyDescent="0.2">
      <c r="B1347" s="12"/>
      <c r="C1347" s="12"/>
      <c r="D1347" s="17" t="str">
        <f t="shared" si="63"/>
        <v/>
      </c>
      <c r="E1347" s="18" t="str">
        <f t="shared" si="61"/>
        <v/>
      </c>
      <c r="F1347" s="17" t="str">
        <f t="shared" si="62"/>
        <v/>
      </c>
    </row>
    <row r="1348" spans="2:6" x14ac:dyDescent="0.2">
      <c r="B1348" s="12"/>
      <c r="C1348" s="12"/>
      <c r="D1348" s="17" t="str">
        <f t="shared" si="63"/>
        <v/>
      </c>
      <c r="E1348" s="18" t="str">
        <f t="shared" si="61"/>
        <v/>
      </c>
      <c r="F1348" s="17" t="str">
        <f t="shared" si="62"/>
        <v/>
      </c>
    </row>
    <row r="1349" spans="2:6" x14ac:dyDescent="0.2">
      <c r="B1349" s="12"/>
      <c r="C1349" s="12"/>
      <c r="D1349" s="17" t="str">
        <f t="shared" si="63"/>
        <v/>
      </c>
      <c r="E1349" s="18" t="str">
        <f t="shared" ref="E1349:E1412" si="64">IF(B1349="","",ABS(C1349-D1349))</f>
        <v/>
      </c>
      <c r="F1349" s="17" t="str">
        <f t="shared" ref="F1349:F1412" si="65">IF(B1349="","",E1349^2)</f>
        <v/>
      </c>
    </row>
    <row r="1350" spans="2:6" x14ac:dyDescent="0.2">
      <c r="B1350" s="12"/>
      <c r="C1350" s="12"/>
      <c r="D1350" s="17" t="str">
        <f t="shared" si="63"/>
        <v/>
      </c>
      <c r="E1350" s="18" t="str">
        <f t="shared" si="64"/>
        <v/>
      </c>
      <c r="F1350" s="17" t="str">
        <f t="shared" si="65"/>
        <v/>
      </c>
    </row>
    <row r="1351" spans="2:6" x14ac:dyDescent="0.2">
      <c r="B1351" s="12"/>
      <c r="C1351" s="12"/>
      <c r="D1351" s="17" t="str">
        <f t="shared" si="63"/>
        <v/>
      </c>
      <c r="E1351" s="18" t="str">
        <f t="shared" si="64"/>
        <v/>
      </c>
      <c r="F1351" s="17" t="str">
        <f t="shared" si="65"/>
        <v/>
      </c>
    </row>
    <row r="1352" spans="2:6" x14ac:dyDescent="0.2">
      <c r="B1352" s="12"/>
      <c r="C1352" s="12"/>
      <c r="D1352" s="17" t="str">
        <f t="shared" si="63"/>
        <v/>
      </c>
      <c r="E1352" s="18" t="str">
        <f t="shared" si="64"/>
        <v/>
      </c>
      <c r="F1352" s="17" t="str">
        <f t="shared" si="65"/>
        <v/>
      </c>
    </row>
    <row r="1353" spans="2:6" x14ac:dyDescent="0.2">
      <c r="B1353" s="12"/>
      <c r="C1353" s="12"/>
      <c r="D1353" s="17" t="str">
        <f t="shared" si="63"/>
        <v/>
      </c>
      <c r="E1353" s="18" t="str">
        <f t="shared" si="64"/>
        <v/>
      </c>
      <c r="F1353" s="17" t="str">
        <f t="shared" si="65"/>
        <v/>
      </c>
    </row>
    <row r="1354" spans="2:6" x14ac:dyDescent="0.2">
      <c r="B1354" s="12"/>
      <c r="C1354" s="12"/>
      <c r="D1354" s="17" t="str">
        <f t="shared" si="63"/>
        <v/>
      </c>
      <c r="E1354" s="18" t="str">
        <f t="shared" si="64"/>
        <v/>
      </c>
      <c r="F1354" s="17" t="str">
        <f t="shared" si="65"/>
        <v/>
      </c>
    </row>
    <row r="1355" spans="2:6" x14ac:dyDescent="0.2">
      <c r="B1355" s="12"/>
      <c r="C1355" s="12"/>
      <c r="D1355" s="17" t="str">
        <f t="shared" si="63"/>
        <v/>
      </c>
      <c r="E1355" s="18" t="str">
        <f t="shared" si="64"/>
        <v/>
      </c>
      <c r="F1355" s="17" t="str">
        <f t="shared" si="65"/>
        <v/>
      </c>
    </row>
    <row r="1356" spans="2:6" x14ac:dyDescent="0.2">
      <c r="B1356" s="12"/>
      <c r="C1356" s="12"/>
      <c r="D1356" s="17" t="str">
        <f t="shared" si="63"/>
        <v/>
      </c>
      <c r="E1356" s="18" t="str">
        <f t="shared" si="64"/>
        <v/>
      </c>
      <c r="F1356" s="17" t="str">
        <f t="shared" si="65"/>
        <v/>
      </c>
    </row>
    <row r="1357" spans="2:6" x14ac:dyDescent="0.2">
      <c r="B1357" s="12"/>
      <c r="C1357" s="12"/>
      <c r="D1357" s="17" t="str">
        <f t="shared" si="63"/>
        <v/>
      </c>
      <c r="E1357" s="18" t="str">
        <f t="shared" si="64"/>
        <v/>
      </c>
      <c r="F1357" s="17" t="str">
        <f t="shared" si="65"/>
        <v/>
      </c>
    </row>
    <row r="1358" spans="2:6" x14ac:dyDescent="0.2">
      <c r="B1358" s="12"/>
      <c r="C1358" s="12"/>
      <c r="D1358" s="17" t="str">
        <f t="shared" si="63"/>
        <v/>
      </c>
      <c r="E1358" s="18" t="str">
        <f t="shared" si="64"/>
        <v/>
      </c>
      <c r="F1358" s="17" t="str">
        <f t="shared" si="65"/>
        <v/>
      </c>
    </row>
    <row r="1359" spans="2:6" x14ac:dyDescent="0.2">
      <c r="B1359" s="12"/>
      <c r="C1359" s="12"/>
      <c r="D1359" s="17" t="str">
        <f t="shared" si="63"/>
        <v/>
      </c>
      <c r="E1359" s="18" t="str">
        <f t="shared" si="64"/>
        <v/>
      </c>
      <c r="F1359" s="17" t="str">
        <f t="shared" si="65"/>
        <v/>
      </c>
    </row>
    <row r="1360" spans="2:6" x14ac:dyDescent="0.2">
      <c r="B1360" s="12"/>
      <c r="C1360" s="12"/>
      <c r="D1360" s="17" t="str">
        <f t="shared" si="63"/>
        <v/>
      </c>
      <c r="E1360" s="18" t="str">
        <f t="shared" si="64"/>
        <v/>
      </c>
      <c r="F1360" s="17" t="str">
        <f t="shared" si="65"/>
        <v/>
      </c>
    </row>
    <row r="1361" spans="2:6" x14ac:dyDescent="0.2">
      <c r="B1361" s="12"/>
      <c r="C1361" s="12"/>
      <c r="D1361" s="17" t="str">
        <f t="shared" si="63"/>
        <v/>
      </c>
      <c r="E1361" s="18" t="str">
        <f t="shared" si="64"/>
        <v/>
      </c>
      <c r="F1361" s="17" t="str">
        <f t="shared" si="65"/>
        <v/>
      </c>
    </row>
    <row r="1362" spans="2:6" x14ac:dyDescent="0.2">
      <c r="B1362" s="12"/>
      <c r="C1362" s="12"/>
      <c r="D1362" s="17" t="str">
        <f t="shared" ref="D1362:D1425" si="66">IF(B1362="","",a+b*B1362)</f>
        <v/>
      </c>
      <c r="E1362" s="18" t="str">
        <f t="shared" si="64"/>
        <v/>
      </c>
      <c r="F1362" s="17" t="str">
        <f t="shared" si="65"/>
        <v/>
      </c>
    </row>
    <row r="1363" spans="2:6" x14ac:dyDescent="0.2">
      <c r="B1363" s="12"/>
      <c r="C1363" s="12"/>
      <c r="D1363" s="17" t="str">
        <f t="shared" si="66"/>
        <v/>
      </c>
      <c r="E1363" s="18" t="str">
        <f t="shared" si="64"/>
        <v/>
      </c>
      <c r="F1363" s="17" t="str">
        <f t="shared" si="65"/>
        <v/>
      </c>
    </row>
    <row r="1364" spans="2:6" x14ac:dyDescent="0.2">
      <c r="B1364" s="12"/>
      <c r="C1364" s="12"/>
      <c r="D1364" s="17" t="str">
        <f t="shared" si="66"/>
        <v/>
      </c>
      <c r="E1364" s="18" t="str">
        <f t="shared" si="64"/>
        <v/>
      </c>
      <c r="F1364" s="17" t="str">
        <f t="shared" si="65"/>
        <v/>
      </c>
    </row>
    <row r="1365" spans="2:6" x14ac:dyDescent="0.2">
      <c r="B1365" s="12"/>
      <c r="C1365" s="12"/>
      <c r="D1365" s="17" t="str">
        <f t="shared" si="66"/>
        <v/>
      </c>
      <c r="E1365" s="18" t="str">
        <f t="shared" si="64"/>
        <v/>
      </c>
      <c r="F1365" s="17" t="str">
        <f t="shared" si="65"/>
        <v/>
      </c>
    </row>
    <row r="1366" spans="2:6" x14ac:dyDescent="0.2">
      <c r="B1366" s="12"/>
      <c r="C1366" s="12"/>
      <c r="D1366" s="17" t="str">
        <f t="shared" si="66"/>
        <v/>
      </c>
      <c r="E1366" s="18" t="str">
        <f t="shared" si="64"/>
        <v/>
      </c>
      <c r="F1366" s="17" t="str">
        <f t="shared" si="65"/>
        <v/>
      </c>
    </row>
    <row r="1367" spans="2:6" x14ac:dyDescent="0.2">
      <c r="B1367" s="12"/>
      <c r="C1367" s="12"/>
      <c r="D1367" s="17" t="str">
        <f t="shared" si="66"/>
        <v/>
      </c>
      <c r="E1367" s="18" t="str">
        <f t="shared" si="64"/>
        <v/>
      </c>
      <c r="F1367" s="17" t="str">
        <f t="shared" si="65"/>
        <v/>
      </c>
    </row>
    <row r="1368" spans="2:6" x14ac:dyDescent="0.2">
      <c r="B1368" s="12"/>
      <c r="C1368" s="12"/>
      <c r="D1368" s="17" t="str">
        <f t="shared" si="66"/>
        <v/>
      </c>
      <c r="E1368" s="18" t="str">
        <f t="shared" si="64"/>
        <v/>
      </c>
      <c r="F1368" s="17" t="str">
        <f t="shared" si="65"/>
        <v/>
      </c>
    </row>
    <row r="1369" spans="2:6" x14ac:dyDescent="0.2">
      <c r="B1369" s="12"/>
      <c r="C1369" s="12"/>
      <c r="D1369" s="17" t="str">
        <f t="shared" si="66"/>
        <v/>
      </c>
      <c r="E1369" s="18" t="str">
        <f t="shared" si="64"/>
        <v/>
      </c>
      <c r="F1369" s="17" t="str">
        <f t="shared" si="65"/>
        <v/>
      </c>
    </row>
    <row r="1370" spans="2:6" x14ac:dyDescent="0.2">
      <c r="B1370" s="12"/>
      <c r="C1370" s="12"/>
      <c r="D1370" s="17" t="str">
        <f t="shared" si="66"/>
        <v/>
      </c>
      <c r="E1370" s="18" t="str">
        <f t="shared" si="64"/>
        <v/>
      </c>
      <c r="F1370" s="17" t="str">
        <f t="shared" si="65"/>
        <v/>
      </c>
    </row>
    <row r="1371" spans="2:6" x14ac:dyDescent="0.2">
      <c r="B1371" s="12"/>
      <c r="C1371" s="12"/>
      <c r="D1371" s="17" t="str">
        <f t="shared" si="66"/>
        <v/>
      </c>
      <c r="E1371" s="18" t="str">
        <f t="shared" si="64"/>
        <v/>
      </c>
      <c r="F1371" s="17" t="str">
        <f t="shared" si="65"/>
        <v/>
      </c>
    </row>
    <row r="1372" spans="2:6" x14ac:dyDescent="0.2">
      <c r="B1372" s="12"/>
      <c r="C1372" s="12"/>
      <c r="D1372" s="17" t="str">
        <f t="shared" si="66"/>
        <v/>
      </c>
      <c r="E1372" s="18" t="str">
        <f t="shared" si="64"/>
        <v/>
      </c>
      <c r="F1372" s="17" t="str">
        <f t="shared" si="65"/>
        <v/>
      </c>
    </row>
    <row r="1373" spans="2:6" x14ac:dyDescent="0.2">
      <c r="B1373" s="12"/>
      <c r="C1373" s="12"/>
      <c r="D1373" s="17" t="str">
        <f t="shared" si="66"/>
        <v/>
      </c>
      <c r="E1373" s="18" t="str">
        <f t="shared" si="64"/>
        <v/>
      </c>
      <c r="F1373" s="17" t="str">
        <f t="shared" si="65"/>
        <v/>
      </c>
    </row>
    <row r="1374" spans="2:6" x14ac:dyDescent="0.2">
      <c r="B1374" s="12"/>
      <c r="C1374" s="12"/>
      <c r="D1374" s="17" t="str">
        <f t="shared" si="66"/>
        <v/>
      </c>
      <c r="E1374" s="18" t="str">
        <f t="shared" si="64"/>
        <v/>
      </c>
      <c r="F1374" s="17" t="str">
        <f t="shared" si="65"/>
        <v/>
      </c>
    </row>
    <row r="1375" spans="2:6" x14ac:dyDescent="0.2">
      <c r="B1375" s="12"/>
      <c r="C1375" s="12"/>
      <c r="D1375" s="17" t="str">
        <f t="shared" si="66"/>
        <v/>
      </c>
      <c r="E1375" s="18" t="str">
        <f t="shared" si="64"/>
        <v/>
      </c>
      <c r="F1375" s="17" t="str">
        <f t="shared" si="65"/>
        <v/>
      </c>
    </row>
    <row r="1376" spans="2:6" x14ac:dyDescent="0.2">
      <c r="B1376" s="12"/>
      <c r="C1376" s="12"/>
      <c r="D1376" s="17" t="str">
        <f t="shared" si="66"/>
        <v/>
      </c>
      <c r="E1376" s="18" t="str">
        <f t="shared" si="64"/>
        <v/>
      </c>
      <c r="F1376" s="17" t="str">
        <f t="shared" si="65"/>
        <v/>
      </c>
    </row>
    <row r="1377" spans="2:6" x14ac:dyDescent="0.2">
      <c r="B1377" s="12"/>
      <c r="C1377" s="12"/>
      <c r="D1377" s="17" t="str">
        <f t="shared" si="66"/>
        <v/>
      </c>
      <c r="E1377" s="18" t="str">
        <f t="shared" si="64"/>
        <v/>
      </c>
      <c r="F1377" s="17" t="str">
        <f t="shared" si="65"/>
        <v/>
      </c>
    </row>
    <row r="1378" spans="2:6" x14ac:dyDescent="0.2">
      <c r="B1378" s="12"/>
      <c r="C1378" s="12"/>
      <c r="D1378" s="17" t="str">
        <f t="shared" si="66"/>
        <v/>
      </c>
      <c r="E1378" s="18" t="str">
        <f t="shared" si="64"/>
        <v/>
      </c>
      <c r="F1378" s="17" t="str">
        <f t="shared" si="65"/>
        <v/>
      </c>
    </row>
    <row r="1379" spans="2:6" x14ac:dyDescent="0.2">
      <c r="B1379" s="12"/>
      <c r="C1379" s="12"/>
      <c r="D1379" s="17" t="str">
        <f t="shared" si="66"/>
        <v/>
      </c>
      <c r="E1379" s="18" t="str">
        <f t="shared" si="64"/>
        <v/>
      </c>
      <c r="F1379" s="17" t="str">
        <f t="shared" si="65"/>
        <v/>
      </c>
    </row>
    <row r="1380" spans="2:6" x14ac:dyDescent="0.2">
      <c r="B1380" s="12"/>
      <c r="C1380" s="12"/>
      <c r="D1380" s="17" t="str">
        <f t="shared" si="66"/>
        <v/>
      </c>
      <c r="E1380" s="18" t="str">
        <f t="shared" si="64"/>
        <v/>
      </c>
      <c r="F1380" s="17" t="str">
        <f t="shared" si="65"/>
        <v/>
      </c>
    </row>
    <row r="1381" spans="2:6" x14ac:dyDescent="0.2">
      <c r="B1381" s="12"/>
      <c r="C1381" s="12"/>
      <c r="D1381" s="17" t="str">
        <f t="shared" si="66"/>
        <v/>
      </c>
      <c r="E1381" s="18" t="str">
        <f t="shared" si="64"/>
        <v/>
      </c>
      <c r="F1381" s="17" t="str">
        <f t="shared" si="65"/>
        <v/>
      </c>
    </row>
    <row r="1382" spans="2:6" x14ac:dyDescent="0.2">
      <c r="B1382" s="12"/>
      <c r="C1382" s="12"/>
      <c r="D1382" s="17" t="str">
        <f t="shared" si="66"/>
        <v/>
      </c>
      <c r="E1382" s="18" t="str">
        <f t="shared" si="64"/>
        <v/>
      </c>
      <c r="F1382" s="17" t="str">
        <f t="shared" si="65"/>
        <v/>
      </c>
    </row>
    <row r="1383" spans="2:6" x14ac:dyDescent="0.2">
      <c r="B1383" s="12"/>
      <c r="C1383" s="12"/>
      <c r="D1383" s="17" t="str">
        <f t="shared" si="66"/>
        <v/>
      </c>
      <c r="E1383" s="18" t="str">
        <f t="shared" si="64"/>
        <v/>
      </c>
      <c r="F1383" s="17" t="str">
        <f t="shared" si="65"/>
        <v/>
      </c>
    </row>
    <row r="1384" spans="2:6" x14ac:dyDescent="0.2">
      <c r="B1384" s="12"/>
      <c r="C1384" s="12"/>
      <c r="D1384" s="17" t="str">
        <f t="shared" si="66"/>
        <v/>
      </c>
      <c r="E1384" s="18" t="str">
        <f t="shared" si="64"/>
        <v/>
      </c>
      <c r="F1384" s="17" t="str">
        <f t="shared" si="65"/>
        <v/>
      </c>
    </row>
    <row r="1385" spans="2:6" x14ac:dyDescent="0.2">
      <c r="B1385" s="12"/>
      <c r="C1385" s="12"/>
      <c r="D1385" s="17" t="str">
        <f t="shared" si="66"/>
        <v/>
      </c>
      <c r="E1385" s="18" t="str">
        <f t="shared" si="64"/>
        <v/>
      </c>
      <c r="F1385" s="17" t="str">
        <f t="shared" si="65"/>
        <v/>
      </c>
    </row>
    <row r="1386" spans="2:6" x14ac:dyDescent="0.2">
      <c r="B1386" s="12"/>
      <c r="C1386" s="12"/>
      <c r="D1386" s="17" t="str">
        <f t="shared" si="66"/>
        <v/>
      </c>
      <c r="E1386" s="18" t="str">
        <f t="shared" si="64"/>
        <v/>
      </c>
      <c r="F1386" s="17" t="str">
        <f t="shared" si="65"/>
        <v/>
      </c>
    </row>
    <row r="1387" spans="2:6" x14ac:dyDescent="0.2">
      <c r="B1387" s="12"/>
      <c r="C1387" s="12"/>
      <c r="D1387" s="17" t="str">
        <f t="shared" si="66"/>
        <v/>
      </c>
      <c r="E1387" s="18" t="str">
        <f t="shared" si="64"/>
        <v/>
      </c>
      <c r="F1387" s="17" t="str">
        <f t="shared" si="65"/>
        <v/>
      </c>
    </row>
    <row r="1388" spans="2:6" x14ac:dyDescent="0.2">
      <c r="B1388" s="12"/>
      <c r="C1388" s="12"/>
      <c r="D1388" s="17" t="str">
        <f t="shared" si="66"/>
        <v/>
      </c>
      <c r="E1388" s="18" t="str">
        <f t="shared" si="64"/>
        <v/>
      </c>
      <c r="F1388" s="17" t="str">
        <f t="shared" si="65"/>
        <v/>
      </c>
    </row>
    <row r="1389" spans="2:6" x14ac:dyDescent="0.2">
      <c r="B1389" s="12"/>
      <c r="C1389" s="12"/>
      <c r="D1389" s="17" t="str">
        <f t="shared" si="66"/>
        <v/>
      </c>
      <c r="E1389" s="18" t="str">
        <f t="shared" si="64"/>
        <v/>
      </c>
      <c r="F1389" s="17" t="str">
        <f t="shared" si="65"/>
        <v/>
      </c>
    </row>
    <row r="1390" spans="2:6" x14ac:dyDescent="0.2">
      <c r="B1390" s="12"/>
      <c r="C1390" s="12"/>
      <c r="D1390" s="17" t="str">
        <f t="shared" si="66"/>
        <v/>
      </c>
      <c r="E1390" s="18" t="str">
        <f t="shared" si="64"/>
        <v/>
      </c>
      <c r="F1390" s="17" t="str">
        <f t="shared" si="65"/>
        <v/>
      </c>
    </row>
    <row r="1391" spans="2:6" x14ac:dyDescent="0.2">
      <c r="B1391" s="12"/>
      <c r="C1391" s="12"/>
      <c r="D1391" s="17" t="str">
        <f t="shared" si="66"/>
        <v/>
      </c>
      <c r="E1391" s="18" t="str">
        <f t="shared" si="64"/>
        <v/>
      </c>
      <c r="F1391" s="17" t="str">
        <f t="shared" si="65"/>
        <v/>
      </c>
    </row>
    <row r="1392" spans="2:6" x14ac:dyDescent="0.2">
      <c r="B1392" s="12"/>
      <c r="C1392" s="12"/>
      <c r="D1392" s="17" t="str">
        <f t="shared" si="66"/>
        <v/>
      </c>
      <c r="E1392" s="18" t="str">
        <f t="shared" si="64"/>
        <v/>
      </c>
      <c r="F1392" s="17" t="str">
        <f t="shared" si="65"/>
        <v/>
      </c>
    </row>
    <row r="1393" spans="2:6" x14ac:dyDescent="0.2">
      <c r="B1393" s="12"/>
      <c r="C1393" s="12"/>
      <c r="D1393" s="17" t="str">
        <f t="shared" si="66"/>
        <v/>
      </c>
      <c r="E1393" s="18" t="str">
        <f t="shared" si="64"/>
        <v/>
      </c>
      <c r="F1393" s="17" t="str">
        <f t="shared" si="65"/>
        <v/>
      </c>
    </row>
    <row r="1394" spans="2:6" x14ac:dyDescent="0.2">
      <c r="B1394" s="12"/>
      <c r="C1394" s="12"/>
      <c r="D1394" s="17" t="str">
        <f t="shared" si="66"/>
        <v/>
      </c>
      <c r="E1394" s="18" t="str">
        <f t="shared" si="64"/>
        <v/>
      </c>
      <c r="F1394" s="17" t="str">
        <f t="shared" si="65"/>
        <v/>
      </c>
    </row>
    <row r="1395" spans="2:6" x14ac:dyDescent="0.2">
      <c r="B1395" s="12"/>
      <c r="C1395" s="12"/>
      <c r="D1395" s="17" t="str">
        <f t="shared" si="66"/>
        <v/>
      </c>
      <c r="E1395" s="18" t="str">
        <f t="shared" si="64"/>
        <v/>
      </c>
      <c r="F1395" s="17" t="str">
        <f t="shared" si="65"/>
        <v/>
      </c>
    </row>
    <row r="1396" spans="2:6" x14ac:dyDescent="0.2">
      <c r="B1396" s="12"/>
      <c r="C1396" s="12"/>
      <c r="D1396" s="17" t="str">
        <f t="shared" si="66"/>
        <v/>
      </c>
      <c r="E1396" s="18" t="str">
        <f t="shared" si="64"/>
        <v/>
      </c>
      <c r="F1396" s="17" t="str">
        <f t="shared" si="65"/>
        <v/>
      </c>
    </row>
    <row r="1397" spans="2:6" x14ac:dyDescent="0.2">
      <c r="B1397" s="12"/>
      <c r="C1397" s="12"/>
      <c r="D1397" s="17" t="str">
        <f t="shared" si="66"/>
        <v/>
      </c>
      <c r="E1397" s="18" t="str">
        <f t="shared" si="64"/>
        <v/>
      </c>
      <c r="F1397" s="17" t="str">
        <f t="shared" si="65"/>
        <v/>
      </c>
    </row>
    <row r="1398" spans="2:6" x14ac:dyDescent="0.2">
      <c r="B1398" s="12"/>
      <c r="C1398" s="12"/>
      <c r="D1398" s="17" t="str">
        <f t="shared" si="66"/>
        <v/>
      </c>
      <c r="E1398" s="18" t="str">
        <f t="shared" si="64"/>
        <v/>
      </c>
      <c r="F1398" s="17" t="str">
        <f t="shared" si="65"/>
        <v/>
      </c>
    </row>
    <row r="1399" spans="2:6" x14ac:dyDescent="0.2">
      <c r="B1399" s="12"/>
      <c r="C1399" s="12"/>
      <c r="D1399" s="17" t="str">
        <f t="shared" si="66"/>
        <v/>
      </c>
      <c r="E1399" s="18" t="str">
        <f t="shared" si="64"/>
        <v/>
      </c>
      <c r="F1399" s="17" t="str">
        <f t="shared" si="65"/>
        <v/>
      </c>
    </row>
    <row r="1400" spans="2:6" x14ac:dyDescent="0.2">
      <c r="B1400" s="12"/>
      <c r="C1400" s="12"/>
      <c r="D1400" s="17" t="str">
        <f t="shared" si="66"/>
        <v/>
      </c>
      <c r="E1400" s="18" t="str">
        <f t="shared" si="64"/>
        <v/>
      </c>
      <c r="F1400" s="17" t="str">
        <f t="shared" si="65"/>
        <v/>
      </c>
    </row>
    <row r="1401" spans="2:6" x14ac:dyDescent="0.2">
      <c r="B1401" s="12"/>
      <c r="C1401" s="12"/>
      <c r="D1401" s="17" t="str">
        <f t="shared" si="66"/>
        <v/>
      </c>
      <c r="E1401" s="18" t="str">
        <f t="shared" si="64"/>
        <v/>
      </c>
      <c r="F1401" s="17" t="str">
        <f t="shared" si="65"/>
        <v/>
      </c>
    </row>
    <row r="1402" spans="2:6" x14ac:dyDescent="0.2">
      <c r="B1402" s="12"/>
      <c r="C1402" s="12"/>
      <c r="D1402" s="17" t="str">
        <f t="shared" si="66"/>
        <v/>
      </c>
      <c r="E1402" s="18" t="str">
        <f t="shared" si="64"/>
        <v/>
      </c>
      <c r="F1402" s="17" t="str">
        <f t="shared" si="65"/>
        <v/>
      </c>
    </row>
    <row r="1403" spans="2:6" x14ac:dyDescent="0.2">
      <c r="B1403" s="12"/>
      <c r="C1403" s="12"/>
      <c r="D1403" s="17" t="str">
        <f t="shared" si="66"/>
        <v/>
      </c>
      <c r="E1403" s="18" t="str">
        <f t="shared" si="64"/>
        <v/>
      </c>
      <c r="F1403" s="17" t="str">
        <f t="shared" si="65"/>
        <v/>
      </c>
    </row>
    <row r="1404" spans="2:6" x14ac:dyDescent="0.2">
      <c r="B1404" s="12"/>
      <c r="C1404" s="12"/>
      <c r="D1404" s="17" t="str">
        <f t="shared" si="66"/>
        <v/>
      </c>
      <c r="E1404" s="18" t="str">
        <f t="shared" si="64"/>
        <v/>
      </c>
      <c r="F1404" s="17" t="str">
        <f t="shared" si="65"/>
        <v/>
      </c>
    </row>
    <row r="1405" spans="2:6" x14ac:dyDescent="0.2">
      <c r="B1405" s="12"/>
      <c r="C1405" s="12"/>
      <c r="D1405" s="17" t="str">
        <f t="shared" si="66"/>
        <v/>
      </c>
      <c r="E1405" s="18" t="str">
        <f t="shared" si="64"/>
        <v/>
      </c>
      <c r="F1405" s="17" t="str">
        <f t="shared" si="65"/>
        <v/>
      </c>
    </row>
    <row r="1406" spans="2:6" x14ac:dyDescent="0.2">
      <c r="B1406" s="12"/>
      <c r="C1406" s="12"/>
      <c r="D1406" s="17" t="str">
        <f t="shared" si="66"/>
        <v/>
      </c>
      <c r="E1406" s="18" t="str">
        <f t="shared" si="64"/>
        <v/>
      </c>
      <c r="F1406" s="17" t="str">
        <f t="shared" si="65"/>
        <v/>
      </c>
    </row>
    <row r="1407" spans="2:6" x14ac:dyDescent="0.2">
      <c r="B1407" s="12"/>
      <c r="C1407" s="12"/>
      <c r="D1407" s="17" t="str">
        <f t="shared" si="66"/>
        <v/>
      </c>
      <c r="E1407" s="18" t="str">
        <f t="shared" si="64"/>
        <v/>
      </c>
      <c r="F1407" s="17" t="str">
        <f t="shared" si="65"/>
        <v/>
      </c>
    </row>
    <row r="1408" spans="2:6" x14ac:dyDescent="0.2">
      <c r="B1408" s="12"/>
      <c r="C1408" s="12"/>
      <c r="D1408" s="17" t="str">
        <f t="shared" si="66"/>
        <v/>
      </c>
      <c r="E1408" s="18" t="str">
        <f t="shared" si="64"/>
        <v/>
      </c>
      <c r="F1408" s="17" t="str">
        <f t="shared" si="65"/>
        <v/>
      </c>
    </row>
    <row r="1409" spans="2:6" x14ac:dyDescent="0.2">
      <c r="B1409" s="12"/>
      <c r="C1409" s="12"/>
      <c r="D1409" s="17" t="str">
        <f t="shared" si="66"/>
        <v/>
      </c>
      <c r="E1409" s="18" t="str">
        <f t="shared" si="64"/>
        <v/>
      </c>
      <c r="F1409" s="17" t="str">
        <f t="shared" si="65"/>
        <v/>
      </c>
    </row>
    <row r="1410" spans="2:6" x14ac:dyDescent="0.2">
      <c r="B1410" s="12"/>
      <c r="C1410" s="12"/>
      <c r="D1410" s="17" t="str">
        <f t="shared" si="66"/>
        <v/>
      </c>
      <c r="E1410" s="18" t="str">
        <f t="shared" si="64"/>
        <v/>
      </c>
      <c r="F1410" s="17" t="str">
        <f t="shared" si="65"/>
        <v/>
      </c>
    </row>
    <row r="1411" spans="2:6" x14ac:dyDescent="0.2">
      <c r="B1411" s="12"/>
      <c r="C1411" s="12"/>
      <c r="D1411" s="17" t="str">
        <f t="shared" si="66"/>
        <v/>
      </c>
      <c r="E1411" s="18" t="str">
        <f t="shared" si="64"/>
        <v/>
      </c>
      <c r="F1411" s="17" t="str">
        <f t="shared" si="65"/>
        <v/>
      </c>
    </row>
    <row r="1412" spans="2:6" x14ac:dyDescent="0.2">
      <c r="B1412" s="12"/>
      <c r="C1412" s="12"/>
      <c r="D1412" s="17" t="str">
        <f t="shared" si="66"/>
        <v/>
      </c>
      <c r="E1412" s="18" t="str">
        <f t="shared" si="64"/>
        <v/>
      </c>
      <c r="F1412" s="17" t="str">
        <f t="shared" si="65"/>
        <v/>
      </c>
    </row>
    <row r="1413" spans="2:6" x14ac:dyDescent="0.2">
      <c r="B1413" s="12"/>
      <c r="C1413" s="12"/>
      <c r="D1413" s="17" t="str">
        <f t="shared" si="66"/>
        <v/>
      </c>
      <c r="E1413" s="18" t="str">
        <f t="shared" ref="E1413:E1476" si="67">IF(B1413="","",ABS(C1413-D1413))</f>
        <v/>
      </c>
      <c r="F1413" s="17" t="str">
        <f t="shared" ref="F1413:F1476" si="68">IF(B1413="","",E1413^2)</f>
        <v/>
      </c>
    </row>
    <row r="1414" spans="2:6" x14ac:dyDescent="0.2">
      <c r="B1414" s="12"/>
      <c r="C1414" s="12"/>
      <c r="D1414" s="17" t="str">
        <f t="shared" si="66"/>
        <v/>
      </c>
      <c r="E1414" s="18" t="str">
        <f t="shared" si="67"/>
        <v/>
      </c>
      <c r="F1414" s="17" t="str">
        <f t="shared" si="68"/>
        <v/>
      </c>
    </row>
    <row r="1415" spans="2:6" x14ac:dyDescent="0.2">
      <c r="B1415" s="12"/>
      <c r="C1415" s="12"/>
      <c r="D1415" s="17" t="str">
        <f t="shared" si="66"/>
        <v/>
      </c>
      <c r="E1415" s="18" t="str">
        <f t="shared" si="67"/>
        <v/>
      </c>
      <c r="F1415" s="17" t="str">
        <f t="shared" si="68"/>
        <v/>
      </c>
    </row>
    <row r="1416" spans="2:6" x14ac:dyDescent="0.2">
      <c r="B1416" s="12"/>
      <c r="C1416" s="12"/>
      <c r="D1416" s="17" t="str">
        <f t="shared" si="66"/>
        <v/>
      </c>
      <c r="E1416" s="18" t="str">
        <f t="shared" si="67"/>
        <v/>
      </c>
      <c r="F1416" s="17" t="str">
        <f t="shared" si="68"/>
        <v/>
      </c>
    </row>
    <row r="1417" spans="2:6" x14ac:dyDescent="0.2">
      <c r="B1417" s="12"/>
      <c r="C1417" s="12"/>
      <c r="D1417" s="17" t="str">
        <f t="shared" si="66"/>
        <v/>
      </c>
      <c r="E1417" s="18" t="str">
        <f t="shared" si="67"/>
        <v/>
      </c>
      <c r="F1417" s="17" t="str">
        <f t="shared" si="68"/>
        <v/>
      </c>
    </row>
    <row r="1418" spans="2:6" x14ac:dyDescent="0.2">
      <c r="B1418" s="12"/>
      <c r="C1418" s="12"/>
      <c r="D1418" s="17" t="str">
        <f t="shared" si="66"/>
        <v/>
      </c>
      <c r="E1418" s="18" t="str">
        <f t="shared" si="67"/>
        <v/>
      </c>
      <c r="F1418" s="17" t="str">
        <f t="shared" si="68"/>
        <v/>
      </c>
    </row>
    <row r="1419" spans="2:6" x14ac:dyDescent="0.2">
      <c r="B1419" s="12"/>
      <c r="C1419" s="12"/>
      <c r="D1419" s="17" t="str">
        <f t="shared" si="66"/>
        <v/>
      </c>
      <c r="E1419" s="18" t="str">
        <f t="shared" si="67"/>
        <v/>
      </c>
      <c r="F1419" s="17" t="str">
        <f t="shared" si="68"/>
        <v/>
      </c>
    </row>
    <row r="1420" spans="2:6" x14ac:dyDescent="0.2">
      <c r="B1420" s="12"/>
      <c r="C1420" s="12"/>
      <c r="D1420" s="17" t="str">
        <f t="shared" si="66"/>
        <v/>
      </c>
      <c r="E1420" s="18" t="str">
        <f t="shared" si="67"/>
        <v/>
      </c>
      <c r="F1420" s="17" t="str">
        <f t="shared" si="68"/>
        <v/>
      </c>
    </row>
    <row r="1421" spans="2:6" x14ac:dyDescent="0.2">
      <c r="B1421" s="12"/>
      <c r="C1421" s="12"/>
      <c r="D1421" s="17" t="str">
        <f t="shared" si="66"/>
        <v/>
      </c>
      <c r="E1421" s="18" t="str">
        <f t="shared" si="67"/>
        <v/>
      </c>
      <c r="F1421" s="17" t="str">
        <f t="shared" si="68"/>
        <v/>
      </c>
    </row>
    <row r="1422" spans="2:6" x14ac:dyDescent="0.2">
      <c r="B1422" s="12"/>
      <c r="C1422" s="12"/>
      <c r="D1422" s="17" t="str">
        <f t="shared" si="66"/>
        <v/>
      </c>
      <c r="E1422" s="18" t="str">
        <f t="shared" si="67"/>
        <v/>
      </c>
      <c r="F1422" s="17" t="str">
        <f t="shared" si="68"/>
        <v/>
      </c>
    </row>
    <row r="1423" spans="2:6" x14ac:dyDescent="0.2">
      <c r="B1423" s="12"/>
      <c r="C1423" s="12"/>
      <c r="D1423" s="17" t="str">
        <f t="shared" si="66"/>
        <v/>
      </c>
      <c r="E1423" s="18" t="str">
        <f t="shared" si="67"/>
        <v/>
      </c>
      <c r="F1423" s="17" t="str">
        <f t="shared" si="68"/>
        <v/>
      </c>
    </row>
    <row r="1424" spans="2:6" x14ac:dyDescent="0.2">
      <c r="B1424" s="12"/>
      <c r="C1424" s="12"/>
      <c r="D1424" s="17" t="str">
        <f t="shared" si="66"/>
        <v/>
      </c>
      <c r="E1424" s="18" t="str">
        <f t="shared" si="67"/>
        <v/>
      </c>
      <c r="F1424" s="17" t="str">
        <f t="shared" si="68"/>
        <v/>
      </c>
    </row>
    <row r="1425" spans="2:6" x14ac:dyDescent="0.2">
      <c r="B1425" s="12"/>
      <c r="C1425" s="12"/>
      <c r="D1425" s="17" t="str">
        <f t="shared" si="66"/>
        <v/>
      </c>
      <c r="E1425" s="18" t="str">
        <f t="shared" si="67"/>
        <v/>
      </c>
      <c r="F1425" s="17" t="str">
        <f t="shared" si="68"/>
        <v/>
      </c>
    </row>
    <row r="1426" spans="2:6" x14ac:dyDescent="0.2">
      <c r="B1426" s="12"/>
      <c r="C1426" s="12"/>
      <c r="D1426" s="17" t="str">
        <f t="shared" ref="D1426:D1489" si="69">IF(B1426="","",a+b*B1426)</f>
        <v/>
      </c>
      <c r="E1426" s="18" t="str">
        <f t="shared" si="67"/>
        <v/>
      </c>
      <c r="F1426" s="17" t="str">
        <f t="shared" si="68"/>
        <v/>
      </c>
    </row>
    <row r="1427" spans="2:6" x14ac:dyDescent="0.2">
      <c r="B1427" s="12"/>
      <c r="C1427" s="12"/>
      <c r="D1427" s="17" t="str">
        <f t="shared" si="69"/>
        <v/>
      </c>
      <c r="E1427" s="18" t="str">
        <f t="shared" si="67"/>
        <v/>
      </c>
      <c r="F1427" s="17" t="str">
        <f t="shared" si="68"/>
        <v/>
      </c>
    </row>
    <row r="1428" spans="2:6" x14ac:dyDescent="0.2">
      <c r="B1428" s="12"/>
      <c r="C1428" s="12"/>
      <c r="D1428" s="17" t="str">
        <f t="shared" si="69"/>
        <v/>
      </c>
      <c r="E1428" s="18" t="str">
        <f t="shared" si="67"/>
        <v/>
      </c>
      <c r="F1428" s="17" t="str">
        <f t="shared" si="68"/>
        <v/>
      </c>
    </row>
    <row r="1429" spans="2:6" x14ac:dyDescent="0.2">
      <c r="B1429" s="12"/>
      <c r="C1429" s="12"/>
      <c r="D1429" s="17" t="str">
        <f t="shared" si="69"/>
        <v/>
      </c>
      <c r="E1429" s="18" t="str">
        <f t="shared" si="67"/>
        <v/>
      </c>
      <c r="F1429" s="17" t="str">
        <f t="shared" si="68"/>
        <v/>
      </c>
    </row>
    <row r="1430" spans="2:6" x14ac:dyDescent="0.2">
      <c r="B1430" s="12"/>
      <c r="C1430" s="12"/>
      <c r="D1430" s="17" t="str">
        <f t="shared" si="69"/>
        <v/>
      </c>
      <c r="E1430" s="18" t="str">
        <f t="shared" si="67"/>
        <v/>
      </c>
      <c r="F1430" s="17" t="str">
        <f t="shared" si="68"/>
        <v/>
      </c>
    </row>
    <row r="1431" spans="2:6" x14ac:dyDescent="0.2">
      <c r="B1431" s="12"/>
      <c r="C1431" s="12"/>
      <c r="D1431" s="17" t="str">
        <f t="shared" si="69"/>
        <v/>
      </c>
      <c r="E1431" s="18" t="str">
        <f t="shared" si="67"/>
        <v/>
      </c>
      <c r="F1431" s="17" t="str">
        <f t="shared" si="68"/>
        <v/>
      </c>
    </row>
    <row r="1432" spans="2:6" x14ac:dyDescent="0.2">
      <c r="B1432" s="12"/>
      <c r="C1432" s="12"/>
      <c r="D1432" s="17" t="str">
        <f t="shared" si="69"/>
        <v/>
      </c>
      <c r="E1432" s="18" t="str">
        <f t="shared" si="67"/>
        <v/>
      </c>
      <c r="F1432" s="17" t="str">
        <f t="shared" si="68"/>
        <v/>
      </c>
    </row>
    <row r="1433" spans="2:6" x14ac:dyDescent="0.2">
      <c r="B1433" s="12"/>
      <c r="C1433" s="12"/>
      <c r="D1433" s="17" t="str">
        <f t="shared" si="69"/>
        <v/>
      </c>
      <c r="E1433" s="18" t="str">
        <f t="shared" si="67"/>
        <v/>
      </c>
      <c r="F1433" s="17" t="str">
        <f t="shared" si="68"/>
        <v/>
      </c>
    </row>
    <row r="1434" spans="2:6" x14ac:dyDescent="0.2">
      <c r="B1434" s="12"/>
      <c r="C1434" s="12"/>
      <c r="D1434" s="17" t="str">
        <f t="shared" si="69"/>
        <v/>
      </c>
      <c r="E1434" s="18" t="str">
        <f t="shared" si="67"/>
        <v/>
      </c>
      <c r="F1434" s="17" t="str">
        <f t="shared" si="68"/>
        <v/>
      </c>
    </row>
    <row r="1435" spans="2:6" x14ac:dyDescent="0.2">
      <c r="B1435" s="12"/>
      <c r="C1435" s="12"/>
      <c r="D1435" s="17" t="str">
        <f t="shared" si="69"/>
        <v/>
      </c>
      <c r="E1435" s="18" t="str">
        <f t="shared" si="67"/>
        <v/>
      </c>
      <c r="F1435" s="17" t="str">
        <f t="shared" si="68"/>
        <v/>
      </c>
    </row>
    <row r="1436" spans="2:6" x14ac:dyDescent="0.2">
      <c r="B1436" s="12"/>
      <c r="C1436" s="12"/>
      <c r="D1436" s="17" t="str">
        <f t="shared" si="69"/>
        <v/>
      </c>
      <c r="E1436" s="18" t="str">
        <f t="shared" si="67"/>
        <v/>
      </c>
      <c r="F1436" s="17" t="str">
        <f t="shared" si="68"/>
        <v/>
      </c>
    </row>
    <row r="1437" spans="2:6" x14ac:dyDescent="0.2">
      <c r="B1437" s="12"/>
      <c r="C1437" s="12"/>
      <c r="D1437" s="17" t="str">
        <f t="shared" si="69"/>
        <v/>
      </c>
      <c r="E1437" s="18" t="str">
        <f t="shared" si="67"/>
        <v/>
      </c>
      <c r="F1437" s="17" t="str">
        <f t="shared" si="68"/>
        <v/>
      </c>
    </row>
    <row r="1438" spans="2:6" x14ac:dyDescent="0.2">
      <c r="B1438" s="12"/>
      <c r="C1438" s="12"/>
      <c r="D1438" s="17" t="str">
        <f t="shared" si="69"/>
        <v/>
      </c>
      <c r="E1438" s="18" t="str">
        <f t="shared" si="67"/>
        <v/>
      </c>
      <c r="F1438" s="17" t="str">
        <f t="shared" si="68"/>
        <v/>
      </c>
    </row>
    <row r="1439" spans="2:6" x14ac:dyDescent="0.2">
      <c r="B1439" s="12"/>
      <c r="C1439" s="12"/>
      <c r="D1439" s="17" t="str">
        <f t="shared" si="69"/>
        <v/>
      </c>
      <c r="E1439" s="18" t="str">
        <f t="shared" si="67"/>
        <v/>
      </c>
      <c r="F1439" s="17" t="str">
        <f t="shared" si="68"/>
        <v/>
      </c>
    </row>
    <row r="1440" spans="2:6" x14ac:dyDescent="0.2">
      <c r="B1440" s="12"/>
      <c r="C1440" s="12"/>
      <c r="D1440" s="17" t="str">
        <f t="shared" si="69"/>
        <v/>
      </c>
      <c r="E1440" s="18" t="str">
        <f t="shared" si="67"/>
        <v/>
      </c>
      <c r="F1440" s="17" t="str">
        <f t="shared" si="68"/>
        <v/>
      </c>
    </row>
    <row r="1441" spans="2:6" x14ac:dyDescent="0.2">
      <c r="B1441" s="12"/>
      <c r="C1441" s="12"/>
      <c r="D1441" s="17" t="str">
        <f t="shared" si="69"/>
        <v/>
      </c>
      <c r="E1441" s="18" t="str">
        <f t="shared" si="67"/>
        <v/>
      </c>
      <c r="F1441" s="17" t="str">
        <f t="shared" si="68"/>
        <v/>
      </c>
    </row>
    <row r="1442" spans="2:6" x14ac:dyDescent="0.2">
      <c r="B1442" s="12"/>
      <c r="C1442" s="12"/>
      <c r="D1442" s="17" t="str">
        <f t="shared" si="69"/>
        <v/>
      </c>
      <c r="E1442" s="18" t="str">
        <f t="shared" si="67"/>
        <v/>
      </c>
      <c r="F1442" s="17" t="str">
        <f t="shared" si="68"/>
        <v/>
      </c>
    </row>
    <row r="1443" spans="2:6" x14ac:dyDescent="0.2">
      <c r="B1443" s="12"/>
      <c r="C1443" s="12"/>
      <c r="D1443" s="17" t="str">
        <f t="shared" si="69"/>
        <v/>
      </c>
      <c r="E1443" s="18" t="str">
        <f t="shared" si="67"/>
        <v/>
      </c>
      <c r="F1443" s="17" t="str">
        <f t="shared" si="68"/>
        <v/>
      </c>
    </row>
    <row r="1444" spans="2:6" x14ac:dyDescent="0.2">
      <c r="B1444" s="12"/>
      <c r="C1444" s="12"/>
      <c r="D1444" s="17" t="str">
        <f t="shared" si="69"/>
        <v/>
      </c>
      <c r="E1444" s="18" t="str">
        <f t="shared" si="67"/>
        <v/>
      </c>
      <c r="F1444" s="17" t="str">
        <f t="shared" si="68"/>
        <v/>
      </c>
    </row>
    <row r="1445" spans="2:6" x14ac:dyDescent="0.2">
      <c r="B1445" s="12"/>
      <c r="C1445" s="12"/>
      <c r="D1445" s="17" t="str">
        <f t="shared" si="69"/>
        <v/>
      </c>
      <c r="E1445" s="18" t="str">
        <f t="shared" si="67"/>
        <v/>
      </c>
      <c r="F1445" s="17" t="str">
        <f t="shared" si="68"/>
        <v/>
      </c>
    </row>
    <row r="1446" spans="2:6" x14ac:dyDescent="0.2">
      <c r="B1446" s="12"/>
      <c r="C1446" s="12"/>
      <c r="D1446" s="17" t="str">
        <f t="shared" si="69"/>
        <v/>
      </c>
      <c r="E1446" s="18" t="str">
        <f t="shared" si="67"/>
        <v/>
      </c>
      <c r="F1446" s="17" t="str">
        <f t="shared" si="68"/>
        <v/>
      </c>
    </row>
    <row r="1447" spans="2:6" x14ac:dyDescent="0.2">
      <c r="B1447" s="12"/>
      <c r="C1447" s="12"/>
      <c r="D1447" s="17" t="str">
        <f t="shared" si="69"/>
        <v/>
      </c>
      <c r="E1447" s="18" t="str">
        <f t="shared" si="67"/>
        <v/>
      </c>
      <c r="F1447" s="17" t="str">
        <f t="shared" si="68"/>
        <v/>
      </c>
    </row>
    <row r="1448" spans="2:6" x14ac:dyDescent="0.2">
      <c r="B1448" s="12"/>
      <c r="C1448" s="12"/>
      <c r="D1448" s="17" t="str">
        <f t="shared" si="69"/>
        <v/>
      </c>
      <c r="E1448" s="18" t="str">
        <f t="shared" si="67"/>
        <v/>
      </c>
      <c r="F1448" s="17" t="str">
        <f t="shared" si="68"/>
        <v/>
      </c>
    </row>
    <row r="1449" spans="2:6" x14ac:dyDescent="0.2">
      <c r="B1449" s="12"/>
      <c r="C1449" s="12"/>
      <c r="D1449" s="17" t="str">
        <f t="shared" si="69"/>
        <v/>
      </c>
      <c r="E1449" s="18" t="str">
        <f t="shared" si="67"/>
        <v/>
      </c>
      <c r="F1449" s="17" t="str">
        <f t="shared" si="68"/>
        <v/>
      </c>
    </row>
    <row r="1450" spans="2:6" x14ac:dyDescent="0.2">
      <c r="B1450" s="12"/>
      <c r="C1450" s="12"/>
      <c r="D1450" s="17" t="str">
        <f t="shared" si="69"/>
        <v/>
      </c>
      <c r="E1450" s="18" t="str">
        <f t="shared" si="67"/>
        <v/>
      </c>
      <c r="F1450" s="17" t="str">
        <f t="shared" si="68"/>
        <v/>
      </c>
    </row>
    <row r="1451" spans="2:6" x14ac:dyDescent="0.2">
      <c r="B1451" s="12"/>
      <c r="C1451" s="12"/>
      <c r="D1451" s="17" t="str">
        <f t="shared" si="69"/>
        <v/>
      </c>
      <c r="E1451" s="18" t="str">
        <f t="shared" si="67"/>
        <v/>
      </c>
      <c r="F1451" s="17" t="str">
        <f t="shared" si="68"/>
        <v/>
      </c>
    </row>
    <row r="1452" spans="2:6" x14ac:dyDescent="0.2">
      <c r="B1452" s="12"/>
      <c r="C1452" s="12"/>
      <c r="D1452" s="17" t="str">
        <f t="shared" si="69"/>
        <v/>
      </c>
      <c r="E1452" s="18" t="str">
        <f t="shared" si="67"/>
        <v/>
      </c>
      <c r="F1452" s="17" t="str">
        <f t="shared" si="68"/>
        <v/>
      </c>
    </row>
    <row r="1453" spans="2:6" x14ac:dyDescent="0.2">
      <c r="B1453" s="12"/>
      <c r="C1453" s="12"/>
      <c r="D1453" s="17" t="str">
        <f t="shared" si="69"/>
        <v/>
      </c>
      <c r="E1453" s="18" t="str">
        <f t="shared" si="67"/>
        <v/>
      </c>
      <c r="F1453" s="17" t="str">
        <f t="shared" si="68"/>
        <v/>
      </c>
    </row>
    <row r="1454" spans="2:6" x14ac:dyDescent="0.2">
      <c r="B1454" s="12"/>
      <c r="C1454" s="12"/>
      <c r="D1454" s="17" t="str">
        <f t="shared" si="69"/>
        <v/>
      </c>
      <c r="E1454" s="18" t="str">
        <f t="shared" si="67"/>
        <v/>
      </c>
      <c r="F1454" s="17" t="str">
        <f t="shared" si="68"/>
        <v/>
      </c>
    </row>
    <row r="1455" spans="2:6" x14ac:dyDescent="0.2">
      <c r="B1455" s="12"/>
      <c r="C1455" s="12"/>
      <c r="D1455" s="17" t="str">
        <f t="shared" si="69"/>
        <v/>
      </c>
      <c r="E1455" s="18" t="str">
        <f t="shared" si="67"/>
        <v/>
      </c>
      <c r="F1455" s="17" t="str">
        <f t="shared" si="68"/>
        <v/>
      </c>
    </row>
    <row r="1456" spans="2:6" x14ac:dyDescent="0.2">
      <c r="B1456" s="12"/>
      <c r="C1456" s="12"/>
      <c r="D1456" s="17" t="str">
        <f t="shared" si="69"/>
        <v/>
      </c>
      <c r="E1456" s="18" t="str">
        <f t="shared" si="67"/>
        <v/>
      </c>
      <c r="F1456" s="17" t="str">
        <f t="shared" si="68"/>
        <v/>
      </c>
    </row>
    <row r="1457" spans="2:6" x14ac:dyDescent="0.2">
      <c r="B1457" s="12"/>
      <c r="C1457" s="12"/>
      <c r="D1457" s="17" t="str">
        <f t="shared" si="69"/>
        <v/>
      </c>
      <c r="E1457" s="18" t="str">
        <f t="shared" si="67"/>
        <v/>
      </c>
      <c r="F1457" s="17" t="str">
        <f t="shared" si="68"/>
        <v/>
      </c>
    </row>
    <row r="1458" spans="2:6" x14ac:dyDescent="0.2">
      <c r="B1458" s="12"/>
      <c r="C1458" s="12"/>
      <c r="D1458" s="17" t="str">
        <f t="shared" si="69"/>
        <v/>
      </c>
      <c r="E1458" s="18" t="str">
        <f t="shared" si="67"/>
        <v/>
      </c>
      <c r="F1458" s="17" t="str">
        <f t="shared" si="68"/>
        <v/>
      </c>
    </row>
    <row r="1459" spans="2:6" x14ac:dyDescent="0.2">
      <c r="B1459" s="12"/>
      <c r="C1459" s="12"/>
      <c r="D1459" s="17" t="str">
        <f t="shared" si="69"/>
        <v/>
      </c>
      <c r="E1459" s="18" t="str">
        <f t="shared" si="67"/>
        <v/>
      </c>
      <c r="F1459" s="17" t="str">
        <f t="shared" si="68"/>
        <v/>
      </c>
    </row>
    <row r="1460" spans="2:6" x14ac:dyDescent="0.2">
      <c r="B1460" s="12"/>
      <c r="C1460" s="12"/>
      <c r="D1460" s="17" t="str">
        <f t="shared" si="69"/>
        <v/>
      </c>
      <c r="E1460" s="18" t="str">
        <f t="shared" si="67"/>
        <v/>
      </c>
      <c r="F1460" s="17" t="str">
        <f t="shared" si="68"/>
        <v/>
      </c>
    </row>
    <row r="1461" spans="2:6" x14ac:dyDescent="0.2">
      <c r="B1461" s="12"/>
      <c r="C1461" s="12"/>
      <c r="D1461" s="17" t="str">
        <f t="shared" si="69"/>
        <v/>
      </c>
      <c r="E1461" s="18" t="str">
        <f t="shared" si="67"/>
        <v/>
      </c>
      <c r="F1461" s="17" t="str">
        <f t="shared" si="68"/>
        <v/>
      </c>
    </row>
    <row r="1462" spans="2:6" x14ac:dyDescent="0.2">
      <c r="B1462" s="12"/>
      <c r="C1462" s="12"/>
      <c r="D1462" s="17" t="str">
        <f t="shared" si="69"/>
        <v/>
      </c>
      <c r="E1462" s="18" t="str">
        <f t="shared" si="67"/>
        <v/>
      </c>
      <c r="F1462" s="17" t="str">
        <f t="shared" si="68"/>
        <v/>
      </c>
    </row>
    <row r="1463" spans="2:6" x14ac:dyDescent="0.2">
      <c r="B1463" s="12"/>
      <c r="C1463" s="12"/>
      <c r="D1463" s="17" t="str">
        <f t="shared" si="69"/>
        <v/>
      </c>
      <c r="E1463" s="18" t="str">
        <f t="shared" si="67"/>
        <v/>
      </c>
      <c r="F1463" s="17" t="str">
        <f t="shared" si="68"/>
        <v/>
      </c>
    </row>
    <row r="1464" spans="2:6" x14ac:dyDescent="0.2">
      <c r="B1464" s="12"/>
      <c r="C1464" s="12"/>
      <c r="D1464" s="17" t="str">
        <f t="shared" si="69"/>
        <v/>
      </c>
      <c r="E1464" s="18" t="str">
        <f t="shared" si="67"/>
        <v/>
      </c>
      <c r="F1464" s="17" t="str">
        <f t="shared" si="68"/>
        <v/>
      </c>
    </row>
    <row r="1465" spans="2:6" x14ac:dyDescent="0.2">
      <c r="B1465" s="12"/>
      <c r="C1465" s="12"/>
      <c r="D1465" s="17" t="str">
        <f t="shared" si="69"/>
        <v/>
      </c>
      <c r="E1465" s="18" t="str">
        <f t="shared" si="67"/>
        <v/>
      </c>
      <c r="F1465" s="17" t="str">
        <f t="shared" si="68"/>
        <v/>
      </c>
    </row>
    <row r="1466" spans="2:6" x14ac:dyDescent="0.2">
      <c r="B1466" s="12"/>
      <c r="C1466" s="12"/>
      <c r="D1466" s="17" t="str">
        <f t="shared" si="69"/>
        <v/>
      </c>
      <c r="E1466" s="18" t="str">
        <f t="shared" si="67"/>
        <v/>
      </c>
      <c r="F1466" s="17" t="str">
        <f t="shared" si="68"/>
        <v/>
      </c>
    </row>
    <row r="1467" spans="2:6" x14ac:dyDescent="0.2">
      <c r="B1467" s="12"/>
      <c r="C1467" s="12"/>
      <c r="D1467" s="17" t="str">
        <f t="shared" si="69"/>
        <v/>
      </c>
      <c r="E1467" s="18" t="str">
        <f t="shared" si="67"/>
        <v/>
      </c>
      <c r="F1467" s="17" t="str">
        <f t="shared" si="68"/>
        <v/>
      </c>
    </row>
    <row r="1468" spans="2:6" x14ac:dyDescent="0.2">
      <c r="B1468" s="12"/>
      <c r="C1468" s="12"/>
      <c r="D1468" s="17" t="str">
        <f t="shared" si="69"/>
        <v/>
      </c>
      <c r="E1468" s="18" t="str">
        <f t="shared" si="67"/>
        <v/>
      </c>
      <c r="F1468" s="17" t="str">
        <f t="shared" si="68"/>
        <v/>
      </c>
    </row>
    <row r="1469" spans="2:6" x14ac:dyDescent="0.2">
      <c r="B1469" s="12"/>
      <c r="C1469" s="12"/>
      <c r="D1469" s="17" t="str">
        <f t="shared" si="69"/>
        <v/>
      </c>
      <c r="E1469" s="18" t="str">
        <f t="shared" si="67"/>
        <v/>
      </c>
      <c r="F1469" s="17" t="str">
        <f t="shared" si="68"/>
        <v/>
      </c>
    </row>
    <row r="1470" spans="2:6" x14ac:dyDescent="0.2">
      <c r="B1470" s="12"/>
      <c r="C1470" s="12"/>
      <c r="D1470" s="17" t="str">
        <f t="shared" si="69"/>
        <v/>
      </c>
      <c r="E1470" s="18" t="str">
        <f t="shared" si="67"/>
        <v/>
      </c>
      <c r="F1470" s="17" t="str">
        <f t="shared" si="68"/>
        <v/>
      </c>
    </row>
    <row r="1471" spans="2:6" x14ac:dyDescent="0.2">
      <c r="B1471" s="12"/>
      <c r="C1471" s="12"/>
      <c r="D1471" s="17" t="str">
        <f t="shared" si="69"/>
        <v/>
      </c>
      <c r="E1471" s="18" t="str">
        <f t="shared" si="67"/>
        <v/>
      </c>
      <c r="F1471" s="17" t="str">
        <f t="shared" si="68"/>
        <v/>
      </c>
    </row>
    <row r="1472" spans="2:6" x14ac:dyDescent="0.2">
      <c r="B1472" s="12"/>
      <c r="C1472" s="12"/>
      <c r="D1472" s="17" t="str">
        <f t="shared" si="69"/>
        <v/>
      </c>
      <c r="E1472" s="18" t="str">
        <f t="shared" si="67"/>
        <v/>
      </c>
      <c r="F1472" s="17" t="str">
        <f t="shared" si="68"/>
        <v/>
      </c>
    </row>
    <row r="1473" spans="2:6" x14ac:dyDescent="0.2">
      <c r="B1473" s="12"/>
      <c r="C1473" s="12"/>
      <c r="D1473" s="17" t="str">
        <f t="shared" si="69"/>
        <v/>
      </c>
      <c r="E1473" s="18" t="str">
        <f t="shared" si="67"/>
        <v/>
      </c>
      <c r="F1473" s="17" t="str">
        <f t="shared" si="68"/>
        <v/>
      </c>
    </row>
    <row r="1474" spans="2:6" x14ac:dyDescent="0.2">
      <c r="B1474" s="12"/>
      <c r="C1474" s="12"/>
      <c r="D1474" s="17" t="str">
        <f t="shared" si="69"/>
        <v/>
      </c>
      <c r="E1474" s="18" t="str">
        <f t="shared" si="67"/>
        <v/>
      </c>
      <c r="F1474" s="17" t="str">
        <f t="shared" si="68"/>
        <v/>
      </c>
    </row>
    <row r="1475" spans="2:6" x14ac:dyDescent="0.2">
      <c r="B1475" s="12"/>
      <c r="C1475" s="12"/>
      <c r="D1475" s="17" t="str">
        <f t="shared" si="69"/>
        <v/>
      </c>
      <c r="E1475" s="18" t="str">
        <f t="shared" si="67"/>
        <v/>
      </c>
      <c r="F1475" s="17" t="str">
        <f t="shared" si="68"/>
        <v/>
      </c>
    </row>
    <row r="1476" spans="2:6" x14ac:dyDescent="0.2">
      <c r="B1476" s="12"/>
      <c r="C1476" s="12"/>
      <c r="D1476" s="17" t="str">
        <f t="shared" si="69"/>
        <v/>
      </c>
      <c r="E1476" s="18" t="str">
        <f t="shared" si="67"/>
        <v/>
      </c>
      <c r="F1476" s="17" t="str">
        <f t="shared" si="68"/>
        <v/>
      </c>
    </row>
    <row r="1477" spans="2:6" x14ac:dyDescent="0.2">
      <c r="B1477" s="12"/>
      <c r="C1477" s="12"/>
      <c r="D1477" s="17" t="str">
        <f t="shared" si="69"/>
        <v/>
      </c>
      <c r="E1477" s="18" t="str">
        <f t="shared" ref="E1477:E1540" si="70">IF(B1477="","",ABS(C1477-D1477))</f>
        <v/>
      </c>
      <c r="F1477" s="17" t="str">
        <f t="shared" ref="F1477:F1540" si="71">IF(B1477="","",E1477^2)</f>
        <v/>
      </c>
    </row>
    <row r="1478" spans="2:6" x14ac:dyDescent="0.2">
      <c r="B1478" s="12"/>
      <c r="C1478" s="12"/>
      <c r="D1478" s="17" t="str">
        <f t="shared" si="69"/>
        <v/>
      </c>
      <c r="E1478" s="18" t="str">
        <f t="shared" si="70"/>
        <v/>
      </c>
      <c r="F1478" s="17" t="str">
        <f t="shared" si="71"/>
        <v/>
      </c>
    </row>
    <row r="1479" spans="2:6" x14ac:dyDescent="0.2">
      <c r="B1479" s="12"/>
      <c r="C1479" s="12"/>
      <c r="D1479" s="17" t="str">
        <f t="shared" si="69"/>
        <v/>
      </c>
      <c r="E1479" s="18" t="str">
        <f t="shared" si="70"/>
        <v/>
      </c>
      <c r="F1479" s="17" t="str">
        <f t="shared" si="71"/>
        <v/>
      </c>
    </row>
    <row r="1480" spans="2:6" x14ac:dyDescent="0.2">
      <c r="B1480" s="12"/>
      <c r="C1480" s="12"/>
      <c r="D1480" s="17" t="str">
        <f t="shared" si="69"/>
        <v/>
      </c>
      <c r="E1480" s="18" t="str">
        <f t="shared" si="70"/>
        <v/>
      </c>
      <c r="F1480" s="17" t="str">
        <f t="shared" si="71"/>
        <v/>
      </c>
    </row>
    <row r="1481" spans="2:6" x14ac:dyDescent="0.2">
      <c r="B1481" s="12"/>
      <c r="C1481" s="12"/>
      <c r="D1481" s="17" t="str">
        <f t="shared" si="69"/>
        <v/>
      </c>
      <c r="E1481" s="18" t="str">
        <f t="shared" si="70"/>
        <v/>
      </c>
      <c r="F1481" s="17" t="str">
        <f t="shared" si="71"/>
        <v/>
      </c>
    </row>
    <row r="1482" spans="2:6" x14ac:dyDescent="0.2">
      <c r="B1482" s="12"/>
      <c r="C1482" s="12"/>
      <c r="D1482" s="17" t="str">
        <f t="shared" si="69"/>
        <v/>
      </c>
      <c r="E1482" s="18" t="str">
        <f t="shared" si="70"/>
        <v/>
      </c>
      <c r="F1482" s="17" t="str">
        <f t="shared" si="71"/>
        <v/>
      </c>
    </row>
    <row r="1483" spans="2:6" x14ac:dyDescent="0.2">
      <c r="B1483" s="12"/>
      <c r="C1483" s="12"/>
      <c r="D1483" s="17" t="str">
        <f t="shared" si="69"/>
        <v/>
      </c>
      <c r="E1483" s="18" t="str">
        <f t="shared" si="70"/>
        <v/>
      </c>
      <c r="F1483" s="17" t="str">
        <f t="shared" si="71"/>
        <v/>
      </c>
    </row>
    <row r="1484" spans="2:6" x14ac:dyDescent="0.2">
      <c r="B1484" s="12"/>
      <c r="C1484" s="12"/>
      <c r="D1484" s="17" t="str">
        <f t="shared" si="69"/>
        <v/>
      </c>
      <c r="E1484" s="18" t="str">
        <f t="shared" si="70"/>
        <v/>
      </c>
      <c r="F1484" s="17" t="str">
        <f t="shared" si="71"/>
        <v/>
      </c>
    </row>
    <row r="1485" spans="2:6" x14ac:dyDescent="0.2">
      <c r="B1485" s="12"/>
      <c r="C1485" s="12"/>
      <c r="D1485" s="17" t="str">
        <f t="shared" si="69"/>
        <v/>
      </c>
      <c r="E1485" s="18" t="str">
        <f t="shared" si="70"/>
        <v/>
      </c>
      <c r="F1485" s="17" t="str">
        <f t="shared" si="71"/>
        <v/>
      </c>
    </row>
    <row r="1486" spans="2:6" x14ac:dyDescent="0.2">
      <c r="B1486" s="12"/>
      <c r="C1486" s="12"/>
      <c r="D1486" s="17" t="str">
        <f t="shared" si="69"/>
        <v/>
      </c>
      <c r="E1486" s="18" t="str">
        <f t="shared" si="70"/>
        <v/>
      </c>
      <c r="F1486" s="17" t="str">
        <f t="shared" si="71"/>
        <v/>
      </c>
    </row>
    <row r="1487" spans="2:6" x14ac:dyDescent="0.2">
      <c r="B1487" s="12"/>
      <c r="C1487" s="12"/>
      <c r="D1487" s="17" t="str">
        <f t="shared" si="69"/>
        <v/>
      </c>
      <c r="E1487" s="18" t="str">
        <f t="shared" si="70"/>
        <v/>
      </c>
      <c r="F1487" s="17" t="str">
        <f t="shared" si="71"/>
        <v/>
      </c>
    </row>
    <row r="1488" spans="2:6" x14ac:dyDescent="0.2">
      <c r="B1488" s="12"/>
      <c r="C1488" s="12"/>
      <c r="D1488" s="17" t="str">
        <f t="shared" si="69"/>
        <v/>
      </c>
      <c r="E1488" s="18" t="str">
        <f t="shared" si="70"/>
        <v/>
      </c>
      <c r="F1488" s="17" t="str">
        <f t="shared" si="71"/>
        <v/>
      </c>
    </row>
    <row r="1489" spans="2:6" x14ac:dyDescent="0.2">
      <c r="B1489" s="12"/>
      <c r="C1489" s="12"/>
      <c r="D1489" s="17" t="str">
        <f t="shared" si="69"/>
        <v/>
      </c>
      <c r="E1489" s="18" t="str">
        <f t="shared" si="70"/>
        <v/>
      </c>
      <c r="F1489" s="17" t="str">
        <f t="shared" si="71"/>
        <v/>
      </c>
    </row>
    <row r="1490" spans="2:6" x14ac:dyDescent="0.2">
      <c r="B1490" s="12"/>
      <c r="C1490" s="12"/>
      <c r="D1490" s="17" t="str">
        <f t="shared" ref="D1490:D1553" si="72">IF(B1490="","",a+b*B1490)</f>
        <v/>
      </c>
      <c r="E1490" s="18" t="str">
        <f t="shared" si="70"/>
        <v/>
      </c>
      <c r="F1490" s="17" t="str">
        <f t="shared" si="71"/>
        <v/>
      </c>
    </row>
    <row r="1491" spans="2:6" x14ac:dyDescent="0.2">
      <c r="B1491" s="12"/>
      <c r="C1491" s="12"/>
      <c r="D1491" s="17" t="str">
        <f t="shared" si="72"/>
        <v/>
      </c>
      <c r="E1491" s="18" t="str">
        <f t="shared" si="70"/>
        <v/>
      </c>
      <c r="F1491" s="17" t="str">
        <f t="shared" si="71"/>
        <v/>
      </c>
    </row>
    <row r="1492" spans="2:6" x14ac:dyDescent="0.2">
      <c r="B1492" s="12"/>
      <c r="C1492" s="12"/>
      <c r="D1492" s="17" t="str">
        <f t="shared" si="72"/>
        <v/>
      </c>
      <c r="E1492" s="18" t="str">
        <f t="shared" si="70"/>
        <v/>
      </c>
      <c r="F1492" s="17" t="str">
        <f t="shared" si="71"/>
        <v/>
      </c>
    </row>
    <row r="1493" spans="2:6" x14ac:dyDescent="0.2">
      <c r="B1493" s="12"/>
      <c r="C1493" s="12"/>
      <c r="D1493" s="17" t="str">
        <f t="shared" si="72"/>
        <v/>
      </c>
      <c r="E1493" s="18" t="str">
        <f t="shared" si="70"/>
        <v/>
      </c>
      <c r="F1493" s="17" t="str">
        <f t="shared" si="71"/>
        <v/>
      </c>
    </row>
    <row r="1494" spans="2:6" x14ac:dyDescent="0.2">
      <c r="B1494" s="12"/>
      <c r="C1494" s="12"/>
      <c r="D1494" s="17" t="str">
        <f t="shared" si="72"/>
        <v/>
      </c>
      <c r="E1494" s="18" t="str">
        <f t="shared" si="70"/>
        <v/>
      </c>
      <c r="F1494" s="17" t="str">
        <f t="shared" si="71"/>
        <v/>
      </c>
    </row>
    <row r="1495" spans="2:6" x14ac:dyDescent="0.2">
      <c r="B1495" s="12"/>
      <c r="C1495" s="12"/>
      <c r="D1495" s="17" t="str">
        <f t="shared" si="72"/>
        <v/>
      </c>
      <c r="E1495" s="18" t="str">
        <f t="shared" si="70"/>
        <v/>
      </c>
      <c r="F1495" s="17" t="str">
        <f t="shared" si="71"/>
        <v/>
      </c>
    </row>
    <row r="1496" spans="2:6" x14ac:dyDescent="0.2">
      <c r="B1496" s="12"/>
      <c r="C1496" s="12"/>
      <c r="D1496" s="17" t="str">
        <f t="shared" si="72"/>
        <v/>
      </c>
      <c r="E1496" s="18" t="str">
        <f t="shared" si="70"/>
        <v/>
      </c>
      <c r="F1496" s="17" t="str">
        <f t="shared" si="71"/>
        <v/>
      </c>
    </row>
    <row r="1497" spans="2:6" x14ac:dyDescent="0.2">
      <c r="B1497" s="12"/>
      <c r="C1497" s="12"/>
      <c r="D1497" s="17" t="str">
        <f t="shared" si="72"/>
        <v/>
      </c>
      <c r="E1497" s="18" t="str">
        <f t="shared" si="70"/>
        <v/>
      </c>
      <c r="F1497" s="17" t="str">
        <f t="shared" si="71"/>
        <v/>
      </c>
    </row>
    <row r="1498" spans="2:6" x14ac:dyDescent="0.2">
      <c r="B1498" s="12"/>
      <c r="C1498" s="12"/>
      <c r="D1498" s="17" t="str">
        <f t="shared" si="72"/>
        <v/>
      </c>
      <c r="E1498" s="18" t="str">
        <f t="shared" si="70"/>
        <v/>
      </c>
      <c r="F1498" s="17" t="str">
        <f t="shared" si="71"/>
        <v/>
      </c>
    </row>
    <row r="1499" spans="2:6" x14ac:dyDescent="0.2">
      <c r="B1499" s="12"/>
      <c r="C1499" s="12"/>
      <c r="D1499" s="17" t="str">
        <f t="shared" si="72"/>
        <v/>
      </c>
      <c r="E1499" s="18" t="str">
        <f t="shared" si="70"/>
        <v/>
      </c>
      <c r="F1499" s="17" t="str">
        <f t="shared" si="71"/>
        <v/>
      </c>
    </row>
    <row r="1500" spans="2:6" x14ac:dyDescent="0.2">
      <c r="B1500" s="12"/>
      <c r="C1500" s="12"/>
      <c r="D1500" s="17" t="str">
        <f t="shared" si="72"/>
        <v/>
      </c>
      <c r="E1500" s="18" t="str">
        <f t="shared" si="70"/>
        <v/>
      </c>
      <c r="F1500" s="17" t="str">
        <f t="shared" si="71"/>
        <v/>
      </c>
    </row>
    <row r="1501" spans="2:6" x14ac:dyDescent="0.2">
      <c r="B1501" s="12"/>
      <c r="C1501" s="12"/>
      <c r="D1501" s="17" t="str">
        <f t="shared" si="72"/>
        <v/>
      </c>
      <c r="E1501" s="18" t="str">
        <f t="shared" si="70"/>
        <v/>
      </c>
      <c r="F1501" s="17" t="str">
        <f t="shared" si="71"/>
        <v/>
      </c>
    </row>
    <row r="1502" spans="2:6" x14ac:dyDescent="0.2">
      <c r="B1502" s="12"/>
      <c r="C1502" s="12"/>
      <c r="D1502" s="17" t="str">
        <f t="shared" si="72"/>
        <v/>
      </c>
      <c r="E1502" s="18" t="str">
        <f t="shared" si="70"/>
        <v/>
      </c>
      <c r="F1502" s="17" t="str">
        <f t="shared" si="71"/>
        <v/>
      </c>
    </row>
    <row r="1503" spans="2:6" x14ac:dyDescent="0.2">
      <c r="B1503" s="12"/>
      <c r="C1503" s="12"/>
      <c r="D1503" s="17" t="str">
        <f t="shared" si="72"/>
        <v/>
      </c>
      <c r="E1503" s="18" t="str">
        <f t="shared" si="70"/>
        <v/>
      </c>
      <c r="F1503" s="17" t="str">
        <f t="shared" si="71"/>
        <v/>
      </c>
    </row>
    <row r="1504" spans="2:6" x14ac:dyDescent="0.2">
      <c r="B1504" s="12"/>
      <c r="C1504" s="12"/>
      <c r="D1504" s="17" t="str">
        <f t="shared" si="72"/>
        <v/>
      </c>
      <c r="E1504" s="18" t="str">
        <f t="shared" si="70"/>
        <v/>
      </c>
      <c r="F1504" s="17" t="str">
        <f t="shared" si="71"/>
        <v/>
      </c>
    </row>
    <row r="1505" spans="2:6" x14ac:dyDescent="0.2">
      <c r="B1505" s="12"/>
      <c r="C1505" s="12"/>
      <c r="D1505" s="17" t="str">
        <f t="shared" si="72"/>
        <v/>
      </c>
      <c r="E1505" s="18" t="str">
        <f t="shared" si="70"/>
        <v/>
      </c>
      <c r="F1505" s="17" t="str">
        <f t="shared" si="71"/>
        <v/>
      </c>
    </row>
    <row r="1506" spans="2:6" x14ac:dyDescent="0.2">
      <c r="B1506" s="12"/>
      <c r="C1506" s="12"/>
      <c r="D1506" s="17" t="str">
        <f t="shared" si="72"/>
        <v/>
      </c>
      <c r="E1506" s="18" t="str">
        <f t="shared" si="70"/>
        <v/>
      </c>
      <c r="F1506" s="17" t="str">
        <f t="shared" si="71"/>
        <v/>
      </c>
    </row>
    <row r="1507" spans="2:6" x14ac:dyDescent="0.2">
      <c r="B1507" s="12"/>
      <c r="C1507" s="12"/>
      <c r="D1507" s="17" t="str">
        <f t="shared" si="72"/>
        <v/>
      </c>
      <c r="E1507" s="18" t="str">
        <f t="shared" si="70"/>
        <v/>
      </c>
      <c r="F1507" s="17" t="str">
        <f t="shared" si="71"/>
        <v/>
      </c>
    </row>
    <row r="1508" spans="2:6" x14ac:dyDescent="0.2">
      <c r="B1508" s="12"/>
      <c r="C1508" s="12"/>
      <c r="D1508" s="17" t="str">
        <f t="shared" si="72"/>
        <v/>
      </c>
      <c r="E1508" s="18" t="str">
        <f t="shared" si="70"/>
        <v/>
      </c>
      <c r="F1508" s="17" t="str">
        <f t="shared" si="71"/>
        <v/>
      </c>
    </row>
    <row r="1509" spans="2:6" x14ac:dyDescent="0.2">
      <c r="B1509" s="12"/>
      <c r="C1509" s="12"/>
      <c r="D1509" s="17" t="str">
        <f t="shared" si="72"/>
        <v/>
      </c>
      <c r="E1509" s="18" t="str">
        <f t="shared" si="70"/>
        <v/>
      </c>
      <c r="F1509" s="17" t="str">
        <f t="shared" si="71"/>
        <v/>
      </c>
    </row>
    <row r="1510" spans="2:6" x14ac:dyDescent="0.2">
      <c r="B1510" s="12"/>
      <c r="C1510" s="12"/>
      <c r="D1510" s="17" t="str">
        <f t="shared" si="72"/>
        <v/>
      </c>
      <c r="E1510" s="18" t="str">
        <f t="shared" si="70"/>
        <v/>
      </c>
      <c r="F1510" s="17" t="str">
        <f t="shared" si="71"/>
        <v/>
      </c>
    </row>
    <row r="1511" spans="2:6" x14ac:dyDescent="0.2">
      <c r="B1511" s="12"/>
      <c r="C1511" s="12"/>
      <c r="D1511" s="17" t="str">
        <f t="shared" si="72"/>
        <v/>
      </c>
      <c r="E1511" s="18" t="str">
        <f t="shared" si="70"/>
        <v/>
      </c>
      <c r="F1511" s="17" t="str">
        <f t="shared" si="71"/>
        <v/>
      </c>
    </row>
    <row r="1512" spans="2:6" x14ac:dyDescent="0.2">
      <c r="B1512" s="12"/>
      <c r="C1512" s="12"/>
      <c r="D1512" s="17" t="str">
        <f t="shared" si="72"/>
        <v/>
      </c>
      <c r="E1512" s="18" t="str">
        <f t="shared" si="70"/>
        <v/>
      </c>
      <c r="F1512" s="17" t="str">
        <f t="shared" si="71"/>
        <v/>
      </c>
    </row>
    <row r="1513" spans="2:6" x14ac:dyDescent="0.2">
      <c r="B1513" s="12"/>
      <c r="C1513" s="12"/>
      <c r="D1513" s="17" t="str">
        <f t="shared" si="72"/>
        <v/>
      </c>
      <c r="E1513" s="18" t="str">
        <f t="shared" si="70"/>
        <v/>
      </c>
      <c r="F1513" s="17" t="str">
        <f t="shared" si="71"/>
        <v/>
      </c>
    </row>
    <row r="1514" spans="2:6" x14ac:dyDescent="0.2">
      <c r="B1514" s="12"/>
      <c r="C1514" s="12"/>
      <c r="D1514" s="17" t="str">
        <f t="shared" si="72"/>
        <v/>
      </c>
      <c r="E1514" s="18" t="str">
        <f t="shared" si="70"/>
        <v/>
      </c>
      <c r="F1514" s="17" t="str">
        <f t="shared" si="71"/>
        <v/>
      </c>
    </row>
    <row r="1515" spans="2:6" x14ac:dyDescent="0.2">
      <c r="B1515" s="12"/>
      <c r="C1515" s="12"/>
      <c r="D1515" s="17" t="str">
        <f t="shared" si="72"/>
        <v/>
      </c>
      <c r="E1515" s="18" t="str">
        <f t="shared" si="70"/>
        <v/>
      </c>
      <c r="F1515" s="17" t="str">
        <f t="shared" si="71"/>
        <v/>
      </c>
    </row>
    <row r="1516" spans="2:6" x14ac:dyDescent="0.2">
      <c r="B1516" s="12"/>
      <c r="C1516" s="12"/>
      <c r="D1516" s="17" t="str">
        <f t="shared" si="72"/>
        <v/>
      </c>
      <c r="E1516" s="18" t="str">
        <f t="shared" si="70"/>
        <v/>
      </c>
      <c r="F1516" s="17" t="str">
        <f t="shared" si="71"/>
        <v/>
      </c>
    </row>
    <row r="1517" spans="2:6" x14ac:dyDescent="0.2">
      <c r="B1517" s="12"/>
      <c r="C1517" s="12"/>
      <c r="D1517" s="17" t="str">
        <f t="shared" si="72"/>
        <v/>
      </c>
      <c r="E1517" s="18" t="str">
        <f t="shared" si="70"/>
        <v/>
      </c>
      <c r="F1517" s="17" t="str">
        <f t="shared" si="71"/>
        <v/>
      </c>
    </row>
    <row r="1518" spans="2:6" x14ac:dyDescent="0.2">
      <c r="B1518" s="12"/>
      <c r="C1518" s="12"/>
      <c r="D1518" s="17" t="str">
        <f t="shared" si="72"/>
        <v/>
      </c>
      <c r="E1518" s="18" t="str">
        <f t="shared" si="70"/>
        <v/>
      </c>
      <c r="F1518" s="17" t="str">
        <f t="shared" si="71"/>
        <v/>
      </c>
    </row>
    <row r="1519" spans="2:6" x14ac:dyDescent="0.2">
      <c r="B1519" s="12"/>
      <c r="C1519" s="12"/>
      <c r="D1519" s="17" t="str">
        <f t="shared" si="72"/>
        <v/>
      </c>
      <c r="E1519" s="18" t="str">
        <f t="shared" si="70"/>
        <v/>
      </c>
      <c r="F1519" s="17" t="str">
        <f t="shared" si="71"/>
        <v/>
      </c>
    </row>
    <row r="1520" spans="2:6" x14ac:dyDescent="0.2">
      <c r="B1520" s="12"/>
      <c r="C1520" s="12"/>
      <c r="D1520" s="17" t="str">
        <f t="shared" si="72"/>
        <v/>
      </c>
      <c r="E1520" s="18" t="str">
        <f t="shared" si="70"/>
        <v/>
      </c>
      <c r="F1520" s="17" t="str">
        <f t="shared" si="71"/>
        <v/>
      </c>
    </row>
    <row r="1521" spans="2:6" x14ac:dyDescent="0.2">
      <c r="B1521" s="12"/>
      <c r="C1521" s="12"/>
      <c r="D1521" s="17" t="str">
        <f t="shared" si="72"/>
        <v/>
      </c>
      <c r="E1521" s="18" t="str">
        <f t="shared" si="70"/>
        <v/>
      </c>
      <c r="F1521" s="17" t="str">
        <f t="shared" si="71"/>
        <v/>
      </c>
    </row>
    <row r="1522" spans="2:6" x14ac:dyDescent="0.2">
      <c r="B1522" s="12"/>
      <c r="C1522" s="12"/>
      <c r="D1522" s="17" t="str">
        <f t="shared" si="72"/>
        <v/>
      </c>
      <c r="E1522" s="18" t="str">
        <f t="shared" si="70"/>
        <v/>
      </c>
      <c r="F1522" s="17" t="str">
        <f t="shared" si="71"/>
        <v/>
      </c>
    </row>
    <row r="1523" spans="2:6" x14ac:dyDescent="0.2">
      <c r="B1523" s="12"/>
      <c r="C1523" s="12"/>
      <c r="D1523" s="17" t="str">
        <f t="shared" si="72"/>
        <v/>
      </c>
      <c r="E1523" s="18" t="str">
        <f t="shared" si="70"/>
        <v/>
      </c>
      <c r="F1523" s="17" t="str">
        <f t="shared" si="71"/>
        <v/>
      </c>
    </row>
    <row r="1524" spans="2:6" x14ac:dyDescent="0.2">
      <c r="B1524" s="12"/>
      <c r="C1524" s="12"/>
      <c r="D1524" s="17" t="str">
        <f t="shared" si="72"/>
        <v/>
      </c>
      <c r="E1524" s="18" t="str">
        <f t="shared" si="70"/>
        <v/>
      </c>
      <c r="F1524" s="17" t="str">
        <f t="shared" si="71"/>
        <v/>
      </c>
    </row>
    <row r="1525" spans="2:6" x14ac:dyDescent="0.2">
      <c r="B1525" s="12"/>
      <c r="C1525" s="12"/>
      <c r="D1525" s="17" t="str">
        <f t="shared" si="72"/>
        <v/>
      </c>
      <c r="E1525" s="18" t="str">
        <f t="shared" si="70"/>
        <v/>
      </c>
      <c r="F1525" s="17" t="str">
        <f t="shared" si="71"/>
        <v/>
      </c>
    </row>
    <row r="1526" spans="2:6" x14ac:dyDescent="0.2">
      <c r="B1526" s="12"/>
      <c r="C1526" s="12"/>
      <c r="D1526" s="17" t="str">
        <f t="shared" si="72"/>
        <v/>
      </c>
      <c r="E1526" s="18" t="str">
        <f t="shared" si="70"/>
        <v/>
      </c>
      <c r="F1526" s="17" t="str">
        <f t="shared" si="71"/>
        <v/>
      </c>
    </row>
    <row r="1527" spans="2:6" x14ac:dyDescent="0.2">
      <c r="B1527" s="12"/>
      <c r="C1527" s="12"/>
      <c r="D1527" s="17" t="str">
        <f t="shared" si="72"/>
        <v/>
      </c>
      <c r="E1527" s="18" t="str">
        <f t="shared" si="70"/>
        <v/>
      </c>
      <c r="F1527" s="17" t="str">
        <f t="shared" si="71"/>
        <v/>
      </c>
    </row>
    <row r="1528" spans="2:6" x14ac:dyDescent="0.2">
      <c r="B1528" s="12"/>
      <c r="C1528" s="12"/>
      <c r="D1528" s="17" t="str">
        <f t="shared" si="72"/>
        <v/>
      </c>
      <c r="E1528" s="18" t="str">
        <f t="shared" si="70"/>
        <v/>
      </c>
      <c r="F1528" s="17" t="str">
        <f t="shared" si="71"/>
        <v/>
      </c>
    </row>
    <row r="1529" spans="2:6" x14ac:dyDescent="0.2">
      <c r="B1529" s="12"/>
      <c r="C1529" s="12"/>
      <c r="D1529" s="17" t="str">
        <f t="shared" si="72"/>
        <v/>
      </c>
      <c r="E1529" s="18" t="str">
        <f t="shared" si="70"/>
        <v/>
      </c>
      <c r="F1529" s="17" t="str">
        <f t="shared" si="71"/>
        <v/>
      </c>
    </row>
    <row r="1530" spans="2:6" x14ac:dyDescent="0.2">
      <c r="B1530" s="12"/>
      <c r="C1530" s="12"/>
      <c r="D1530" s="17" t="str">
        <f t="shared" si="72"/>
        <v/>
      </c>
      <c r="E1530" s="18" t="str">
        <f t="shared" si="70"/>
        <v/>
      </c>
      <c r="F1530" s="17" t="str">
        <f t="shared" si="71"/>
        <v/>
      </c>
    </row>
    <row r="1531" spans="2:6" x14ac:dyDescent="0.2">
      <c r="B1531" s="12"/>
      <c r="C1531" s="12"/>
      <c r="D1531" s="17" t="str">
        <f t="shared" si="72"/>
        <v/>
      </c>
      <c r="E1531" s="18" t="str">
        <f t="shared" si="70"/>
        <v/>
      </c>
      <c r="F1531" s="17" t="str">
        <f t="shared" si="71"/>
        <v/>
      </c>
    </row>
    <row r="1532" spans="2:6" x14ac:dyDescent="0.2">
      <c r="B1532" s="12"/>
      <c r="C1532" s="12"/>
      <c r="D1532" s="17" t="str">
        <f t="shared" si="72"/>
        <v/>
      </c>
      <c r="E1532" s="18" t="str">
        <f t="shared" si="70"/>
        <v/>
      </c>
      <c r="F1532" s="17" t="str">
        <f t="shared" si="71"/>
        <v/>
      </c>
    </row>
    <row r="1533" spans="2:6" x14ac:dyDescent="0.2">
      <c r="B1533" s="12"/>
      <c r="C1533" s="12"/>
      <c r="D1533" s="17" t="str">
        <f t="shared" si="72"/>
        <v/>
      </c>
      <c r="E1533" s="18" t="str">
        <f t="shared" si="70"/>
        <v/>
      </c>
      <c r="F1533" s="17" t="str">
        <f t="shared" si="71"/>
        <v/>
      </c>
    </row>
    <row r="1534" spans="2:6" x14ac:dyDescent="0.2">
      <c r="B1534" s="12"/>
      <c r="C1534" s="12"/>
      <c r="D1534" s="17" t="str">
        <f t="shared" si="72"/>
        <v/>
      </c>
      <c r="E1534" s="18" t="str">
        <f t="shared" si="70"/>
        <v/>
      </c>
      <c r="F1534" s="17" t="str">
        <f t="shared" si="71"/>
        <v/>
      </c>
    </row>
    <row r="1535" spans="2:6" x14ac:dyDescent="0.2">
      <c r="B1535" s="12"/>
      <c r="C1535" s="12"/>
      <c r="D1535" s="17" t="str">
        <f t="shared" si="72"/>
        <v/>
      </c>
      <c r="E1535" s="18" t="str">
        <f t="shared" si="70"/>
        <v/>
      </c>
      <c r="F1535" s="17" t="str">
        <f t="shared" si="71"/>
        <v/>
      </c>
    </row>
    <row r="1536" spans="2:6" x14ac:dyDescent="0.2">
      <c r="B1536" s="12"/>
      <c r="C1536" s="12"/>
      <c r="D1536" s="17" t="str">
        <f t="shared" si="72"/>
        <v/>
      </c>
      <c r="E1536" s="18" t="str">
        <f t="shared" si="70"/>
        <v/>
      </c>
      <c r="F1536" s="17" t="str">
        <f t="shared" si="71"/>
        <v/>
      </c>
    </row>
    <row r="1537" spans="2:6" x14ac:dyDescent="0.2">
      <c r="B1537" s="12"/>
      <c r="C1537" s="12"/>
      <c r="D1537" s="17" t="str">
        <f t="shared" si="72"/>
        <v/>
      </c>
      <c r="E1537" s="18" t="str">
        <f t="shared" si="70"/>
        <v/>
      </c>
      <c r="F1537" s="17" t="str">
        <f t="shared" si="71"/>
        <v/>
      </c>
    </row>
    <row r="1538" spans="2:6" x14ac:dyDescent="0.2">
      <c r="B1538" s="12"/>
      <c r="C1538" s="12"/>
      <c r="D1538" s="17" t="str">
        <f t="shared" si="72"/>
        <v/>
      </c>
      <c r="E1538" s="18" t="str">
        <f t="shared" si="70"/>
        <v/>
      </c>
      <c r="F1538" s="17" t="str">
        <f t="shared" si="71"/>
        <v/>
      </c>
    </row>
    <row r="1539" spans="2:6" x14ac:dyDescent="0.2">
      <c r="B1539" s="12"/>
      <c r="C1539" s="12"/>
      <c r="D1539" s="17" t="str">
        <f t="shared" si="72"/>
        <v/>
      </c>
      <c r="E1539" s="18" t="str">
        <f t="shared" si="70"/>
        <v/>
      </c>
      <c r="F1539" s="17" t="str">
        <f t="shared" si="71"/>
        <v/>
      </c>
    </row>
    <row r="1540" spans="2:6" x14ac:dyDescent="0.2">
      <c r="B1540" s="12"/>
      <c r="C1540" s="12"/>
      <c r="D1540" s="17" t="str">
        <f t="shared" si="72"/>
        <v/>
      </c>
      <c r="E1540" s="18" t="str">
        <f t="shared" si="70"/>
        <v/>
      </c>
      <c r="F1540" s="17" t="str">
        <f t="shared" si="71"/>
        <v/>
      </c>
    </row>
    <row r="1541" spans="2:6" x14ac:dyDescent="0.2">
      <c r="B1541" s="12"/>
      <c r="C1541" s="12"/>
      <c r="D1541" s="17" t="str">
        <f t="shared" si="72"/>
        <v/>
      </c>
      <c r="E1541" s="18" t="str">
        <f t="shared" ref="E1541:E1604" si="73">IF(B1541="","",ABS(C1541-D1541))</f>
        <v/>
      </c>
      <c r="F1541" s="17" t="str">
        <f t="shared" ref="F1541:F1604" si="74">IF(B1541="","",E1541^2)</f>
        <v/>
      </c>
    </row>
    <row r="1542" spans="2:6" x14ac:dyDescent="0.2">
      <c r="B1542" s="12"/>
      <c r="C1542" s="12"/>
      <c r="D1542" s="17" t="str">
        <f t="shared" si="72"/>
        <v/>
      </c>
      <c r="E1542" s="18" t="str">
        <f t="shared" si="73"/>
        <v/>
      </c>
      <c r="F1542" s="17" t="str">
        <f t="shared" si="74"/>
        <v/>
      </c>
    </row>
    <row r="1543" spans="2:6" x14ac:dyDescent="0.2">
      <c r="B1543" s="12"/>
      <c r="C1543" s="12"/>
      <c r="D1543" s="17" t="str">
        <f t="shared" si="72"/>
        <v/>
      </c>
      <c r="E1543" s="18" t="str">
        <f t="shared" si="73"/>
        <v/>
      </c>
      <c r="F1543" s="17" t="str">
        <f t="shared" si="74"/>
        <v/>
      </c>
    </row>
    <row r="1544" spans="2:6" x14ac:dyDescent="0.2">
      <c r="B1544" s="12"/>
      <c r="C1544" s="12"/>
      <c r="D1544" s="17" t="str">
        <f t="shared" si="72"/>
        <v/>
      </c>
      <c r="E1544" s="18" t="str">
        <f t="shared" si="73"/>
        <v/>
      </c>
      <c r="F1544" s="17" t="str">
        <f t="shared" si="74"/>
        <v/>
      </c>
    </row>
    <row r="1545" spans="2:6" x14ac:dyDescent="0.2">
      <c r="B1545" s="12"/>
      <c r="C1545" s="12"/>
      <c r="D1545" s="17" t="str">
        <f t="shared" si="72"/>
        <v/>
      </c>
      <c r="E1545" s="18" t="str">
        <f t="shared" si="73"/>
        <v/>
      </c>
      <c r="F1545" s="17" t="str">
        <f t="shared" si="74"/>
        <v/>
      </c>
    </row>
    <row r="1546" spans="2:6" x14ac:dyDescent="0.2">
      <c r="B1546" s="12"/>
      <c r="C1546" s="12"/>
      <c r="D1546" s="17" t="str">
        <f t="shared" si="72"/>
        <v/>
      </c>
      <c r="E1546" s="18" t="str">
        <f t="shared" si="73"/>
        <v/>
      </c>
      <c r="F1546" s="17" t="str">
        <f t="shared" si="74"/>
        <v/>
      </c>
    </row>
    <row r="1547" spans="2:6" x14ac:dyDescent="0.2">
      <c r="B1547" s="12"/>
      <c r="C1547" s="12"/>
      <c r="D1547" s="17" t="str">
        <f t="shared" si="72"/>
        <v/>
      </c>
      <c r="E1547" s="18" t="str">
        <f t="shared" si="73"/>
        <v/>
      </c>
      <c r="F1547" s="17" t="str">
        <f t="shared" si="74"/>
        <v/>
      </c>
    </row>
    <row r="1548" spans="2:6" x14ac:dyDescent="0.2">
      <c r="B1548" s="12"/>
      <c r="C1548" s="12"/>
      <c r="D1548" s="17" t="str">
        <f t="shared" si="72"/>
        <v/>
      </c>
      <c r="E1548" s="18" t="str">
        <f t="shared" si="73"/>
        <v/>
      </c>
      <c r="F1548" s="17" t="str">
        <f t="shared" si="74"/>
        <v/>
      </c>
    </row>
    <row r="1549" spans="2:6" x14ac:dyDescent="0.2">
      <c r="B1549" s="12"/>
      <c r="C1549" s="12"/>
      <c r="D1549" s="17" t="str">
        <f t="shared" si="72"/>
        <v/>
      </c>
      <c r="E1549" s="18" t="str">
        <f t="shared" si="73"/>
        <v/>
      </c>
      <c r="F1549" s="17" t="str">
        <f t="shared" si="74"/>
        <v/>
      </c>
    </row>
    <row r="1550" spans="2:6" x14ac:dyDescent="0.2">
      <c r="B1550" s="12"/>
      <c r="C1550" s="12"/>
      <c r="D1550" s="17" t="str">
        <f t="shared" si="72"/>
        <v/>
      </c>
      <c r="E1550" s="18" t="str">
        <f t="shared" si="73"/>
        <v/>
      </c>
      <c r="F1550" s="17" t="str">
        <f t="shared" si="74"/>
        <v/>
      </c>
    </row>
    <row r="1551" spans="2:6" x14ac:dyDescent="0.2">
      <c r="B1551" s="12"/>
      <c r="C1551" s="12"/>
      <c r="D1551" s="17" t="str">
        <f t="shared" si="72"/>
        <v/>
      </c>
      <c r="E1551" s="18" t="str">
        <f t="shared" si="73"/>
        <v/>
      </c>
      <c r="F1551" s="17" t="str">
        <f t="shared" si="74"/>
        <v/>
      </c>
    </row>
    <row r="1552" spans="2:6" x14ac:dyDescent="0.2">
      <c r="B1552" s="12"/>
      <c r="C1552" s="12"/>
      <c r="D1552" s="17" t="str">
        <f t="shared" si="72"/>
        <v/>
      </c>
      <c r="E1552" s="18" t="str">
        <f t="shared" si="73"/>
        <v/>
      </c>
      <c r="F1552" s="17" t="str">
        <f t="shared" si="74"/>
        <v/>
      </c>
    </row>
    <row r="1553" spans="2:6" x14ac:dyDescent="0.2">
      <c r="B1553" s="12"/>
      <c r="C1553" s="12"/>
      <c r="D1553" s="17" t="str">
        <f t="shared" si="72"/>
        <v/>
      </c>
      <c r="E1553" s="18" t="str">
        <f t="shared" si="73"/>
        <v/>
      </c>
      <c r="F1553" s="17" t="str">
        <f t="shared" si="74"/>
        <v/>
      </c>
    </row>
    <row r="1554" spans="2:6" x14ac:dyDescent="0.2">
      <c r="B1554" s="12"/>
      <c r="C1554" s="12"/>
      <c r="D1554" s="17" t="str">
        <f t="shared" ref="D1554:D1617" si="75">IF(B1554="","",a+b*B1554)</f>
        <v/>
      </c>
      <c r="E1554" s="18" t="str">
        <f t="shared" si="73"/>
        <v/>
      </c>
      <c r="F1554" s="17" t="str">
        <f t="shared" si="74"/>
        <v/>
      </c>
    </row>
    <row r="1555" spans="2:6" x14ac:dyDescent="0.2">
      <c r="B1555" s="12"/>
      <c r="C1555" s="12"/>
      <c r="D1555" s="17" t="str">
        <f t="shared" si="75"/>
        <v/>
      </c>
      <c r="E1555" s="18" t="str">
        <f t="shared" si="73"/>
        <v/>
      </c>
      <c r="F1555" s="17" t="str">
        <f t="shared" si="74"/>
        <v/>
      </c>
    </row>
    <row r="1556" spans="2:6" x14ac:dyDescent="0.2">
      <c r="B1556" s="12"/>
      <c r="C1556" s="12"/>
      <c r="D1556" s="17" t="str">
        <f t="shared" si="75"/>
        <v/>
      </c>
      <c r="E1556" s="18" t="str">
        <f t="shared" si="73"/>
        <v/>
      </c>
      <c r="F1556" s="17" t="str">
        <f t="shared" si="74"/>
        <v/>
      </c>
    </row>
    <row r="1557" spans="2:6" x14ac:dyDescent="0.2">
      <c r="B1557" s="12"/>
      <c r="C1557" s="12"/>
      <c r="D1557" s="17" t="str">
        <f t="shared" si="75"/>
        <v/>
      </c>
      <c r="E1557" s="18" t="str">
        <f t="shared" si="73"/>
        <v/>
      </c>
      <c r="F1557" s="17" t="str">
        <f t="shared" si="74"/>
        <v/>
      </c>
    </row>
    <row r="1558" spans="2:6" x14ac:dyDescent="0.2">
      <c r="B1558" s="12"/>
      <c r="C1558" s="12"/>
      <c r="D1558" s="17" t="str">
        <f t="shared" si="75"/>
        <v/>
      </c>
      <c r="E1558" s="18" t="str">
        <f t="shared" si="73"/>
        <v/>
      </c>
      <c r="F1558" s="17" t="str">
        <f t="shared" si="74"/>
        <v/>
      </c>
    </row>
    <row r="1559" spans="2:6" x14ac:dyDescent="0.2">
      <c r="B1559" s="12"/>
      <c r="C1559" s="12"/>
      <c r="D1559" s="17" t="str">
        <f t="shared" si="75"/>
        <v/>
      </c>
      <c r="E1559" s="18" t="str">
        <f t="shared" si="73"/>
        <v/>
      </c>
      <c r="F1559" s="17" t="str">
        <f t="shared" si="74"/>
        <v/>
      </c>
    </row>
    <row r="1560" spans="2:6" x14ac:dyDescent="0.2">
      <c r="B1560" s="12"/>
      <c r="C1560" s="12"/>
      <c r="D1560" s="17" t="str">
        <f t="shared" si="75"/>
        <v/>
      </c>
      <c r="E1560" s="18" t="str">
        <f t="shared" si="73"/>
        <v/>
      </c>
      <c r="F1560" s="17" t="str">
        <f t="shared" si="74"/>
        <v/>
      </c>
    </row>
    <row r="1561" spans="2:6" x14ac:dyDescent="0.2">
      <c r="B1561" s="12"/>
      <c r="C1561" s="12"/>
      <c r="D1561" s="17" t="str">
        <f t="shared" si="75"/>
        <v/>
      </c>
      <c r="E1561" s="18" t="str">
        <f t="shared" si="73"/>
        <v/>
      </c>
      <c r="F1561" s="17" t="str">
        <f t="shared" si="74"/>
        <v/>
      </c>
    </row>
    <row r="1562" spans="2:6" x14ac:dyDescent="0.2">
      <c r="B1562" s="12"/>
      <c r="C1562" s="12"/>
      <c r="D1562" s="17" t="str">
        <f t="shared" si="75"/>
        <v/>
      </c>
      <c r="E1562" s="18" t="str">
        <f t="shared" si="73"/>
        <v/>
      </c>
      <c r="F1562" s="17" t="str">
        <f t="shared" si="74"/>
        <v/>
      </c>
    </row>
    <row r="1563" spans="2:6" x14ac:dyDescent="0.2">
      <c r="B1563" s="12"/>
      <c r="C1563" s="12"/>
      <c r="D1563" s="17" t="str">
        <f t="shared" si="75"/>
        <v/>
      </c>
      <c r="E1563" s="18" t="str">
        <f t="shared" si="73"/>
        <v/>
      </c>
      <c r="F1563" s="17" t="str">
        <f t="shared" si="74"/>
        <v/>
      </c>
    </row>
    <row r="1564" spans="2:6" x14ac:dyDescent="0.2">
      <c r="B1564" s="12"/>
      <c r="C1564" s="12"/>
      <c r="D1564" s="17" t="str">
        <f t="shared" si="75"/>
        <v/>
      </c>
      <c r="E1564" s="18" t="str">
        <f t="shared" si="73"/>
        <v/>
      </c>
      <c r="F1564" s="17" t="str">
        <f t="shared" si="74"/>
        <v/>
      </c>
    </row>
    <row r="1565" spans="2:6" x14ac:dyDescent="0.2">
      <c r="B1565" s="12"/>
      <c r="C1565" s="12"/>
      <c r="D1565" s="17" t="str">
        <f t="shared" si="75"/>
        <v/>
      </c>
      <c r="E1565" s="18" t="str">
        <f t="shared" si="73"/>
        <v/>
      </c>
      <c r="F1565" s="17" t="str">
        <f t="shared" si="74"/>
        <v/>
      </c>
    </row>
    <row r="1566" spans="2:6" x14ac:dyDescent="0.2">
      <c r="B1566" s="12"/>
      <c r="C1566" s="12"/>
      <c r="D1566" s="17" t="str">
        <f t="shared" si="75"/>
        <v/>
      </c>
      <c r="E1566" s="18" t="str">
        <f t="shared" si="73"/>
        <v/>
      </c>
      <c r="F1566" s="17" t="str">
        <f t="shared" si="74"/>
        <v/>
      </c>
    </row>
    <row r="1567" spans="2:6" x14ac:dyDescent="0.2">
      <c r="B1567" s="12"/>
      <c r="C1567" s="12"/>
      <c r="D1567" s="17" t="str">
        <f t="shared" si="75"/>
        <v/>
      </c>
      <c r="E1567" s="18" t="str">
        <f t="shared" si="73"/>
        <v/>
      </c>
      <c r="F1567" s="17" t="str">
        <f t="shared" si="74"/>
        <v/>
      </c>
    </row>
    <row r="1568" spans="2:6" x14ac:dyDescent="0.2">
      <c r="B1568" s="12"/>
      <c r="C1568" s="12"/>
      <c r="D1568" s="17" t="str">
        <f t="shared" si="75"/>
        <v/>
      </c>
      <c r="E1568" s="18" t="str">
        <f t="shared" si="73"/>
        <v/>
      </c>
      <c r="F1568" s="17" t="str">
        <f t="shared" si="74"/>
        <v/>
      </c>
    </row>
    <row r="1569" spans="2:6" x14ac:dyDescent="0.2">
      <c r="B1569" s="12"/>
      <c r="C1569" s="12"/>
      <c r="D1569" s="17" t="str">
        <f t="shared" si="75"/>
        <v/>
      </c>
      <c r="E1569" s="18" t="str">
        <f t="shared" si="73"/>
        <v/>
      </c>
      <c r="F1569" s="17" t="str">
        <f t="shared" si="74"/>
        <v/>
      </c>
    </row>
    <row r="1570" spans="2:6" x14ac:dyDescent="0.2">
      <c r="B1570" s="12"/>
      <c r="C1570" s="12"/>
      <c r="D1570" s="17" t="str">
        <f t="shared" si="75"/>
        <v/>
      </c>
      <c r="E1570" s="18" t="str">
        <f t="shared" si="73"/>
        <v/>
      </c>
      <c r="F1570" s="17" t="str">
        <f t="shared" si="74"/>
        <v/>
      </c>
    </row>
    <row r="1571" spans="2:6" x14ac:dyDescent="0.2">
      <c r="B1571" s="12"/>
      <c r="C1571" s="12"/>
      <c r="D1571" s="17" t="str">
        <f t="shared" si="75"/>
        <v/>
      </c>
      <c r="E1571" s="18" t="str">
        <f t="shared" si="73"/>
        <v/>
      </c>
      <c r="F1571" s="17" t="str">
        <f t="shared" si="74"/>
        <v/>
      </c>
    </row>
    <row r="1572" spans="2:6" x14ac:dyDescent="0.2">
      <c r="B1572" s="12"/>
      <c r="C1572" s="12"/>
      <c r="D1572" s="17" t="str">
        <f t="shared" si="75"/>
        <v/>
      </c>
      <c r="E1572" s="18" t="str">
        <f t="shared" si="73"/>
        <v/>
      </c>
      <c r="F1572" s="17" t="str">
        <f t="shared" si="74"/>
        <v/>
      </c>
    </row>
    <row r="1573" spans="2:6" x14ac:dyDescent="0.2">
      <c r="B1573" s="12"/>
      <c r="C1573" s="12"/>
      <c r="D1573" s="17" t="str">
        <f t="shared" si="75"/>
        <v/>
      </c>
      <c r="E1573" s="18" t="str">
        <f t="shared" si="73"/>
        <v/>
      </c>
      <c r="F1573" s="17" t="str">
        <f t="shared" si="74"/>
        <v/>
      </c>
    </row>
    <row r="1574" spans="2:6" x14ac:dyDescent="0.2">
      <c r="B1574" s="12"/>
      <c r="C1574" s="12"/>
      <c r="D1574" s="17" t="str">
        <f t="shared" si="75"/>
        <v/>
      </c>
      <c r="E1574" s="18" t="str">
        <f t="shared" si="73"/>
        <v/>
      </c>
      <c r="F1574" s="17" t="str">
        <f t="shared" si="74"/>
        <v/>
      </c>
    </row>
    <row r="1575" spans="2:6" x14ac:dyDescent="0.2">
      <c r="B1575" s="12"/>
      <c r="C1575" s="12"/>
      <c r="D1575" s="17" t="str">
        <f t="shared" si="75"/>
        <v/>
      </c>
      <c r="E1575" s="18" t="str">
        <f t="shared" si="73"/>
        <v/>
      </c>
      <c r="F1575" s="17" t="str">
        <f t="shared" si="74"/>
        <v/>
      </c>
    </row>
    <row r="1576" spans="2:6" x14ac:dyDescent="0.2">
      <c r="B1576" s="12"/>
      <c r="C1576" s="12"/>
      <c r="D1576" s="17" t="str">
        <f t="shared" si="75"/>
        <v/>
      </c>
      <c r="E1576" s="18" t="str">
        <f t="shared" si="73"/>
        <v/>
      </c>
      <c r="F1576" s="17" t="str">
        <f t="shared" si="74"/>
        <v/>
      </c>
    </row>
    <row r="1577" spans="2:6" x14ac:dyDescent="0.2">
      <c r="B1577" s="12"/>
      <c r="C1577" s="12"/>
      <c r="D1577" s="17" t="str">
        <f t="shared" si="75"/>
        <v/>
      </c>
      <c r="E1577" s="18" t="str">
        <f t="shared" si="73"/>
        <v/>
      </c>
      <c r="F1577" s="17" t="str">
        <f t="shared" si="74"/>
        <v/>
      </c>
    </row>
    <row r="1578" spans="2:6" x14ac:dyDescent="0.2">
      <c r="B1578" s="12"/>
      <c r="C1578" s="12"/>
      <c r="D1578" s="17" t="str">
        <f t="shared" si="75"/>
        <v/>
      </c>
      <c r="E1578" s="18" t="str">
        <f t="shared" si="73"/>
        <v/>
      </c>
      <c r="F1578" s="17" t="str">
        <f t="shared" si="74"/>
        <v/>
      </c>
    </row>
    <row r="1579" spans="2:6" x14ac:dyDescent="0.2">
      <c r="B1579" s="12"/>
      <c r="C1579" s="12"/>
      <c r="D1579" s="17" t="str">
        <f t="shared" si="75"/>
        <v/>
      </c>
      <c r="E1579" s="18" t="str">
        <f t="shared" si="73"/>
        <v/>
      </c>
      <c r="F1579" s="17" t="str">
        <f t="shared" si="74"/>
        <v/>
      </c>
    </row>
    <row r="1580" spans="2:6" x14ac:dyDescent="0.2">
      <c r="B1580" s="12"/>
      <c r="C1580" s="12"/>
      <c r="D1580" s="17" t="str">
        <f t="shared" si="75"/>
        <v/>
      </c>
      <c r="E1580" s="18" t="str">
        <f t="shared" si="73"/>
        <v/>
      </c>
      <c r="F1580" s="17" t="str">
        <f t="shared" si="74"/>
        <v/>
      </c>
    </row>
    <row r="1581" spans="2:6" x14ac:dyDescent="0.2">
      <c r="B1581" s="12"/>
      <c r="C1581" s="12"/>
      <c r="D1581" s="17" t="str">
        <f t="shared" si="75"/>
        <v/>
      </c>
      <c r="E1581" s="18" t="str">
        <f t="shared" si="73"/>
        <v/>
      </c>
      <c r="F1581" s="17" t="str">
        <f t="shared" si="74"/>
        <v/>
      </c>
    </row>
    <row r="1582" spans="2:6" x14ac:dyDescent="0.2">
      <c r="B1582" s="12"/>
      <c r="C1582" s="12"/>
      <c r="D1582" s="17" t="str">
        <f t="shared" si="75"/>
        <v/>
      </c>
      <c r="E1582" s="18" t="str">
        <f t="shared" si="73"/>
        <v/>
      </c>
      <c r="F1582" s="17" t="str">
        <f t="shared" si="74"/>
        <v/>
      </c>
    </row>
    <row r="1583" spans="2:6" x14ac:dyDescent="0.2">
      <c r="B1583" s="12"/>
      <c r="C1583" s="12"/>
      <c r="D1583" s="17" t="str">
        <f t="shared" si="75"/>
        <v/>
      </c>
      <c r="E1583" s="18" t="str">
        <f t="shared" si="73"/>
        <v/>
      </c>
      <c r="F1583" s="17" t="str">
        <f t="shared" si="74"/>
        <v/>
      </c>
    </row>
    <row r="1584" spans="2:6" x14ac:dyDescent="0.2">
      <c r="B1584" s="12"/>
      <c r="C1584" s="12"/>
      <c r="D1584" s="17" t="str">
        <f t="shared" si="75"/>
        <v/>
      </c>
      <c r="E1584" s="18" t="str">
        <f t="shared" si="73"/>
        <v/>
      </c>
      <c r="F1584" s="17" t="str">
        <f t="shared" si="74"/>
        <v/>
      </c>
    </row>
    <row r="1585" spans="2:6" x14ac:dyDescent="0.2">
      <c r="B1585" s="12"/>
      <c r="C1585" s="12"/>
      <c r="D1585" s="17" t="str">
        <f t="shared" si="75"/>
        <v/>
      </c>
      <c r="E1585" s="18" t="str">
        <f t="shared" si="73"/>
        <v/>
      </c>
      <c r="F1585" s="17" t="str">
        <f t="shared" si="74"/>
        <v/>
      </c>
    </row>
    <row r="1586" spans="2:6" x14ac:dyDescent="0.2">
      <c r="B1586" s="12"/>
      <c r="C1586" s="12"/>
      <c r="D1586" s="17" t="str">
        <f t="shared" si="75"/>
        <v/>
      </c>
      <c r="E1586" s="18" t="str">
        <f t="shared" si="73"/>
        <v/>
      </c>
      <c r="F1586" s="17" t="str">
        <f t="shared" si="74"/>
        <v/>
      </c>
    </row>
    <row r="1587" spans="2:6" x14ac:dyDescent="0.2">
      <c r="B1587" s="12"/>
      <c r="C1587" s="12"/>
      <c r="D1587" s="17" t="str">
        <f t="shared" si="75"/>
        <v/>
      </c>
      <c r="E1587" s="18" t="str">
        <f t="shared" si="73"/>
        <v/>
      </c>
      <c r="F1587" s="17" t="str">
        <f t="shared" si="74"/>
        <v/>
      </c>
    </row>
    <row r="1588" spans="2:6" x14ac:dyDescent="0.2">
      <c r="B1588" s="12"/>
      <c r="C1588" s="12"/>
      <c r="D1588" s="17" t="str">
        <f t="shared" si="75"/>
        <v/>
      </c>
      <c r="E1588" s="18" t="str">
        <f t="shared" si="73"/>
        <v/>
      </c>
      <c r="F1588" s="17" t="str">
        <f t="shared" si="74"/>
        <v/>
      </c>
    </row>
    <row r="1589" spans="2:6" x14ac:dyDescent="0.2">
      <c r="B1589" s="12"/>
      <c r="C1589" s="12"/>
      <c r="D1589" s="17" t="str">
        <f t="shared" si="75"/>
        <v/>
      </c>
      <c r="E1589" s="18" t="str">
        <f t="shared" si="73"/>
        <v/>
      </c>
      <c r="F1589" s="17" t="str">
        <f t="shared" si="74"/>
        <v/>
      </c>
    </row>
    <row r="1590" spans="2:6" x14ac:dyDescent="0.2">
      <c r="B1590" s="12"/>
      <c r="C1590" s="12"/>
      <c r="D1590" s="17" t="str">
        <f t="shared" si="75"/>
        <v/>
      </c>
      <c r="E1590" s="18" t="str">
        <f t="shared" si="73"/>
        <v/>
      </c>
      <c r="F1590" s="17" t="str">
        <f t="shared" si="74"/>
        <v/>
      </c>
    </row>
    <row r="1591" spans="2:6" x14ac:dyDescent="0.2">
      <c r="B1591" s="12"/>
      <c r="C1591" s="12"/>
      <c r="D1591" s="17" t="str">
        <f t="shared" si="75"/>
        <v/>
      </c>
      <c r="E1591" s="18" t="str">
        <f t="shared" si="73"/>
        <v/>
      </c>
      <c r="F1591" s="17" t="str">
        <f t="shared" si="74"/>
        <v/>
      </c>
    </row>
    <row r="1592" spans="2:6" x14ac:dyDescent="0.2">
      <c r="B1592" s="12"/>
      <c r="C1592" s="12"/>
      <c r="D1592" s="17" t="str">
        <f t="shared" si="75"/>
        <v/>
      </c>
      <c r="E1592" s="18" t="str">
        <f t="shared" si="73"/>
        <v/>
      </c>
      <c r="F1592" s="17" t="str">
        <f t="shared" si="74"/>
        <v/>
      </c>
    </row>
    <row r="1593" spans="2:6" x14ac:dyDescent="0.2">
      <c r="B1593" s="12"/>
      <c r="C1593" s="12"/>
      <c r="D1593" s="17" t="str">
        <f t="shared" si="75"/>
        <v/>
      </c>
      <c r="E1593" s="18" t="str">
        <f t="shared" si="73"/>
        <v/>
      </c>
      <c r="F1593" s="17" t="str">
        <f t="shared" si="74"/>
        <v/>
      </c>
    </row>
    <row r="1594" spans="2:6" x14ac:dyDescent="0.2">
      <c r="B1594" s="12"/>
      <c r="C1594" s="12"/>
      <c r="D1594" s="17" t="str">
        <f t="shared" si="75"/>
        <v/>
      </c>
      <c r="E1594" s="18" t="str">
        <f t="shared" si="73"/>
        <v/>
      </c>
      <c r="F1594" s="17" t="str">
        <f t="shared" si="74"/>
        <v/>
      </c>
    </row>
    <row r="1595" spans="2:6" x14ac:dyDescent="0.2">
      <c r="B1595" s="12"/>
      <c r="C1595" s="12"/>
      <c r="D1595" s="17" t="str">
        <f t="shared" si="75"/>
        <v/>
      </c>
      <c r="E1595" s="18" t="str">
        <f t="shared" si="73"/>
        <v/>
      </c>
      <c r="F1595" s="17" t="str">
        <f t="shared" si="74"/>
        <v/>
      </c>
    </row>
    <row r="1596" spans="2:6" x14ac:dyDescent="0.2">
      <c r="B1596" s="12"/>
      <c r="C1596" s="12"/>
      <c r="D1596" s="17" t="str">
        <f t="shared" si="75"/>
        <v/>
      </c>
      <c r="E1596" s="18" t="str">
        <f t="shared" si="73"/>
        <v/>
      </c>
      <c r="F1596" s="17" t="str">
        <f t="shared" si="74"/>
        <v/>
      </c>
    </row>
    <row r="1597" spans="2:6" x14ac:dyDescent="0.2">
      <c r="B1597" s="12"/>
      <c r="C1597" s="12"/>
      <c r="D1597" s="17" t="str">
        <f t="shared" si="75"/>
        <v/>
      </c>
      <c r="E1597" s="18" t="str">
        <f t="shared" si="73"/>
        <v/>
      </c>
      <c r="F1597" s="17" t="str">
        <f t="shared" si="74"/>
        <v/>
      </c>
    </row>
    <row r="1598" spans="2:6" x14ac:dyDescent="0.2">
      <c r="B1598" s="12"/>
      <c r="C1598" s="12"/>
      <c r="D1598" s="17" t="str">
        <f t="shared" si="75"/>
        <v/>
      </c>
      <c r="E1598" s="18" t="str">
        <f t="shared" si="73"/>
        <v/>
      </c>
      <c r="F1598" s="17" t="str">
        <f t="shared" si="74"/>
        <v/>
      </c>
    </row>
    <row r="1599" spans="2:6" x14ac:dyDescent="0.2">
      <c r="B1599" s="12"/>
      <c r="C1599" s="12"/>
      <c r="D1599" s="17" t="str">
        <f t="shared" si="75"/>
        <v/>
      </c>
      <c r="E1599" s="18" t="str">
        <f t="shared" si="73"/>
        <v/>
      </c>
      <c r="F1599" s="17" t="str">
        <f t="shared" si="74"/>
        <v/>
      </c>
    </row>
    <row r="1600" spans="2:6" x14ac:dyDescent="0.2">
      <c r="B1600" s="12"/>
      <c r="C1600" s="12"/>
      <c r="D1600" s="17" t="str">
        <f t="shared" si="75"/>
        <v/>
      </c>
      <c r="E1600" s="18" t="str">
        <f t="shared" si="73"/>
        <v/>
      </c>
      <c r="F1600" s="17" t="str">
        <f t="shared" si="74"/>
        <v/>
      </c>
    </row>
    <row r="1601" spans="2:6" x14ac:dyDescent="0.2">
      <c r="B1601" s="12"/>
      <c r="C1601" s="12"/>
      <c r="D1601" s="17" t="str">
        <f t="shared" si="75"/>
        <v/>
      </c>
      <c r="E1601" s="18" t="str">
        <f t="shared" si="73"/>
        <v/>
      </c>
      <c r="F1601" s="17" t="str">
        <f t="shared" si="74"/>
        <v/>
      </c>
    </row>
    <row r="1602" spans="2:6" x14ac:dyDescent="0.2">
      <c r="B1602" s="12"/>
      <c r="C1602" s="12"/>
      <c r="D1602" s="17" t="str">
        <f t="shared" si="75"/>
        <v/>
      </c>
      <c r="E1602" s="18" t="str">
        <f t="shared" si="73"/>
        <v/>
      </c>
      <c r="F1602" s="17" t="str">
        <f t="shared" si="74"/>
        <v/>
      </c>
    </row>
    <row r="1603" spans="2:6" x14ac:dyDescent="0.2">
      <c r="B1603" s="12"/>
      <c r="C1603" s="12"/>
      <c r="D1603" s="17" t="str">
        <f t="shared" si="75"/>
        <v/>
      </c>
      <c r="E1603" s="18" t="str">
        <f t="shared" si="73"/>
        <v/>
      </c>
      <c r="F1603" s="17" t="str">
        <f t="shared" si="74"/>
        <v/>
      </c>
    </row>
    <row r="1604" spans="2:6" x14ac:dyDescent="0.2">
      <c r="B1604" s="12"/>
      <c r="C1604" s="12"/>
      <c r="D1604" s="17" t="str">
        <f t="shared" si="75"/>
        <v/>
      </c>
      <c r="E1604" s="18" t="str">
        <f t="shared" si="73"/>
        <v/>
      </c>
      <c r="F1604" s="17" t="str">
        <f t="shared" si="74"/>
        <v/>
      </c>
    </row>
    <row r="1605" spans="2:6" x14ac:dyDescent="0.2">
      <c r="B1605" s="12"/>
      <c r="C1605" s="12"/>
      <c r="D1605" s="17" t="str">
        <f t="shared" si="75"/>
        <v/>
      </c>
      <c r="E1605" s="18" t="str">
        <f t="shared" ref="E1605:E1668" si="76">IF(B1605="","",ABS(C1605-D1605))</f>
        <v/>
      </c>
      <c r="F1605" s="17" t="str">
        <f t="shared" ref="F1605:F1668" si="77">IF(B1605="","",E1605^2)</f>
        <v/>
      </c>
    </row>
    <row r="1606" spans="2:6" x14ac:dyDescent="0.2">
      <c r="B1606" s="12"/>
      <c r="C1606" s="12"/>
      <c r="D1606" s="17" t="str">
        <f t="shared" si="75"/>
        <v/>
      </c>
      <c r="E1606" s="18" t="str">
        <f t="shared" si="76"/>
        <v/>
      </c>
      <c r="F1606" s="17" t="str">
        <f t="shared" si="77"/>
        <v/>
      </c>
    </row>
    <row r="1607" spans="2:6" x14ac:dyDescent="0.2">
      <c r="B1607" s="12"/>
      <c r="C1607" s="12"/>
      <c r="D1607" s="17" t="str">
        <f t="shared" si="75"/>
        <v/>
      </c>
      <c r="E1607" s="18" t="str">
        <f t="shared" si="76"/>
        <v/>
      </c>
      <c r="F1607" s="17" t="str">
        <f t="shared" si="77"/>
        <v/>
      </c>
    </row>
    <row r="1608" spans="2:6" x14ac:dyDescent="0.2">
      <c r="B1608" s="12"/>
      <c r="C1608" s="12"/>
      <c r="D1608" s="17" t="str">
        <f t="shared" si="75"/>
        <v/>
      </c>
      <c r="E1608" s="18" t="str">
        <f t="shared" si="76"/>
        <v/>
      </c>
      <c r="F1608" s="17" t="str">
        <f t="shared" si="77"/>
        <v/>
      </c>
    </row>
    <row r="1609" spans="2:6" x14ac:dyDescent="0.2">
      <c r="B1609" s="12"/>
      <c r="C1609" s="12"/>
      <c r="D1609" s="17" t="str">
        <f t="shared" si="75"/>
        <v/>
      </c>
      <c r="E1609" s="18" t="str">
        <f t="shared" si="76"/>
        <v/>
      </c>
      <c r="F1609" s="17" t="str">
        <f t="shared" si="77"/>
        <v/>
      </c>
    </row>
    <row r="1610" spans="2:6" x14ac:dyDescent="0.2">
      <c r="B1610" s="12"/>
      <c r="C1610" s="12"/>
      <c r="D1610" s="17" t="str">
        <f t="shared" si="75"/>
        <v/>
      </c>
      <c r="E1610" s="18" t="str">
        <f t="shared" si="76"/>
        <v/>
      </c>
      <c r="F1610" s="17" t="str">
        <f t="shared" si="77"/>
        <v/>
      </c>
    </row>
    <row r="1611" spans="2:6" x14ac:dyDescent="0.2">
      <c r="B1611" s="12"/>
      <c r="C1611" s="12"/>
      <c r="D1611" s="17" t="str">
        <f t="shared" si="75"/>
        <v/>
      </c>
      <c r="E1611" s="18" t="str">
        <f t="shared" si="76"/>
        <v/>
      </c>
      <c r="F1611" s="17" t="str">
        <f t="shared" si="77"/>
        <v/>
      </c>
    </row>
    <row r="1612" spans="2:6" x14ac:dyDescent="0.2">
      <c r="B1612" s="12"/>
      <c r="C1612" s="12"/>
      <c r="D1612" s="17" t="str">
        <f t="shared" si="75"/>
        <v/>
      </c>
      <c r="E1612" s="18" t="str">
        <f t="shared" si="76"/>
        <v/>
      </c>
      <c r="F1612" s="17" t="str">
        <f t="shared" si="77"/>
        <v/>
      </c>
    </row>
    <row r="1613" spans="2:6" x14ac:dyDescent="0.2">
      <c r="B1613" s="12"/>
      <c r="C1613" s="12"/>
      <c r="D1613" s="17" t="str">
        <f t="shared" si="75"/>
        <v/>
      </c>
      <c r="E1613" s="18" t="str">
        <f t="shared" si="76"/>
        <v/>
      </c>
      <c r="F1613" s="17" t="str">
        <f t="shared" si="77"/>
        <v/>
      </c>
    </row>
    <row r="1614" spans="2:6" x14ac:dyDescent="0.2">
      <c r="B1614" s="12"/>
      <c r="C1614" s="12"/>
      <c r="D1614" s="17" t="str">
        <f t="shared" si="75"/>
        <v/>
      </c>
      <c r="E1614" s="18" t="str">
        <f t="shared" si="76"/>
        <v/>
      </c>
      <c r="F1614" s="17" t="str">
        <f t="shared" si="77"/>
        <v/>
      </c>
    </row>
    <row r="1615" spans="2:6" x14ac:dyDescent="0.2">
      <c r="B1615" s="12"/>
      <c r="C1615" s="12"/>
      <c r="D1615" s="17" t="str">
        <f t="shared" si="75"/>
        <v/>
      </c>
      <c r="E1615" s="18" t="str">
        <f t="shared" si="76"/>
        <v/>
      </c>
      <c r="F1615" s="17" t="str">
        <f t="shared" si="77"/>
        <v/>
      </c>
    </row>
    <row r="1616" spans="2:6" x14ac:dyDescent="0.2">
      <c r="B1616" s="12"/>
      <c r="C1616" s="12"/>
      <c r="D1616" s="17" t="str">
        <f t="shared" si="75"/>
        <v/>
      </c>
      <c r="E1616" s="18" t="str">
        <f t="shared" si="76"/>
        <v/>
      </c>
      <c r="F1616" s="17" t="str">
        <f t="shared" si="77"/>
        <v/>
      </c>
    </row>
    <row r="1617" spans="2:6" x14ac:dyDescent="0.2">
      <c r="B1617" s="12"/>
      <c r="C1617" s="12"/>
      <c r="D1617" s="17" t="str">
        <f t="shared" si="75"/>
        <v/>
      </c>
      <c r="E1617" s="18" t="str">
        <f t="shared" si="76"/>
        <v/>
      </c>
      <c r="F1617" s="17" t="str">
        <f t="shared" si="77"/>
        <v/>
      </c>
    </row>
    <row r="1618" spans="2:6" x14ac:dyDescent="0.2">
      <c r="B1618" s="12"/>
      <c r="C1618" s="12"/>
      <c r="D1618" s="17" t="str">
        <f t="shared" ref="D1618:D1681" si="78">IF(B1618="","",a+b*B1618)</f>
        <v/>
      </c>
      <c r="E1618" s="18" t="str">
        <f t="shared" si="76"/>
        <v/>
      </c>
      <c r="F1618" s="17" t="str">
        <f t="shared" si="77"/>
        <v/>
      </c>
    </row>
    <row r="1619" spans="2:6" x14ac:dyDescent="0.2">
      <c r="B1619" s="12"/>
      <c r="C1619" s="12"/>
      <c r="D1619" s="17" t="str">
        <f t="shared" si="78"/>
        <v/>
      </c>
      <c r="E1619" s="18" t="str">
        <f t="shared" si="76"/>
        <v/>
      </c>
      <c r="F1619" s="17" t="str">
        <f t="shared" si="77"/>
        <v/>
      </c>
    </row>
    <row r="1620" spans="2:6" x14ac:dyDescent="0.2">
      <c r="B1620" s="12"/>
      <c r="C1620" s="12"/>
      <c r="D1620" s="17" t="str">
        <f t="shared" si="78"/>
        <v/>
      </c>
      <c r="E1620" s="18" t="str">
        <f t="shared" si="76"/>
        <v/>
      </c>
      <c r="F1620" s="17" t="str">
        <f t="shared" si="77"/>
        <v/>
      </c>
    </row>
    <row r="1621" spans="2:6" x14ac:dyDescent="0.2">
      <c r="B1621" s="12"/>
      <c r="C1621" s="12"/>
      <c r="D1621" s="17" t="str">
        <f t="shared" si="78"/>
        <v/>
      </c>
      <c r="E1621" s="18" t="str">
        <f t="shared" si="76"/>
        <v/>
      </c>
      <c r="F1621" s="17" t="str">
        <f t="shared" si="77"/>
        <v/>
      </c>
    </row>
    <row r="1622" spans="2:6" x14ac:dyDescent="0.2">
      <c r="B1622" s="12"/>
      <c r="C1622" s="12"/>
      <c r="D1622" s="17" t="str">
        <f t="shared" si="78"/>
        <v/>
      </c>
      <c r="E1622" s="18" t="str">
        <f t="shared" si="76"/>
        <v/>
      </c>
      <c r="F1622" s="17" t="str">
        <f t="shared" si="77"/>
        <v/>
      </c>
    </row>
    <row r="1623" spans="2:6" x14ac:dyDescent="0.2">
      <c r="B1623" s="12"/>
      <c r="C1623" s="12"/>
      <c r="D1623" s="17" t="str">
        <f t="shared" si="78"/>
        <v/>
      </c>
      <c r="E1623" s="18" t="str">
        <f t="shared" si="76"/>
        <v/>
      </c>
      <c r="F1623" s="17" t="str">
        <f t="shared" si="77"/>
        <v/>
      </c>
    </row>
    <row r="1624" spans="2:6" x14ac:dyDescent="0.2">
      <c r="B1624" s="12"/>
      <c r="C1624" s="12"/>
      <c r="D1624" s="17" t="str">
        <f t="shared" si="78"/>
        <v/>
      </c>
      <c r="E1624" s="18" t="str">
        <f t="shared" si="76"/>
        <v/>
      </c>
      <c r="F1624" s="17" t="str">
        <f t="shared" si="77"/>
        <v/>
      </c>
    </row>
    <row r="1625" spans="2:6" x14ac:dyDescent="0.2">
      <c r="B1625" s="12"/>
      <c r="C1625" s="12"/>
      <c r="D1625" s="17" t="str">
        <f t="shared" si="78"/>
        <v/>
      </c>
      <c r="E1625" s="18" t="str">
        <f t="shared" si="76"/>
        <v/>
      </c>
      <c r="F1625" s="17" t="str">
        <f t="shared" si="77"/>
        <v/>
      </c>
    </row>
    <row r="1626" spans="2:6" x14ac:dyDescent="0.2">
      <c r="B1626" s="12"/>
      <c r="C1626" s="12"/>
      <c r="D1626" s="17" t="str">
        <f t="shared" si="78"/>
        <v/>
      </c>
      <c r="E1626" s="18" t="str">
        <f t="shared" si="76"/>
        <v/>
      </c>
      <c r="F1626" s="17" t="str">
        <f t="shared" si="77"/>
        <v/>
      </c>
    </row>
    <row r="1627" spans="2:6" x14ac:dyDescent="0.2">
      <c r="B1627" s="12"/>
      <c r="C1627" s="12"/>
      <c r="D1627" s="17" t="str">
        <f t="shared" si="78"/>
        <v/>
      </c>
      <c r="E1627" s="18" t="str">
        <f t="shared" si="76"/>
        <v/>
      </c>
      <c r="F1627" s="17" t="str">
        <f t="shared" si="77"/>
        <v/>
      </c>
    </row>
    <row r="1628" spans="2:6" x14ac:dyDescent="0.2">
      <c r="B1628" s="12"/>
      <c r="C1628" s="12"/>
      <c r="D1628" s="17" t="str">
        <f t="shared" si="78"/>
        <v/>
      </c>
      <c r="E1628" s="18" t="str">
        <f t="shared" si="76"/>
        <v/>
      </c>
      <c r="F1628" s="17" t="str">
        <f t="shared" si="77"/>
        <v/>
      </c>
    </row>
    <row r="1629" spans="2:6" x14ac:dyDescent="0.2">
      <c r="B1629" s="12"/>
      <c r="C1629" s="12"/>
      <c r="D1629" s="17" t="str">
        <f t="shared" si="78"/>
        <v/>
      </c>
      <c r="E1629" s="18" t="str">
        <f t="shared" si="76"/>
        <v/>
      </c>
      <c r="F1629" s="17" t="str">
        <f t="shared" si="77"/>
        <v/>
      </c>
    </row>
    <row r="1630" spans="2:6" x14ac:dyDescent="0.2">
      <c r="B1630" s="12"/>
      <c r="C1630" s="12"/>
      <c r="D1630" s="17" t="str">
        <f t="shared" si="78"/>
        <v/>
      </c>
      <c r="E1630" s="18" t="str">
        <f t="shared" si="76"/>
        <v/>
      </c>
      <c r="F1630" s="17" t="str">
        <f t="shared" si="77"/>
        <v/>
      </c>
    </row>
    <row r="1631" spans="2:6" x14ac:dyDescent="0.2">
      <c r="B1631" s="12"/>
      <c r="C1631" s="12"/>
      <c r="D1631" s="17" t="str">
        <f t="shared" si="78"/>
        <v/>
      </c>
      <c r="E1631" s="18" t="str">
        <f t="shared" si="76"/>
        <v/>
      </c>
      <c r="F1631" s="17" t="str">
        <f t="shared" si="77"/>
        <v/>
      </c>
    </row>
    <row r="1632" spans="2:6" x14ac:dyDescent="0.2">
      <c r="B1632" s="12"/>
      <c r="C1632" s="12"/>
      <c r="D1632" s="17" t="str">
        <f t="shared" si="78"/>
        <v/>
      </c>
      <c r="E1632" s="18" t="str">
        <f t="shared" si="76"/>
        <v/>
      </c>
      <c r="F1632" s="17" t="str">
        <f t="shared" si="77"/>
        <v/>
      </c>
    </row>
    <row r="1633" spans="2:6" x14ac:dyDescent="0.2">
      <c r="B1633" s="12"/>
      <c r="C1633" s="12"/>
      <c r="D1633" s="17" t="str">
        <f t="shared" si="78"/>
        <v/>
      </c>
      <c r="E1633" s="18" t="str">
        <f t="shared" si="76"/>
        <v/>
      </c>
      <c r="F1633" s="17" t="str">
        <f t="shared" si="77"/>
        <v/>
      </c>
    </row>
    <row r="1634" spans="2:6" x14ac:dyDescent="0.2">
      <c r="B1634" s="12"/>
      <c r="C1634" s="12"/>
      <c r="D1634" s="17" t="str">
        <f t="shared" si="78"/>
        <v/>
      </c>
      <c r="E1634" s="18" t="str">
        <f t="shared" si="76"/>
        <v/>
      </c>
      <c r="F1634" s="17" t="str">
        <f t="shared" si="77"/>
        <v/>
      </c>
    </row>
    <row r="1635" spans="2:6" x14ac:dyDescent="0.2">
      <c r="B1635" s="12"/>
      <c r="C1635" s="12"/>
      <c r="D1635" s="17" t="str">
        <f t="shared" si="78"/>
        <v/>
      </c>
      <c r="E1635" s="18" t="str">
        <f t="shared" si="76"/>
        <v/>
      </c>
      <c r="F1635" s="17" t="str">
        <f t="shared" si="77"/>
        <v/>
      </c>
    </row>
    <row r="1636" spans="2:6" x14ac:dyDescent="0.2">
      <c r="B1636" s="12"/>
      <c r="C1636" s="12"/>
      <c r="D1636" s="17" t="str">
        <f t="shared" si="78"/>
        <v/>
      </c>
      <c r="E1636" s="18" t="str">
        <f t="shared" si="76"/>
        <v/>
      </c>
      <c r="F1636" s="17" t="str">
        <f t="shared" si="77"/>
        <v/>
      </c>
    </row>
    <row r="1637" spans="2:6" x14ac:dyDescent="0.2">
      <c r="B1637" s="12"/>
      <c r="C1637" s="12"/>
      <c r="D1637" s="17" t="str">
        <f t="shared" si="78"/>
        <v/>
      </c>
      <c r="E1637" s="18" t="str">
        <f t="shared" si="76"/>
        <v/>
      </c>
      <c r="F1637" s="17" t="str">
        <f t="shared" si="77"/>
        <v/>
      </c>
    </row>
    <row r="1638" spans="2:6" x14ac:dyDescent="0.2">
      <c r="B1638" s="12"/>
      <c r="C1638" s="12"/>
      <c r="D1638" s="17" t="str">
        <f t="shared" si="78"/>
        <v/>
      </c>
      <c r="E1638" s="18" t="str">
        <f t="shared" si="76"/>
        <v/>
      </c>
      <c r="F1638" s="17" t="str">
        <f t="shared" si="77"/>
        <v/>
      </c>
    </row>
    <row r="1639" spans="2:6" x14ac:dyDescent="0.2">
      <c r="B1639" s="12"/>
      <c r="C1639" s="12"/>
      <c r="D1639" s="17" t="str">
        <f t="shared" si="78"/>
        <v/>
      </c>
      <c r="E1639" s="18" t="str">
        <f t="shared" si="76"/>
        <v/>
      </c>
      <c r="F1639" s="17" t="str">
        <f t="shared" si="77"/>
        <v/>
      </c>
    </row>
    <row r="1640" spans="2:6" x14ac:dyDescent="0.2">
      <c r="B1640" s="12"/>
      <c r="C1640" s="12"/>
      <c r="D1640" s="17" t="str">
        <f t="shared" si="78"/>
        <v/>
      </c>
      <c r="E1640" s="18" t="str">
        <f t="shared" si="76"/>
        <v/>
      </c>
      <c r="F1640" s="17" t="str">
        <f t="shared" si="77"/>
        <v/>
      </c>
    </row>
    <row r="1641" spans="2:6" x14ac:dyDescent="0.2">
      <c r="B1641" s="12"/>
      <c r="C1641" s="12"/>
      <c r="D1641" s="17" t="str">
        <f t="shared" si="78"/>
        <v/>
      </c>
      <c r="E1641" s="18" t="str">
        <f t="shared" si="76"/>
        <v/>
      </c>
      <c r="F1641" s="17" t="str">
        <f t="shared" si="77"/>
        <v/>
      </c>
    </row>
    <row r="1642" spans="2:6" x14ac:dyDescent="0.2">
      <c r="B1642" s="12"/>
      <c r="C1642" s="12"/>
      <c r="D1642" s="17" t="str">
        <f t="shared" si="78"/>
        <v/>
      </c>
      <c r="E1642" s="18" t="str">
        <f t="shared" si="76"/>
        <v/>
      </c>
      <c r="F1642" s="17" t="str">
        <f t="shared" si="77"/>
        <v/>
      </c>
    </row>
    <row r="1643" spans="2:6" x14ac:dyDescent="0.2">
      <c r="B1643" s="12"/>
      <c r="C1643" s="12"/>
      <c r="D1643" s="17" t="str">
        <f t="shared" si="78"/>
        <v/>
      </c>
      <c r="E1643" s="18" t="str">
        <f t="shared" si="76"/>
        <v/>
      </c>
      <c r="F1643" s="17" t="str">
        <f t="shared" si="77"/>
        <v/>
      </c>
    </row>
    <row r="1644" spans="2:6" x14ac:dyDescent="0.2">
      <c r="B1644" s="12"/>
      <c r="C1644" s="12"/>
      <c r="D1644" s="17" t="str">
        <f t="shared" si="78"/>
        <v/>
      </c>
      <c r="E1644" s="18" t="str">
        <f t="shared" si="76"/>
        <v/>
      </c>
      <c r="F1644" s="17" t="str">
        <f t="shared" si="77"/>
        <v/>
      </c>
    </row>
    <row r="1645" spans="2:6" x14ac:dyDescent="0.2">
      <c r="B1645" s="12"/>
      <c r="C1645" s="12"/>
      <c r="D1645" s="17" t="str">
        <f t="shared" si="78"/>
        <v/>
      </c>
      <c r="E1645" s="18" t="str">
        <f t="shared" si="76"/>
        <v/>
      </c>
      <c r="F1645" s="17" t="str">
        <f t="shared" si="77"/>
        <v/>
      </c>
    </row>
    <row r="1646" spans="2:6" x14ac:dyDescent="0.2">
      <c r="B1646" s="12"/>
      <c r="C1646" s="12"/>
      <c r="D1646" s="17" t="str">
        <f t="shared" si="78"/>
        <v/>
      </c>
      <c r="E1646" s="18" t="str">
        <f t="shared" si="76"/>
        <v/>
      </c>
      <c r="F1646" s="17" t="str">
        <f t="shared" si="77"/>
        <v/>
      </c>
    </row>
    <row r="1647" spans="2:6" x14ac:dyDescent="0.2">
      <c r="B1647" s="12"/>
      <c r="C1647" s="12"/>
      <c r="D1647" s="17" t="str">
        <f t="shared" si="78"/>
        <v/>
      </c>
      <c r="E1647" s="18" t="str">
        <f t="shared" si="76"/>
        <v/>
      </c>
      <c r="F1647" s="17" t="str">
        <f t="shared" si="77"/>
        <v/>
      </c>
    </row>
    <row r="1648" spans="2:6" x14ac:dyDescent="0.2">
      <c r="B1648" s="12"/>
      <c r="C1648" s="12"/>
      <c r="D1648" s="17" t="str">
        <f t="shared" si="78"/>
        <v/>
      </c>
      <c r="E1648" s="18" t="str">
        <f t="shared" si="76"/>
        <v/>
      </c>
      <c r="F1648" s="17" t="str">
        <f t="shared" si="77"/>
        <v/>
      </c>
    </row>
    <row r="1649" spans="2:6" x14ac:dyDescent="0.2">
      <c r="B1649" s="12"/>
      <c r="C1649" s="12"/>
      <c r="D1649" s="17" t="str">
        <f t="shared" si="78"/>
        <v/>
      </c>
      <c r="E1649" s="18" t="str">
        <f t="shared" si="76"/>
        <v/>
      </c>
      <c r="F1649" s="17" t="str">
        <f t="shared" si="77"/>
        <v/>
      </c>
    </row>
    <row r="1650" spans="2:6" x14ac:dyDescent="0.2">
      <c r="B1650" s="12"/>
      <c r="C1650" s="12"/>
      <c r="D1650" s="17" t="str">
        <f t="shared" si="78"/>
        <v/>
      </c>
      <c r="E1650" s="18" t="str">
        <f t="shared" si="76"/>
        <v/>
      </c>
      <c r="F1650" s="17" t="str">
        <f t="shared" si="77"/>
        <v/>
      </c>
    </row>
    <row r="1651" spans="2:6" x14ac:dyDescent="0.2">
      <c r="B1651" s="12"/>
      <c r="C1651" s="12"/>
      <c r="D1651" s="17" t="str">
        <f t="shared" si="78"/>
        <v/>
      </c>
      <c r="E1651" s="18" t="str">
        <f t="shared" si="76"/>
        <v/>
      </c>
      <c r="F1651" s="17" t="str">
        <f t="shared" si="77"/>
        <v/>
      </c>
    </row>
    <row r="1652" spans="2:6" x14ac:dyDescent="0.2">
      <c r="B1652" s="12"/>
      <c r="C1652" s="12"/>
      <c r="D1652" s="17" t="str">
        <f t="shared" si="78"/>
        <v/>
      </c>
      <c r="E1652" s="18" t="str">
        <f t="shared" si="76"/>
        <v/>
      </c>
      <c r="F1652" s="17" t="str">
        <f t="shared" si="77"/>
        <v/>
      </c>
    </row>
    <row r="1653" spans="2:6" x14ac:dyDescent="0.2">
      <c r="B1653" s="12"/>
      <c r="C1653" s="12"/>
      <c r="D1653" s="17" t="str">
        <f t="shared" si="78"/>
        <v/>
      </c>
      <c r="E1653" s="18" t="str">
        <f t="shared" si="76"/>
        <v/>
      </c>
      <c r="F1653" s="17" t="str">
        <f t="shared" si="77"/>
        <v/>
      </c>
    </row>
    <row r="1654" spans="2:6" x14ac:dyDescent="0.2">
      <c r="B1654" s="12"/>
      <c r="C1654" s="12"/>
      <c r="D1654" s="17" t="str">
        <f t="shared" si="78"/>
        <v/>
      </c>
      <c r="E1654" s="18" t="str">
        <f t="shared" si="76"/>
        <v/>
      </c>
      <c r="F1654" s="17" t="str">
        <f t="shared" si="77"/>
        <v/>
      </c>
    </row>
    <row r="1655" spans="2:6" x14ac:dyDescent="0.2">
      <c r="B1655" s="12"/>
      <c r="C1655" s="12"/>
      <c r="D1655" s="17" t="str">
        <f t="shared" si="78"/>
        <v/>
      </c>
      <c r="E1655" s="18" t="str">
        <f t="shared" si="76"/>
        <v/>
      </c>
      <c r="F1655" s="17" t="str">
        <f t="shared" si="77"/>
        <v/>
      </c>
    </row>
    <row r="1656" spans="2:6" x14ac:dyDescent="0.2">
      <c r="B1656" s="12"/>
      <c r="C1656" s="12"/>
      <c r="D1656" s="17" t="str">
        <f t="shared" si="78"/>
        <v/>
      </c>
      <c r="E1656" s="18" t="str">
        <f t="shared" si="76"/>
        <v/>
      </c>
      <c r="F1656" s="17" t="str">
        <f t="shared" si="77"/>
        <v/>
      </c>
    </row>
    <row r="1657" spans="2:6" x14ac:dyDescent="0.2">
      <c r="B1657" s="12"/>
      <c r="C1657" s="12"/>
      <c r="D1657" s="17" t="str">
        <f t="shared" si="78"/>
        <v/>
      </c>
      <c r="E1657" s="18" t="str">
        <f t="shared" si="76"/>
        <v/>
      </c>
      <c r="F1657" s="17" t="str">
        <f t="shared" si="77"/>
        <v/>
      </c>
    </row>
    <row r="1658" spans="2:6" x14ac:dyDescent="0.2">
      <c r="B1658" s="12"/>
      <c r="C1658" s="12"/>
      <c r="D1658" s="17" t="str">
        <f t="shared" si="78"/>
        <v/>
      </c>
      <c r="E1658" s="18" t="str">
        <f t="shared" si="76"/>
        <v/>
      </c>
      <c r="F1658" s="17" t="str">
        <f t="shared" si="77"/>
        <v/>
      </c>
    </row>
    <row r="1659" spans="2:6" x14ac:dyDescent="0.2">
      <c r="B1659" s="12"/>
      <c r="C1659" s="12"/>
      <c r="D1659" s="17" t="str">
        <f t="shared" si="78"/>
        <v/>
      </c>
      <c r="E1659" s="18" t="str">
        <f t="shared" si="76"/>
        <v/>
      </c>
      <c r="F1659" s="17" t="str">
        <f t="shared" si="77"/>
        <v/>
      </c>
    </row>
    <row r="1660" spans="2:6" x14ac:dyDescent="0.2">
      <c r="B1660" s="12"/>
      <c r="C1660" s="12"/>
      <c r="D1660" s="17" t="str">
        <f t="shared" si="78"/>
        <v/>
      </c>
      <c r="E1660" s="18" t="str">
        <f t="shared" si="76"/>
        <v/>
      </c>
      <c r="F1660" s="17" t="str">
        <f t="shared" si="77"/>
        <v/>
      </c>
    </row>
    <row r="1661" spans="2:6" x14ac:dyDescent="0.2">
      <c r="B1661" s="12"/>
      <c r="C1661" s="12"/>
      <c r="D1661" s="17" t="str">
        <f t="shared" si="78"/>
        <v/>
      </c>
      <c r="E1661" s="18" t="str">
        <f t="shared" si="76"/>
        <v/>
      </c>
      <c r="F1661" s="17" t="str">
        <f t="shared" si="77"/>
        <v/>
      </c>
    </row>
    <row r="1662" spans="2:6" x14ac:dyDescent="0.2">
      <c r="B1662" s="12"/>
      <c r="C1662" s="12"/>
      <c r="D1662" s="17" t="str">
        <f t="shared" si="78"/>
        <v/>
      </c>
      <c r="E1662" s="18" t="str">
        <f t="shared" si="76"/>
        <v/>
      </c>
      <c r="F1662" s="17" t="str">
        <f t="shared" si="77"/>
        <v/>
      </c>
    </row>
    <row r="1663" spans="2:6" x14ac:dyDescent="0.2">
      <c r="B1663" s="12"/>
      <c r="C1663" s="12"/>
      <c r="D1663" s="17" t="str">
        <f t="shared" si="78"/>
        <v/>
      </c>
      <c r="E1663" s="18" t="str">
        <f t="shared" si="76"/>
        <v/>
      </c>
      <c r="F1663" s="17" t="str">
        <f t="shared" si="77"/>
        <v/>
      </c>
    </row>
    <row r="1664" spans="2:6" x14ac:dyDescent="0.2">
      <c r="B1664" s="12"/>
      <c r="C1664" s="12"/>
      <c r="D1664" s="17" t="str">
        <f t="shared" si="78"/>
        <v/>
      </c>
      <c r="E1664" s="18" t="str">
        <f t="shared" si="76"/>
        <v/>
      </c>
      <c r="F1664" s="17" t="str">
        <f t="shared" si="77"/>
        <v/>
      </c>
    </row>
    <row r="1665" spans="2:6" x14ac:dyDescent="0.2">
      <c r="B1665" s="12"/>
      <c r="C1665" s="12"/>
      <c r="D1665" s="17" t="str">
        <f t="shared" si="78"/>
        <v/>
      </c>
      <c r="E1665" s="18" t="str">
        <f t="shared" si="76"/>
        <v/>
      </c>
      <c r="F1665" s="17" t="str">
        <f t="shared" si="77"/>
        <v/>
      </c>
    </row>
    <row r="1666" spans="2:6" x14ac:dyDescent="0.2">
      <c r="B1666" s="12"/>
      <c r="C1666" s="12"/>
      <c r="D1666" s="17" t="str">
        <f t="shared" si="78"/>
        <v/>
      </c>
      <c r="E1666" s="18" t="str">
        <f t="shared" si="76"/>
        <v/>
      </c>
      <c r="F1666" s="17" t="str">
        <f t="shared" si="77"/>
        <v/>
      </c>
    </row>
    <row r="1667" spans="2:6" x14ac:dyDescent="0.2">
      <c r="B1667" s="12"/>
      <c r="C1667" s="12"/>
      <c r="D1667" s="17" t="str">
        <f t="shared" si="78"/>
        <v/>
      </c>
      <c r="E1667" s="18" t="str">
        <f t="shared" si="76"/>
        <v/>
      </c>
      <c r="F1667" s="17" t="str">
        <f t="shared" si="77"/>
        <v/>
      </c>
    </row>
    <row r="1668" spans="2:6" x14ac:dyDescent="0.2">
      <c r="B1668" s="12"/>
      <c r="C1668" s="12"/>
      <c r="D1668" s="17" t="str">
        <f t="shared" si="78"/>
        <v/>
      </c>
      <c r="E1668" s="18" t="str">
        <f t="shared" si="76"/>
        <v/>
      </c>
      <c r="F1668" s="17" t="str">
        <f t="shared" si="77"/>
        <v/>
      </c>
    </row>
    <row r="1669" spans="2:6" x14ac:dyDescent="0.2">
      <c r="B1669" s="12"/>
      <c r="C1669" s="12"/>
      <c r="D1669" s="17" t="str">
        <f t="shared" si="78"/>
        <v/>
      </c>
      <c r="E1669" s="18" t="str">
        <f t="shared" ref="E1669:E1732" si="79">IF(B1669="","",ABS(C1669-D1669))</f>
        <v/>
      </c>
      <c r="F1669" s="17" t="str">
        <f t="shared" ref="F1669:F1732" si="80">IF(B1669="","",E1669^2)</f>
        <v/>
      </c>
    </row>
    <row r="1670" spans="2:6" x14ac:dyDescent="0.2">
      <c r="B1670" s="12"/>
      <c r="C1670" s="12"/>
      <c r="D1670" s="17" t="str">
        <f t="shared" si="78"/>
        <v/>
      </c>
      <c r="E1670" s="18" t="str">
        <f t="shared" si="79"/>
        <v/>
      </c>
      <c r="F1670" s="17" t="str">
        <f t="shared" si="80"/>
        <v/>
      </c>
    </row>
    <row r="1671" spans="2:6" x14ac:dyDescent="0.2">
      <c r="B1671" s="12"/>
      <c r="C1671" s="12"/>
      <c r="D1671" s="17" t="str">
        <f t="shared" si="78"/>
        <v/>
      </c>
      <c r="E1671" s="18" t="str">
        <f t="shared" si="79"/>
        <v/>
      </c>
      <c r="F1671" s="17" t="str">
        <f t="shared" si="80"/>
        <v/>
      </c>
    </row>
    <row r="1672" spans="2:6" x14ac:dyDescent="0.2">
      <c r="B1672" s="12"/>
      <c r="C1672" s="12"/>
      <c r="D1672" s="17" t="str">
        <f t="shared" si="78"/>
        <v/>
      </c>
      <c r="E1672" s="18" t="str">
        <f t="shared" si="79"/>
        <v/>
      </c>
      <c r="F1672" s="17" t="str">
        <f t="shared" si="80"/>
        <v/>
      </c>
    </row>
    <row r="1673" spans="2:6" x14ac:dyDescent="0.2">
      <c r="B1673" s="12"/>
      <c r="C1673" s="12"/>
      <c r="D1673" s="17" t="str">
        <f t="shared" si="78"/>
        <v/>
      </c>
      <c r="E1673" s="18" t="str">
        <f t="shared" si="79"/>
        <v/>
      </c>
      <c r="F1673" s="17" t="str">
        <f t="shared" si="80"/>
        <v/>
      </c>
    </row>
    <row r="1674" spans="2:6" x14ac:dyDescent="0.2">
      <c r="B1674" s="12"/>
      <c r="C1674" s="12"/>
      <c r="D1674" s="17" t="str">
        <f t="shared" si="78"/>
        <v/>
      </c>
      <c r="E1674" s="18" t="str">
        <f t="shared" si="79"/>
        <v/>
      </c>
      <c r="F1674" s="17" t="str">
        <f t="shared" si="80"/>
        <v/>
      </c>
    </row>
    <row r="1675" spans="2:6" x14ac:dyDescent="0.2">
      <c r="B1675" s="12"/>
      <c r="C1675" s="12"/>
      <c r="D1675" s="17" t="str">
        <f t="shared" si="78"/>
        <v/>
      </c>
      <c r="E1675" s="18" t="str">
        <f t="shared" si="79"/>
        <v/>
      </c>
      <c r="F1675" s="17" t="str">
        <f t="shared" si="80"/>
        <v/>
      </c>
    </row>
    <row r="1676" spans="2:6" x14ac:dyDescent="0.2">
      <c r="B1676" s="12"/>
      <c r="C1676" s="12"/>
      <c r="D1676" s="17" t="str">
        <f t="shared" si="78"/>
        <v/>
      </c>
      <c r="E1676" s="18" t="str">
        <f t="shared" si="79"/>
        <v/>
      </c>
      <c r="F1676" s="17" t="str">
        <f t="shared" si="80"/>
        <v/>
      </c>
    </row>
    <row r="1677" spans="2:6" x14ac:dyDescent="0.2">
      <c r="B1677" s="12"/>
      <c r="C1677" s="12"/>
      <c r="D1677" s="17" t="str">
        <f t="shared" si="78"/>
        <v/>
      </c>
      <c r="E1677" s="18" t="str">
        <f t="shared" si="79"/>
        <v/>
      </c>
      <c r="F1677" s="17" t="str">
        <f t="shared" si="80"/>
        <v/>
      </c>
    </row>
    <row r="1678" spans="2:6" x14ac:dyDescent="0.2">
      <c r="B1678" s="12"/>
      <c r="C1678" s="12"/>
      <c r="D1678" s="17" t="str">
        <f t="shared" si="78"/>
        <v/>
      </c>
      <c r="E1678" s="18" t="str">
        <f t="shared" si="79"/>
        <v/>
      </c>
      <c r="F1678" s="17" t="str">
        <f t="shared" si="80"/>
        <v/>
      </c>
    </row>
    <row r="1679" spans="2:6" x14ac:dyDescent="0.2">
      <c r="B1679" s="12"/>
      <c r="C1679" s="12"/>
      <c r="D1679" s="17" t="str">
        <f t="shared" si="78"/>
        <v/>
      </c>
      <c r="E1679" s="18" t="str">
        <f t="shared" si="79"/>
        <v/>
      </c>
      <c r="F1679" s="17" t="str">
        <f t="shared" si="80"/>
        <v/>
      </c>
    </row>
    <row r="1680" spans="2:6" x14ac:dyDescent="0.2">
      <c r="B1680" s="12"/>
      <c r="C1680" s="12"/>
      <c r="D1680" s="17" t="str">
        <f t="shared" si="78"/>
        <v/>
      </c>
      <c r="E1680" s="18" t="str">
        <f t="shared" si="79"/>
        <v/>
      </c>
      <c r="F1680" s="17" t="str">
        <f t="shared" si="80"/>
        <v/>
      </c>
    </row>
    <row r="1681" spans="2:6" x14ac:dyDescent="0.2">
      <c r="B1681" s="12"/>
      <c r="C1681" s="12"/>
      <c r="D1681" s="17" t="str">
        <f t="shared" si="78"/>
        <v/>
      </c>
      <c r="E1681" s="18" t="str">
        <f t="shared" si="79"/>
        <v/>
      </c>
      <c r="F1681" s="17" t="str">
        <f t="shared" si="80"/>
        <v/>
      </c>
    </row>
    <row r="1682" spans="2:6" x14ac:dyDescent="0.2">
      <c r="B1682" s="12"/>
      <c r="C1682" s="12"/>
      <c r="D1682" s="17" t="str">
        <f t="shared" ref="D1682:D1745" si="81">IF(B1682="","",a+b*B1682)</f>
        <v/>
      </c>
      <c r="E1682" s="18" t="str">
        <f t="shared" si="79"/>
        <v/>
      </c>
      <c r="F1682" s="17" t="str">
        <f t="shared" si="80"/>
        <v/>
      </c>
    </row>
    <row r="1683" spans="2:6" x14ac:dyDescent="0.2">
      <c r="B1683" s="12"/>
      <c r="C1683" s="12"/>
      <c r="D1683" s="17" t="str">
        <f t="shared" si="81"/>
        <v/>
      </c>
      <c r="E1683" s="18" t="str">
        <f t="shared" si="79"/>
        <v/>
      </c>
      <c r="F1683" s="17" t="str">
        <f t="shared" si="80"/>
        <v/>
      </c>
    </row>
    <row r="1684" spans="2:6" x14ac:dyDescent="0.2">
      <c r="B1684" s="12"/>
      <c r="C1684" s="12"/>
      <c r="D1684" s="17" t="str">
        <f t="shared" si="81"/>
        <v/>
      </c>
      <c r="E1684" s="18" t="str">
        <f t="shared" si="79"/>
        <v/>
      </c>
      <c r="F1684" s="17" t="str">
        <f t="shared" si="80"/>
        <v/>
      </c>
    </row>
    <row r="1685" spans="2:6" x14ac:dyDescent="0.2">
      <c r="B1685" s="12"/>
      <c r="C1685" s="12"/>
      <c r="D1685" s="17" t="str">
        <f t="shared" si="81"/>
        <v/>
      </c>
      <c r="E1685" s="18" t="str">
        <f t="shared" si="79"/>
        <v/>
      </c>
      <c r="F1685" s="17" t="str">
        <f t="shared" si="80"/>
        <v/>
      </c>
    </row>
    <row r="1686" spans="2:6" x14ac:dyDescent="0.2">
      <c r="B1686" s="12"/>
      <c r="C1686" s="12"/>
      <c r="D1686" s="17" t="str">
        <f t="shared" si="81"/>
        <v/>
      </c>
      <c r="E1686" s="18" t="str">
        <f t="shared" si="79"/>
        <v/>
      </c>
      <c r="F1686" s="17" t="str">
        <f t="shared" si="80"/>
        <v/>
      </c>
    </row>
    <row r="1687" spans="2:6" x14ac:dyDescent="0.2">
      <c r="B1687" s="12"/>
      <c r="C1687" s="12"/>
      <c r="D1687" s="17" t="str">
        <f t="shared" si="81"/>
        <v/>
      </c>
      <c r="E1687" s="18" t="str">
        <f t="shared" si="79"/>
        <v/>
      </c>
      <c r="F1687" s="17" t="str">
        <f t="shared" si="80"/>
        <v/>
      </c>
    </row>
    <row r="1688" spans="2:6" x14ac:dyDescent="0.2">
      <c r="B1688" s="12"/>
      <c r="C1688" s="12"/>
      <c r="D1688" s="17" t="str">
        <f t="shared" si="81"/>
        <v/>
      </c>
      <c r="E1688" s="18" t="str">
        <f t="shared" si="79"/>
        <v/>
      </c>
      <c r="F1688" s="17" t="str">
        <f t="shared" si="80"/>
        <v/>
      </c>
    </row>
    <row r="1689" spans="2:6" x14ac:dyDescent="0.2">
      <c r="B1689" s="12"/>
      <c r="C1689" s="12"/>
      <c r="D1689" s="17" t="str">
        <f t="shared" si="81"/>
        <v/>
      </c>
      <c r="E1689" s="18" t="str">
        <f t="shared" si="79"/>
        <v/>
      </c>
      <c r="F1689" s="17" t="str">
        <f t="shared" si="80"/>
        <v/>
      </c>
    </row>
    <row r="1690" spans="2:6" x14ac:dyDescent="0.2">
      <c r="B1690" s="12"/>
      <c r="C1690" s="12"/>
      <c r="D1690" s="17" t="str">
        <f t="shared" si="81"/>
        <v/>
      </c>
      <c r="E1690" s="18" t="str">
        <f t="shared" si="79"/>
        <v/>
      </c>
      <c r="F1690" s="17" t="str">
        <f t="shared" si="80"/>
        <v/>
      </c>
    </row>
    <row r="1691" spans="2:6" x14ac:dyDescent="0.2">
      <c r="B1691" s="12"/>
      <c r="C1691" s="12"/>
      <c r="D1691" s="17" t="str">
        <f t="shared" si="81"/>
        <v/>
      </c>
      <c r="E1691" s="18" t="str">
        <f t="shared" si="79"/>
        <v/>
      </c>
      <c r="F1691" s="17" t="str">
        <f t="shared" si="80"/>
        <v/>
      </c>
    </row>
    <row r="1692" spans="2:6" x14ac:dyDescent="0.2">
      <c r="B1692" s="12"/>
      <c r="C1692" s="12"/>
      <c r="D1692" s="17" t="str">
        <f t="shared" si="81"/>
        <v/>
      </c>
      <c r="E1692" s="18" t="str">
        <f t="shared" si="79"/>
        <v/>
      </c>
      <c r="F1692" s="17" t="str">
        <f t="shared" si="80"/>
        <v/>
      </c>
    </row>
    <row r="1693" spans="2:6" x14ac:dyDescent="0.2">
      <c r="B1693" s="12"/>
      <c r="C1693" s="12"/>
      <c r="D1693" s="17" t="str">
        <f t="shared" si="81"/>
        <v/>
      </c>
      <c r="E1693" s="18" t="str">
        <f t="shared" si="79"/>
        <v/>
      </c>
      <c r="F1693" s="17" t="str">
        <f t="shared" si="80"/>
        <v/>
      </c>
    </row>
    <row r="1694" spans="2:6" x14ac:dyDescent="0.2">
      <c r="B1694" s="12"/>
      <c r="C1694" s="12"/>
      <c r="D1694" s="17" t="str">
        <f t="shared" si="81"/>
        <v/>
      </c>
      <c r="E1694" s="18" t="str">
        <f t="shared" si="79"/>
        <v/>
      </c>
      <c r="F1694" s="17" t="str">
        <f t="shared" si="80"/>
        <v/>
      </c>
    </row>
    <row r="1695" spans="2:6" x14ac:dyDescent="0.2">
      <c r="B1695" s="12"/>
      <c r="C1695" s="12"/>
      <c r="D1695" s="17" t="str">
        <f t="shared" si="81"/>
        <v/>
      </c>
      <c r="E1695" s="18" t="str">
        <f t="shared" si="79"/>
        <v/>
      </c>
      <c r="F1695" s="17" t="str">
        <f t="shared" si="80"/>
        <v/>
      </c>
    </row>
    <row r="1696" spans="2:6" x14ac:dyDescent="0.2">
      <c r="B1696" s="12"/>
      <c r="C1696" s="12"/>
      <c r="D1696" s="17" t="str">
        <f t="shared" si="81"/>
        <v/>
      </c>
      <c r="E1696" s="18" t="str">
        <f t="shared" si="79"/>
        <v/>
      </c>
      <c r="F1696" s="17" t="str">
        <f t="shared" si="80"/>
        <v/>
      </c>
    </row>
    <row r="1697" spans="2:6" x14ac:dyDescent="0.2">
      <c r="B1697" s="12"/>
      <c r="C1697" s="12"/>
      <c r="D1697" s="17" t="str">
        <f t="shared" si="81"/>
        <v/>
      </c>
      <c r="E1697" s="18" t="str">
        <f t="shared" si="79"/>
        <v/>
      </c>
      <c r="F1697" s="17" t="str">
        <f t="shared" si="80"/>
        <v/>
      </c>
    </row>
    <row r="1698" spans="2:6" x14ac:dyDescent="0.2">
      <c r="B1698" s="12"/>
      <c r="C1698" s="12"/>
      <c r="D1698" s="17" t="str">
        <f t="shared" si="81"/>
        <v/>
      </c>
      <c r="E1698" s="18" t="str">
        <f t="shared" si="79"/>
        <v/>
      </c>
      <c r="F1698" s="17" t="str">
        <f t="shared" si="80"/>
        <v/>
      </c>
    </row>
    <row r="1699" spans="2:6" x14ac:dyDescent="0.2">
      <c r="B1699" s="12"/>
      <c r="C1699" s="12"/>
      <c r="D1699" s="17" t="str">
        <f t="shared" si="81"/>
        <v/>
      </c>
      <c r="E1699" s="18" t="str">
        <f t="shared" si="79"/>
        <v/>
      </c>
      <c r="F1699" s="17" t="str">
        <f t="shared" si="80"/>
        <v/>
      </c>
    </row>
    <row r="1700" spans="2:6" x14ac:dyDescent="0.2">
      <c r="B1700" s="12"/>
      <c r="C1700" s="12"/>
      <c r="D1700" s="17" t="str">
        <f t="shared" si="81"/>
        <v/>
      </c>
      <c r="E1700" s="18" t="str">
        <f t="shared" si="79"/>
        <v/>
      </c>
      <c r="F1700" s="17" t="str">
        <f t="shared" si="80"/>
        <v/>
      </c>
    </row>
    <row r="1701" spans="2:6" x14ac:dyDescent="0.2">
      <c r="B1701" s="12"/>
      <c r="C1701" s="12"/>
      <c r="D1701" s="17" t="str">
        <f t="shared" si="81"/>
        <v/>
      </c>
      <c r="E1701" s="18" t="str">
        <f t="shared" si="79"/>
        <v/>
      </c>
      <c r="F1701" s="17" t="str">
        <f t="shared" si="80"/>
        <v/>
      </c>
    </row>
    <row r="1702" spans="2:6" x14ac:dyDescent="0.2">
      <c r="B1702" s="12"/>
      <c r="C1702" s="12"/>
      <c r="D1702" s="17" t="str">
        <f t="shared" si="81"/>
        <v/>
      </c>
      <c r="E1702" s="18" t="str">
        <f t="shared" si="79"/>
        <v/>
      </c>
      <c r="F1702" s="17" t="str">
        <f t="shared" si="80"/>
        <v/>
      </c>
    </row>
    <row r="1703" spans="2:6" x14ac:dyDescent="0.2">
      <c r="B1703" s="12"/>
      <c r="C1703" s="12"/>
      <c r="D1703" s="17" t="str">
        <f t="shared" si="81"/>
        <v/>
      </c>
      <c r="E1703" s="18" t="str">
        <f t="shared" si="79"/>
        <v/>
      </c>
      <c r="F1703" s="17" t="str">
        <f t="shared" si="80"/>
        <v/>
      </c>
    </row>
    <row r="1704" spans="2:6" x14ac:dyDescent="0.2">
      <c r="B1704" s="12"/>
      <c r="C1704" s="12"/>
      <c r="D1704" s="17" t="str">
        <f t="shared" si="81"/>
        <v/>
      </c>
      <c r="E1704" s="18" t="str">
        <f t="shared" si="79"/>
        <v/>
      </c>
      <c r="F1704" s="17" t="str">
        <f t="shared" si="80"/>
        <v/>
      </c>
    </row>
    <row r="1705" spans="2:6" x14ac:dyDescent="0.2">
      <c r="B1705" s="12"/>
      <c r="C1705" s="12"/>
      <c r="D1705" s="17" t="str">
        <f t="shared" si="81"/>
        <v/>
      </c>
      <c r="E1705" s="18" t="str">
        <f t="shared" si="79"/>
        <v/>
      </c>
      <c r="F1705" s="17" t="str">
        <f t="shared" si="80"/>
        <v/>
      </c>
    </row>
    <row r="1706" spans="2:6" x14ac:dyDescent="0.2">
      <c r="B1706" s="12"/>
      <c r="C1706" s="12"/>
      <c r="D1706" s="17" t="str">
        <f t="shared" si="81"/>
        <v/>
      </c>
      <c r="E1706" s="18" t="str">
        <f t="shared" si="79"/>
        <v/>
      </c>
      <c r="F1706" s="17" t="str">
        <f t="shared" si="80"/>
        <v/>
      </c>
    </row>
    <row r="1707" spans="2:6" x14ac:dyDescent="0.2">
      <c r="B1707" s="12"/>
      <c r="C1707" s="12"/>
      <c r="D1707" s="17" t="str">
        <f t="shared" si="81"/>
        <v/>
      </c>
      <c r="E1707" s="18" t="str">
        <f t="shared" si="79"/>
        <v/>
      </c>
      <c r="F1707" s="17" t="str">
        <f t="shared" si="80"/>
        <v/>
      </c>
    </row>
    <row r="1708" spans="2:6" x14ac:dyDescent="0.2">
      <c r="B1708" s="12"/>
      <c r="C1708" s="12"/>
      <c r="D1708" s="17" t="str">
        <f t="shared" si="81"/>
        <v/>
      </c>
      <c r="E1708" s="18" t="str">
        <f t="shared" si="79"/>
        <v/>
      </c>
      <c r="F1708" s="17" t="str">
        <f t="shared" si="80"/>
        <v/>
      </c>
    </row>
    <row r="1709" spans="2:6" x14ac:dyDescent="0.2">
      <c r="B1709" s="12"/>
      <c r="C1709" s="12"/>
      <c r="D1709" s="17" t="str">
        <f t="shared" si="81"/>
        <v/>
      </c>
      <c r="E1709" s="18" t="str">
        <f t="shared" si="79"/>
        <v/>
      </c>
      <c r="F1709" s="17" t="str">
        <f t="shared" si="80"/>
        <v/>
      </c>
    </row>
    <row r="1710" spans="2:6" x14ac:dyDescent="0.2">
      <c r="B1710" s="12"/>
      <c r="C1710" s="12"/>
      <c r="D1710" s="17" t="str">
        <f t="shared" si="81"/>
        <v/>
      </c>
      <c r="E1710" s="18" t="str">
        <f t="shared" si="79"/>
        <v/>
      </c>
      <c r="F1710" s="17" t="str">
        <f t="shared" si="80"/>
        <v/>
      </c>
    </row>
    <row r="1711" spans="2:6" x14ac:dyDescent="0.2">
      <c r="B1711" s="12"/>
      <c r="C1711" s="12"/>
      <c r="D1711" s="17" t="str">
        <f t="shared" si="81"/>
        <v/>
      </c>
      <c r="E1711" s="18" t="str">
        <f t="shared" si="79"/>
        <v/>
      </c>
      <c r="F1711" s="17" t="str">
        <f t="shared" si="80"/>
        <v/>
      </c>
    </row>
    <row r="1712" spans="2:6" x14ac:dyDescent="0.2">
      <c r="B1712" s="12"/>
      <c r="C1712" s="12"/>
      <c r="D1712" s="17" t="str">
        <f t="shared" si="81"/>
        <v/>
      </c>
      <c r="E1712" s="18" t="str">
        <f t="shared" si="79"/>
        <v/>
      </c>
      <c r="F1712" s="17" t="str">
        <f t="shared" si="80"/>
        <v/>
      </c>
    </row>
    <row r="1713" spans="2:6" x14ac:dyDescent="0.2">
      <c r="B1713" s="12"/>
      <c r="C1713" s="12"/>
      <c r="D1713" s="17" t="str">
        <f t="shared" si="81"/>
        <v/>
      </c>
      <c r="E1713" s="18" t="str">
        <f t="shared" si="79"/>
        <v/>
      </c>
      <c r="F1713" s="17" t="str">
        <f t="shared" si="80"/>
        <v/>
      </c>
    </row>
    <row r="1714" spans="2:6" x14ac:dyDescent="0.2">
      <c r="B1714" s="12"/>
      <c r="C1714" s="12"/>
      <c r="D1714" s="17" t="str">
        <f t="shared" si="81"/>
        <v/>
      </c>
      <c r="E1714" s="18" t="str">
        <f t="shared" si="79"/>
        <v/>
      </c>
      <c r="F1714" s="17" t="str">
        <f t="shared" si="80"/>
        <v/>
      </c>
    </row>
    <row r="1715" spans="2:6" x14ac:dyDescent="0.2">
      <c r="B1715" s="12"/>
      <c r="C1715" s="12"/>
      <c r="D1715" s="17" t="str">
        <f t="shared" si="81"/>
        <v/>
      </c>
      <c r="E1715" s="18" t="str">
        <f t="shared" si="79"/>
        <v/>
      </c>
      <c r="F1715" s="17" t="str">
        <f t="shared" si="80"/>
        <v/>
      </c>
    </row>
    <row r="1716" spans="2:6" x14ac:dyDescent="0.2">
      <c r="B1716" s="12"/>
      <c r="C1716" s="12"/>
      <c r="D1716" s="17" t="str">
        <f t="shared" si="81"/>
        <v/>
      </c>
      <c r="E1716" s="18" t="str">
        <f t="shared" si="79"/>
        <v/>
      </c>
      <c r="F1716" s="17" t="str">
        <f t="shared" si="80"/>
        <v/>
      </c>
    </row>
    <row r="1717" spans="2:6" x14ac:dyDescent="0.2">
      <c r="B1717" s="12"/>
      <c r="C1717" s="12"/>
      <c r="D1717" s="17" t="str">
        <f t="shared" si="81"/>
        <v/>
      </c>
      <c r="E1717" s="18" t="str">
        <f t="shared" si="79"/>
        <v/>
      </c>
      <c r="F1717" s="17" t="str">
        <f t="shared" si="80"/>
        <v/>
      </c>
    </row>
    <row r="1718" spans="2:6" x14ac:dyDescent="0.2">
      <c r="B1718" s="12"/>
      <c r="C1718" s="12"/>
      <c r="D1718" s="17" t="str">
        <f t="shared" si="81"/>
        <v/>
      </c>
      <c r="E1718" s="18" t="str">
        <f t="shared" si="79"/>
        <v/>
      </c>
      <c r="F1718" s="17" t="str">
        <f t="shared" si="80"/>
        <v/>
      </c>
    </row>
    <row r="1719" spans="2:6" x14ac:dyDescent="0.2">
      <c r="B1719" s="12"/>
      <c r="C1719" s="12"/>
      <c r="D1719" s="17" t="str">
        <f t="shared" si="81"/>
        <v/>
      </c>
      <c r="E1719" s="18" t="str">
        <f t="shared" si="79"/>
        <v/>
      </c>
      <c r="F1719" s="17" t="str">
        <f t="shared" si="80"/>
        <v/>
      </c>
    </row>
    <row r="1720" spans="2:6" x14ac:dyDescent="0.2">
      <c r="B1720" s="12"/>
      <c r="C1720" s="12"/>
      <c r="D1720" s="17" t="str">
        <f t="shared" si="81"/>
        <v/>
      </c>
      <c r="E1720" s="18" t="str">
        <f t="shared" si="79"/>
        <v/>
      </c>
      <c r="F1720" s="17" t="str">
        <f t="shared" si="80"/>
        <v/>
      </c>
    </row>
    <row r="1721" spans="2:6" x14ac:dyDescent="0.2">
      <c r="B1721" s="12"/>
      <c r="C1721" s="12"/>
      <c r="D1721" s="17" t="str">
        <f t="shared" si="81"/>
        <v/>
      </c>
      <c r="E1721" s="18" t="str">
        <f t="shared" si="79"/>
        <v/>
      </c>
      <c r="F1721" s="17" t="str">
        <f t="shared" si="80"/>
        <v/>
      </c>
    </row>
    <row r="1722" spans="2:6" x14ac:dyDescent="0.2">
      <c r="B1722" s="12"/>
      <c r="C1722" s="12"/>
      <c r="D1722" s="17" t="str">
        <f t="shared" si="81"/>
        <v/>
      </c>
      <c r="E1722" s="18" t="str">
        <f t="shared" si="79"/>
        <v/>
      </c>
      <c r="F1722" s="17" t="str">
        <f t="shared" si="80"/>
        <v/>
      </c>
    </row>
    <row r="1723" spans="2:6" x14ac:dyDescent="0.2">
      <c r="B1723" s="12"/>
      <c r="C1723" s="12"/>
      <c r="D1723" s="17" t="str">
        <f t="shared" si="81"/>
        <v/>
      </c>
      <c r="E1723" s="18" t="str">
        <f t="shared" si="79"/>
        <v/>
      </c>
      <c r="F1723" s="17" t="str">
        <f t="shared" si="80"/>
        <v/>
      </c>
    </row>
    <row r="1724" spans="2:6" x14ac:dyDescent="0.2">
      <c r="B1724" s="12"/>
      <c r="C1724" s="12"/>
      <c r="D1724" s="17" t="str">
        <f t="shared" si="81"/>
        <v/>
      </c>
      <c r="E1724" s="18" t="str">
        <f t="shared" si="79"/>
        <v/>
      </c>
      <c r="F1724" s="17" t="str">
        <f t="shared" si="80"/>
        <v/>
      </c>
    </row>
    <row r="1725" spans="2:6" x14ac:dyDescent="0.2">
      <c r="B1725" s="12"/>
      <c r="C1725" s="12"/>
      <c r="D1725" s="17" t="str">
        <f t="shared" si="81"/>
        <v/>
      </c>
      <c r="E1725" s="18" t="str">
        <f t="shared" si="79"/>
        <v/>
      </c>
      <c r="F1725" s="17" t="str">
        <f t="shared" si="80"/>
        <v/>
      </c>
    </row>
    <row r="1726" spans="2:6" x14ac:dyDescent="0.2">
      <c r="B1726" s="12"/>
      <c r="C1726" s="12"/>
      <c r="D1726" s="17" t="str">
        <f t="shared" si="81"/>
        <v/>
      </c>
      <c r="E1726" s="18" t="str">
        <f t="shared" si="79"/>
        <v/>
      </c>
      <c r="F1726" s="17" t="str">
        <f t="shared" si="80"/>
        <v/>
      </c>
    </row>
    <row r="1727" spans="2:6" x14ac:dyDescent="0.2">
      <c r="B1727" s="12"/>
      <c r="C1727" s="12"/>
      <c r="D1727" s="17" t="str">
        <f t="shared" si="81"/>
        <v/>
      </c>
      <c r="E1727" s="18" t="str">
        <f t="shared" si="79"/>
        <v/>
      </c>
      <c r="F1727" s="17" t="str">
        <f t="shared" si="80"/>
        <v/>
      </c>
    </row>
    <row r="1728" spans="2:6" x14ac:dyDescent="0.2">
      <c r="B1728" s="12"/>
      <c r="C1728" s="12"/>
      <c r="D1728" s="17" t="str">
        <f t="shared" si="81"/>
        <v/>
      </c>
      <c r="E1728" s="18" t="str">
        <f t="shared" si="79"/>
        <v/>
      </c>
      <c r="F1728" s="17" t="str">
        <f t="shared" si="80"/>
        <v/>
      </c>
    </row>
    <row r="1729" spans="2:6" x14ac:dyDescent="0.2">
      <c r="B1729" s="12"/>
      <c r="C1729" s="12"/>
      <c r="D1729" s="17" t="str">
        <f t="shared" si="81"/>
        <v/>
      </c>
      <c r="E1729" s="18" t="str">
        <f t="shared" si="79"/>
        <v/>
      </c>
      <c r="F1729" s="17" t="str">
        <f t="shared" si="80"/>
        <v/>
      </c>
    </row>
    <row r="1730" spans="2:6" x14ac:dyDescent="0.2">
      <c r="B1730" s="12"/>
      <c r="C1730" s="12"/>
      <c r="D1730" s="17" t="str">
        <f t="shared" si="81"/>
        <v/>
      </c>
      <c r="E1730" s="18" t="str">
        <f t="shared" si="79"/>
        <v/>
      </c>
      <c r="F1730" s="17" t="str">
        <f t="shared" si="80"/>
        <v/>
      </c>
    </row>
    <row r="1731" spans="2:6" x14ac:dyDescent="0.2">
      <c r="B1731" s="12"/>
      <c r="C1731" s="12"/>
      <c r="D1731" s="17" t="str">
        <f t="shared" si="81"/>
        <v/>
      </c>
      <c r="E1731" s="18" t="str">
        <f t="shared" si="79"/>
        <v/>
      </c>
      <c r="F1731" s="17" t="str">
        <f t="shared" si="80"/>
        <v/>
      </c>
    </row>
    <row r="1732" spans="2:6" x14ac:dyDescent="0.2">
      <c r="B1732" s="12"/>
      <c r="C1732" s="12"/>
      <c r="D1732" s="17" t="str">
        <f t="shared" si="81"/>
        <v/>
      </c>
      <c r="E1732" s="18" t="str">
        <f t="shared" si="79"/>
        <v/>
      </c>
      <c r="F1732" s="17" t="str">
        <f t="shared" si="80"/>
        <v/>
      </c>
    </row>
    <row r="1733" spans="2:6" x14ac:dyDescent="0.2">
      <c r="B1733" s="12"/>
      <c r="C1733" s="12"/>
      <c r="D1733" s="17" t="str">
        <f t="shared" si="81"/>
        <v/>
      </c>
      <c r="E1733" s="18" t="str">
        <f t="shared" ref="E1733:E1796" si="82">IF(B1733="","",ABS(C1733-D1733))</f>
        <v/>
      </c>
      <c r="F1733" s="17" t="str">
        <f t="shared" ref="F1733:F1796" si="83">IF(B1733="","",E1733^2)</f>
        <v/>
      </c>
    </row>
    <row r="1734" spans="2:6" x14ac:dyDescent="0.2">
      <c r="B1734" s="12"/>
      <c r="C1734" s="12"/>
      <c r="D1734" s="17" t="str">
        <f t="shared" si="81"/>
        <v/>
      </c>
      <c r="E1734" s="18" t="str">
        <f t="shared" si="82"/>
        <v/>
      </c>
      <c r="F1734" s="17" t="str">
        <f t="shared" si="83"/>
        <v/>
      </c>
    </row>
    <row r="1735" spans="2:6" x14ac:dyDescent="0.2">
      <c r="B1735" s="12"/>
      <c r="C1735" s="12"/>
      <c r="D1735" s="17" t="str">
        <f t="shared" si="81"/>
        <v/>
      </c>
      <c r="E1735" s="18" t="str">
        <f t="shared" si="82"/>
        <v/>
      </c>
      <c r="F1735" s="17" t="str">
        <f t="shared" si="83"/>
        <v/>
      </c>
    </row>
    <row r="1736" spans="2:6" x14ac:dyDescent="0.2">
      <c r="B1736" s="12"/>
      <c r="C1736" s="12"/>
      <c r="D1736" s="17" t="str">
        <f t="shared" si="81"/>
        <v/>
      </c>
      <c r="E1736" s="18" t="str">
        <f t="shared" si="82"/>
        <v/>
      </c>
      <c r="F1736" s="17" t="str">
        <f t="shared" si="83"/>
        <v/>
      </c>
    </row>
    <row r="1737" spans="2:6" x14ac:dyDescent="0.2">
      <c r="B1737" s="12"/>
      <c r="C1737" s="12"/>
      <c r="D1737" s="17" t="str">
        <f t="shared" si="81"/>
        <v/>
      </c>
      <c r="E1737" s="18" t="str">
        <f t="shared" si="82"/>
        <v/>
      </c>
      <c r="F1737" s="17" t="str">
        <f t="shared" si="83"/>
        <v/>
      </c>
    </row>
    <row r="1738" spans="2:6" x14ac:dyDescent="0.2">
      <c r="B1738" s="12"/>
      <c r="C1738" s="12"/>
      <c r="D1738" s="17" t="str">
        <f t="shared" si="81"/>
        <v/>
      </c>
      <c r="E1738" s="18" t="str">
        <f t="shared" si="82"/>
        <v/>
      </c>
      <c r="F1738" s="17" t="str">
        <f t="shared" si="83"/>
        <v/>
      </c>
    </row>
    <row r="1739" spans="2:6" x14ac:dyDescent="0.2">
      <c r="B1739" s="12"/>
      <c r="C1739" s="12"/>
      <c r="D1739" s="17" t="str">
        <f t="shared" si="81"/>
        <v/>
      </c>
      <c r="E1739" s="18" t="str">
        <f t="shared" si="82"/>
        <v/>
      </c>
      <c r="F1739" s="17" t="str">
        <f t="shared" si="83"/>
        <v/>
      </c>
    </row>
    <row r="1740" spans="2:6" x14ac:dyDescent="0.2">
      <c r="B1740" s="12"/>
      <c r="C1740" s="12"/>
      <c r="D1740" s="17" t="str">
        <f t="shared" si="81"/>
        <v/>
      </c>
      <c r="E1740" s="18" t="str">
        <f t="shared" si="82"/>
        <v/>
      </c>
      <c r="F1740" s="17" t="str">
        <f t="shared" si="83"/>
        <v/>
      </c>
    </row>
    <row r="1741" spans="2:6" x14ac:dyDescent="0.2">
      <c r="B1741" s="12"/>
      <c r="C1741" s="12"/>
      <c r="D1741" s="17" t="str">
        <f t="shared" si="81"/>
        <v/>
      </c>
      <c r="E1741" s="18" t="str">
        <f t="shared" si="82"/>
        <v/>
      </c>
      <c r="F1741" s="17" t="str">
        <f t="shared" si="83"/>
        <v/>
      </c>
    </row>
    <row r="1742" spans="2:6" x14ac:dyDescent="0.2">
      <c r="B1742" s="12"/>
      <c r="C1742" s="12"/>
      <c r="D1742" s="17" t="str">
        <f t="shared" si="81"/>
        <v/>
      </c>
      <c r="E1742" s="18" t="str">
        <f t="shared" si="82"/>
        <v/>
      </c>
      <c r="F1742" s="17" t="str">
        <f t="shared" si="83"/>
        <v/>
      </c>
    </row>
    <row r="1743" spans="2:6" x14ac:dyDescent="0.2">
      <c r="B1743" s="12"/>
      <c r="C1743" s="12"/>
      <c r="D1743" s="17" t="str">
        <f t="shared" si="81"/>
        <v/>
      </c>
      <c r="E1743" s="18" t="str">
        <f t="shared" si="82"/>
        <v/>
      </c>
      <c r="F1743" s="17" t="str">
        <f t="shared" si="83"/>
        <v/>
      </c>
    </row>
    <row r="1744" spans="2:6" x14ac:dyDescent="0.2">
      <c r="B1744" s="12"/>
      <c r="C1744" s="12"/>
      <c r="D1744" s="17" t="str">
        <f t="shared" si="81"/>
        <v/>
      </c>
      <c r="E1744" s="18" t="str">
        <f t="shared" si="82"/>
        <v/>
      </c>
      <c r="F1744" s="17" t="str">
        <f t="shared" si="83"/>
        <v/>
      </c>
    </row>
    <row r="1745" spans="2:6" x14ac:dyDescent="0.2">
      <c r="B1745" s="12"/>
      <c r="C1745" s="12"/>
      <c r="D1745" s="17" t="str">
        <f t="shared" si="81"/>
        <v/>
      </c>
      <c r="E1745" s="18" t="str">
        <f t="shared" si="82"/>
        <v/>
      </c>
      <c r="F1745" s="17" t="str">
        <f t="shared" si="83"/>
        <v/>
      </c>
    </row>
    <row r="1746" spans="2:6" x14ac:dyDescent="0.2">
      <c r="B1746" s="12"/>
      <c r="C1746" s="12"/>
      <c r="D1746" s="17" t="str">
        <f t="shared" ref="D1746:D1809" si="84">IF(B1746="","",a+b*B1746)</f>
        <v/>
      </c>
      <c r="E1746" s="18" t="str">
        <f t="shared" si="82"/>
        <v/>
      </c>
      <c r="F1746" s="17" t="str">
        <f t="shared" si="83"/>
        <v/>
      </c>
    </row>
    <row r="1747" spans="2:6" x14ac:dyDescent="0.2">
      <c r="B1747" s="12"/>
      <c r="C1747" s="12"/>
      <c r="D1747" s="17" t="str">
        <f t="shared" si="84"/>
        <v/>
      </c>
      <c r="E1747" s="18" t="str">
        <f t="shared" si="82"/>
        <v/>
      </c>
      <c r="F1747" s="17" t="str">
        <f t="shared" si="83"/>
        <v/>
      </c>
    </row>
    <row r="1748" spans="2:6" x14ac:dyDescent="0.2">
      <c r="B1748" s="12"/>
      <c r="C1748" s="12"/>
      <c r="D1748" s="17" t="str">
        <f t="shared" si="84"/>
        <v/>
      </c>
      <c r="E1748" s="18" t="str">
        <f t="shared" si="82"/>
        <v/>
      </c>
      <c r="F1748" s="17" t="str">
        <f t="shared" si="83"/>
        <v/>
      </c>
    </row>
    <row r="1749" spans="2:6" x14ac:dyDescent="0.2">
      <c r="B1749" s="12"/>
      <c r="C1749" s="12"/>
      <c r="D1749" s="17" t="str">
        <f t="shared" si="84"/>
        <v/>
      </c>
      <c r="E1749" s="18" t="str">
        <f t="shared" si="82"/>
        <v/>
      </c>
      <c r="F1749" s="17" t="str">
        <f t="shared" si="83"/>
        <v/>
      </c>
    </row>
    <row r="1750" spans="2:6" x14ac:dyDescent="0.2">
      <c r="B1750" s="12"/>
      <c r="C1750" s="12"/>
      <c r="D1750" s="17" t="str">
        <f t="shared" si="84"/>
        <v/>
      </c>
      <c r="E1750" s="18" t="str">
        <f t="shared" si="82"/>
        <v/>
      </c>
      <c r="F1750" s="17" t="str">
        <f t="shared" si="83"/>
        <v/>
      </c>
    </row>
    <row r="1751" spans="2:6" x14ac:dyDescent="0.2">
      <c r="B1751" s="12"/>
      <c r="C1751" s="12"/>
      <c r="D1751" s="17" t="str">
        <f t="shared" si="84"/>
        <v/>
      </c>
      <c r="E1751" s="18" t="str">
        <f t="shared" si="82"/>
        <v/>
      </c>
      <c r="F1751" s="17" t="str">
        <f t="shared" si="83"/>
        <v/>
      </c>
    </row>
    <row r="1752" spans="2:6" x14ac:dyDescent="0.2">
      <c r="B1752" s="12"/>
      <c r="C1752" s="12"/>
      <c r="D1752" s="17" t="str">
        <f t="shared" si="84"/>
        <v/>
      </c>
      <c r="E1752" s="18" t="str">
        <f t="shared" si="82"/>
        <v/>
      </c>
      <c r="F1752" s="17" t="str">
        <f t="shared" si="83"/>
        <v/>
      </c>
    </row>
    <row r="1753" spans="2:6" x14ac:dyDescent="0.2">
      <c r="B1753" s="12"/>
      <c r="C1753" s="12"/>
      <c r="D1753" s="17" t="str">
        <f t="shared" si="84"/>
        <v/>
      </c>
      <c r="E1753" s="18" t="str">
        <f t="shared" si="82"/>
        <v/>
      </c>
      <c r="F1753" s="17" t="str">
        <f t="shared" si="83"/>
        <v/>
      </c>
    </row>
    <row r="1754" spans="2:6" x14ac:dyDescent="0.2">
      <c r="B1754" s="12"/>
      <c r="C1754" s="12"/>
      <c r="D1754" s="17" t="str">
        <f t="shared" si="84"/>
        <v/>
      </c>
      <c r="E1754" s="18" t="str">
        <f t="shared" si="82"/>
        <v/>
      </c>
      <c r="F1754" s="17" t="str">
        <f t="shared" si="83"/>
        <v/>
      </c>
    </row>
    <row r="1755" spans="2:6" x14ac:dyDescent="0.2">
      <c r="B1755" s="12"/>
      <c r="C1755" s="12"/>
      <c r="D1755" s="17" t="str">
        <f t="shared" si="84"/>
        <v/>
      </c>
      <c r="E1755" s="18" t="str">
        <f t="shared" si="82"/>
        <v/>
      </c>
      <c r="F1755" s="17" t="str">
        <f t="shared" si="83"/>
        <v/>
      </c>
    </row>
    <row r="1756" spans="2:6" x14ac:dyDescent="0.2">
      <c r="B1756" s="12"/>
      <c r="C1756" s="12"/>
      <c r="D1756" s="17" t="str">
        <f t="shared" si="84"/>
        <v/>
      </c>
      <c r="E1756" s="18" t="str">
        <f t="shared" si="82"/>
        <v/>
      </c>
      <c r="F1756" s="17" t="str">
        <f t="shared" si="83"/>
        <v/>
      </c>
    </row>
    <row r="1757" spans="2:6" x14ac:dyDescent="0.2">
      <c r="B1757" s="12"/>
      <c r="C1757" s="12"/>
      <c r="D1757" s="17" t="str">
        <f t="shared" si="84"/>
        <v/>
      </c>
      <c r="E1757" s="18" t="str">
        <f t="shared" si="82"/>
        <v/>
      </c>
      <c r="F1757" s="17" t="str">
        <f t="shared" si="83"/>
        <v/>
      </c>
    </row>
    <row r="1758" spans="2:6" x14ac:dyDescent="0.2">
      <c r="B1758" s="12"/>
      <c r="C1758" s="12"/>
      <c r="D1758" s="17" t="str">
        <f t="shared" si="84"/>
        <v/>
      </c>
      <c r="E1758" s="18" t="str">
        <f t="shared" si="82"/>
        <v/>
      </c>
      <c r="F1758" s="17" t="str">
        <f t="shared" si="83"/>
        <v/>
      </c>
    </row>
    <row r="1759" spans="2:6" x14ac:dyDescent="0.2">
      <c r="B1759" s="12"/>
      <c r="C1759" s="12"/>
      <c r="D1759" s="17" t="str">
        <f t="shared" si="84"/>
        <v/>
      </c>
      <c r="E1759" s="18" t="str">
        <f t="shared" si="82"/>
        <v/>
      </c>
      <c r="F1759" s="17" t="str">
        <f t="shared" si="83"/>
        <v/>
      </c>
    </row>
    <row r="1760" spans="2:6" x14ac:dyDescent="0.2">
      <c r="B1760" s="12"/>
      <c r="C1760" s="12"/>
      <c r="D1760" s="17" t="str">
        <f t="shared" si="84"/>
        <v/>
      </c>
      <c r="E1760" s="18" t="str">
        <f t="shared" si="82"/>
        <v/>
      </c>
      <c r="F1760" s="17" t="str">
        <f t="shared" si="83"/>
        <v/>
      </c>
    </row>
    <row r="1761" spans="2:6" x14ac:dyDescent="0.2">
      <c r="B1761" s="12"/>
      <c r="C1761" s="12"/>
      <c r="D1761" s="17" t="str">
        <f t="shared" si="84"/>
        <v/>
      </c>
      <c r="E1761" s="18" t="str">
        <f t="shared" si="82"/>
        <v/>
      </c>
      <c r="F1761" s="17" t="str">
        <f t="shared" si="83"/>
        <v/>
      </c>
    </row>
    <row r="1762" spans="2:6" x14ac:dyDescent="0.2">
      <c r="B1762" s="12"/>
      <c r="C1762" s="12"/>
      <c r="D1762" s="17" t="str">
        <f t="shared" si="84"/>
        <v/>
      </c>
      <c r="E1762" s="18" t="str">
        <f t="shared" si="82"/>
        <v/>
      </c>
      <c r="F1762" s="17" t="str">
        <f t="shared" si="83"/>
        <v/>
      </c>
    </row>
    <row r="1763" spans="2:6" x14ac:dyDescent="0.2">
      <c r="B1763" s="12"/>
      <c r="C1763" s="12"/>
      <c r="D1763" s="17" t="str">
        <f t="shared" si="84"/>
        <v/>
      </c>
      <c r="E1763" s="18" t="str">
        <f t="shared" si="82"/>
        <v/>
      </c>
      <c r="F1763" s="17" t="str">
        <f t="shared" si="83"/>
        <v/>
      </c>
    </row>
    <row r="1764" spans="2:6" x14ac:dyDescent="0.2">
      <c r="B1764" s="12"/>
      <c r="C1764" s="12"/>
      <c r="D1764" s="17" t="str">
        <f t="shared" si="84"/>
        <v/>
      </c>
      <c r="E1764" s="18" t="str">
        <f t="shared" si="82"/>
        <v/>
      </c>
      <c r="F1764" s="17" t="str">
        <f t="shared" si="83"/>
        <v/>
      </c>
    </row>
    <row r="1765" spans="2:6" x14ac:dyDescent="0.2">
      <c r="B1765" s="12"/>
      <c r="C1765" s="12"/>
      <c r="D1765" s="17" t="str">
        <f t="shared" si="84"/>
        <v/>
      </c>
      <c r="E1765" s="18" t="str">
        <f t="shared" si="82"/>
        <v/>
      </c>
      <c r="F1765" s="17" t="str">
        <f t="shared" si="83"/>
        <v/>
      </c>
    </row>
    <row r="1766" spans="2:6" x14ac:dyDescent="0.2">
      <c r="B1766" s="12"/>
      <c r="C1766" s="12"/>
      <c r="D1766" s="17" t="str">
        <f t="shared" si="84"/>
        <v/>
      </c>
      <c r="E1766" s="18" t="str">
        <f t="shared" si="82"/>
        <v/>
      </c>
      <c r="F1766" s="17" t="str">
        <f t="shared" si="83"/>
        <v/>
      </c>
    </row>
    <row r="1767" spans="2:6" x14ac:dyDescent="0.2">
      <c r="B1767" s="12"/>
      <c r="C1767" s="12"/>
      <c r="D1767" s="17" t="str">
        <f t="shared" si="84"/>
        <v/>
      </c>
      <c r="E1767" s="18" t="str">
        <f t="shared" si="82"/>
        <v/>
      </c>
      <c r="F1767" s="17" t="str">
        <f t="shared" si="83"/>
        <v/>
      </c>
    </row>
    <row r="1768" spans="2:6" x14ac:dyDescent="0.2">
      <c r="B1768" s="12"/>
      <c r="C1768" s="12"/>
      <c r="D1768" s="17" t="str">
        <f t="shared" si="84"/>
        <v/>
      </c>
      <c r="E1768" s="18" t="str">
        <f t="shared" si="82"/>
        <v/>
      </c>
      <c r="F1768" s="17" t="str">
        <f t="shared" si="83"/>
        <v/>
      </c>
    </row>
    <row r="1769" spans="2:6" x14ac:dyDescent="0.2">
      <c r="B1769" s="12"/>
      <c r="C1769" s="12"/>
      <c r="D1769" s="17" t="str">
        <f t="shared" si="84"/>
        <v/>
      </c>
      <c r="E1769" s="18" t="str">
        <f t="shared" si="82"/>
        <v/>
      </c>
      <c r="F1769" s="17" t="str">
        <f t="shared" si="83"/>
        <v/>
      </c>
    </row>
    <row r="1770" spans="2:6" x14ac:dyDescent="0.2">
      <c r="B1770" s="12"/>
      <c r="C1770" s="12"/>
      <c r="D1770" s="17" t="str">
        <f t="shared" si="84"/>
        <v/>
      </c>
      <c r="E1770" s="18" t="str">
        <f t="shared" si="82"/>
        <v/>
      </c>
      <c r="F1770" s="17" t="str">
        <f t="shared" si="83"/>
        <v/>
      </c>
    </row>
    <row r="1771" spans="2:6" x14ac:dyDescent="0.2">
      <c r="B1771" s="12"/>
      <c r="C1771" s="12"/>
      <c r="D1771" s="17" t="str">
        <f t="shared" si="84"/>
        <v/>
      </c>
      <c r="E1771" s="18" t="str">
        <f t="shared" si="82"/>
        <v/>
      </c>
      <c r="F1771" s="17" t="str">
        <f t="shared" si="83"/>
        <v/>
      </c>
    </row>
    <row r="1772" spans="2:6" x14ac:dyDescent="0.2">
      <c r="B1772" s="12"/>
      <c r="C1772" s="12"/>
      <c r="D1772" s="17" t="str">
        <f t="shared" si="84"/>
        <v/>
      </c>
      <c r="E1772" s="18" t="str">
        <f t="shared" si="82"/>
        <v/>
      </c>
      <c r="F1772" s="17" t="str">
        <f t="shared" si="83"/>
        <v/>
      </c>
    </row>
    <row r="1773" spans="2:6" x14ac:dyDescent="0.2">
      <c r="B1773" s="12"/>
      <c r="C1773" s="12"/>
      <c r="D1773" s="17" t="str">
        <f t="shared" si="84"/>
        <v/>
      </c>
      <c r="E1773" s="18" t="str">
        <f t="shared" si="82"/>
        <v/>
      </c>
      <c r="F1773" s="17" t="str">
        <f t="shared" si="83"/>
        <v/>
      </c>
    </row>
    <row r="1774" spans="2:6" x14ac:dyDescent="0.2">
      <c r="B1774" s="12"/>
      <c r="C1774" s="12"/>
      <c r="D1774" s="17" t="str">
        <f t="shared" si="84"/>
        <v/>
      </c>
      <c r="E1774" s="18" t="str">
        <f t="shared" si="82"/>
        <v/>
      </c>
      <c r="F1774" s="17" t="str">
        <f t="shared" si="83"/>
        <v/>
      </c>
    </row>
    <row r="1775" spans="2:6" x14ac:dyDescent="0.2">
      <c r="B1775" s="12"/>
      <c r="C1775" s="12"/>
      <c r="D1775" s="17" t="str">
        <f t="shared" si="84"/>
        <v/>
      </c>
      <c r="E1775" s="18" t="str">
        <f t="shared" si="82"/>
        <v/>
      </c>
      <c r="F1775" s="17" t="str">
        <f t="shared" si="83"/>
        <v/>
      </c>
    </row>
    <row r="1776" spans="2:6" x14ac:dyDescent="0.2">
      <c r="B1776" s="12"/>
      <c r="C1776" s="12"/>
      <c r="D1776" s="17" t="str">
        <f t="shared" si="84"/>
        <v/>
      </c>
      <c r="E1776" s="18" t="str">
        <f t="shared" si="82"/>
        <v/>
      </c>
      <c r="F1776" s="17" t="str">
        <f t="shared" si="83"/>
        <v/>
      </c>
    </row>
    <row r="1777" spans="2:6" x14ac:dyDescent="0.2">
      <c r="B1777" s="12"/>
      <c r="C1777" s="12"/>
      <c r="D1777" s="17" t="str">
        <f t="shared" si="84"/>
        <v/>
      </c>
      <c r="E1777" s="18" t="str">
        <f t="shared" si="82"/>
        <v/>
      </c>
      <c r="F1777" s="17" t="str">
        <f t="shared" si="83"/>
        <v/>
      </c>
    </row>
    <row r="1778" spans="2:6" x14ac:dyDescent="0.2">
      <c r="B1778" s="12"/>
      <c r="C1778" s="12"/>
      <c r="D1778" s="17" t="str">
        <f t="shared" si="84"/>
        <v/>
      </c>
      <c r="E1778" s="18" t="str">
        <f t="shared" si="82"/>
        <v/>
      </c>
      <c r="F1778" s="17" t="str">
        <f t="shared" si="83"/>
        <v/>
      </c>
    </row>
    <row r="1779" spans="2:6" x14ac:dyDescent="0.2">
      <c r="B1779" s="12"/>
      <c r="C1779" s="12"/>
      <c r="D1779" s="17" t="str">
        <f t="shared" si="84"/>
        <v/>
      </c>
      <c r="E1779" s="18" t="str">
        <f t="shared" si="82"/>
        <v/>
      </c>
      <c r="F1779" s="17" t="str">
        <f t="shared" si="83"/>
        <v/>
      </c>
    </row>
    <row r="1780" spans="2:6" x14ac:dyDescent="0.2">
      <c r="B1780" s="12"/>
      <c r="C1780" s="12"/>
      <c r="D1780" s="17" t="str">
        <f t="shared" si="84"/>
        <v/>
      </c>
      <c r="E1780" s="18" t="str">
        <f t="shared" si="82"/>
        <v/>
      </c>
      <c r="F1780" s="17" t="str">
        <f t="shared" si="83"/>
        <v/>
      </c>
    </row>
    <row r="1781" spans="2:6" x14ac:dyDescent="0.2">
      <c r="B1781" s="12"/>
      <c r="C1781" s="12"/>
      <c r="D1781" s="17" t="str">
        <f t="shared" si="84"/>
        <v/>
      </c>
      <c r="E1781" s="18" t="str">
        <f t="shared" si="82"/>
        <v/>
      </c>
      <c r="F1781" s="17" t="str">
        <f t="shared" si="83"/>
        <v/>
      </c>
    </row>
    <row r="1782" spans="2:6" x14ac:dyDescent="0.2">
      <c r="B1782" s="12"/>
      <c r="C1782" s="12"/>
      <c r="D1782" s="17" t="str">
        <f t="shared" si="84"/>
        <v/>
      </c>
      <c r="E1782" s="18" t="str">
        <f t="shared" si="82"/>
        <v/>
      </c>
      <c r="F1782" s="17" t="str">
        <f t="shared" si="83"/>
        <v/>
      </c>
    </row>
    <row r="1783" spans="2:6" x14ac:dyDescent="0.2">
      <c r="B1783" s="12"/>
      <c r="C1783" s="12"/>
      <c r="D1783" s="17" t="str">
        <f t="shared" si="84"/>
        <v/>
      </c>
      <c r="E1783" s="18" t="str">
        <f t="shared" si="82"/>
        <v/>
      </c>
      <c r="F1783" s="17" t="str">
        <f t="shared" si="83"/>
        <v/>
      </c>
    </row>
    <row r="1784" spans="2:6" x14ac:dyDescent="0.2">
      <c r="B1784" s="12"/>
      <c r="C1784" s="12"/>
      <c r="D1784" s="17" t="str">
        <f t="shared" si="84"/>
        <v/>
      </c>
      <c r="E1784" s="18" t="str">
        <f t="shared" si="82"/>
        <v/>
      </c>
      <c r="F1784" s="17" t="str">
        <f t="shared" si="83"/>
        <v/>
      </c>
    </row>
    <row r="1785" spans="2:6" x14ac:dyDescent="0.2">
      <c r="B1785" s="12"/>
      <c r="C1785" s="12"/>
      <c r="D1785" s="17" t="str">
        <f t="shared" si="84"/>
        <v/>
      </c>
      <c r="E1785" s="18" t="str">
        <f t="shared" si="82"/>
        <v/>
      </c>
      <c r="F1785" s="17" t="str">
        <f t="shared" si="83"/>
        <v/>
      </c>
    </row>
    <row r="1786" spans="2:6" x14ac:dyDescent="0.2">
      <c r="B1786" s="12"/>
      <c r="C1786" s="12"/>
      <c r="D1786" s="17" t="str">
        <f t="shared" si="84"/>
        <v/>
      </c>
      <c r="E1786" s="18" t="str">
        <f t="shared" si="82"/>
        <v/>
      </c>
      <c r="F1786" s="17" t="str">
        <f t="shared" si="83"/>
        <v/>
      </c>
    </row>
    <row r="1787" spans="2:6" x14ac:dyDescent="0.2">
      <c r="B1787" s="12"/>
      <c r="C1787" s="12"/>
      <c r="D1787" s="17" t="str">
        <f t="shared" si="84"/>
        <v/>
      </c>
      <c r="E1787" s="18" t="str">
        <f t="shared" si="82"/>
        <v/>
      </c>
      <c r="F1787" s="17" t="str">
        <f t="shared" si="83"/>
        <v/>
      </c>
    </row>
    <row r="1788" spans="2:6" x14ac:dyDescent="0.2">
      <c r="B1788" s="12"/>
      <c r="C1788" s="12"/>
      <c r="D1788" s="17" t="str">
        <f t="shared" si="84"/>
        <v/>
      </c>
      <c r="E1788" s="18" t="str">
        <f t="shared" si="82"/>
        <v/>
      </c>
      <c r="F1788" s="17" t="str">
        <f t="shared" si="83"/>
        <v/>
      </c>
    </row>
    <row r="1789" spans="2:6" x14ac:dyDescent="0.2">
      <c r="B1789" s="12"/>
      <c r="C1789" s="12"/>
      <c r="D1789" s="17" t="str">
        <f t="shared" si="84"/>
        <v/>
      </c>
      <c r="E1789" s="18" t="str">
        <f t="shared" si="82"/>
        <v/>
      </c>
      <c r="F1789" s="17" t="str">
        <f t="shared" si="83"/>
        <v/>
      </c>
    </row>
    <row r="1790" spans="2:6" x14ac:dyDescent="0.2">
      <c r="B1790" s="12"/>
      <c r="C1790" s="12"/>
      <c r="D1790" s="17" t="str">
        <f t="shared" si="84"/>
        <v/>
      </c>
      <c r="E1790" s="18" t="str">
        <f t="shared" si="82"/>
        <v/>
      </c>
      <c r="F1790" s="17" t="str">
        <f t="shared" si="83"/>
        <v/>
      </c>
    </row>
    <row r="1791" spans="2:6" x14ac:dyDescent="0.2">
      <c r="B1791" s="12"/>
      <c r="C1791" s="12"/>
      <c r="D1791" s="17" t="str">
        <f t="shared" si="84"/>
        <v/>
      </c>
      <c r="E1791" s="18" t="str">
        <f t="shared" si="82"/>
        <v/>
      </c>
      <c r="F1791" s="17" t="str">
        <f t="shared" si="83"/>
        <v/>
      </c>
    </row>
    <row r="1792" spans="2:6" x14ac:dyDescent="0.2">
      <c r="B1792" s="12"/>
      <c r="C1792" s="12"/>
      <c r="D1792" s="17" t="str">
        <f t="shared" si="84"/>
        <v/>
      </c>
      <c r="E1792" s="18" t="str">
        <f t="shared" si="82"/>
        <v/>
      </c>
      <c r="F1792" s="17" t="str">
        <f t="shared" si="83"/>
        <v/>
      </c>
    </row>
    <row r="1793" spans="2:6" x14ac:dyDescent="0.2">
      <c r="B1793" s="12"/>
      <c r="C1793" s="12"/>
      <c r="D1793" s="17" t="str">
        <f t="shared" si="84"/>
        <v/>
      </c>
      <c r="E1793" s="18" t="str">
        <f t="shared" si="82"/>
        <v/>
      </c>
      <c r="F1793" s="17" t="str">
        <f t="shared" si="83"/>
        <v/>
      </c>
    </row>
    <row r="1794" spans="2:6" x14ac:dyDescent="0.2">
      <c r="B1794" s="12"/>
      <c r="C1794" s="12"/>
      <c r="D1794" s="17" t="str">
        <f t="shared" si="84"/>
        <v/>
      </c>
      <c r="E1794" s="18" t="str">
        <f t="shared" si="82"/>
        <v/>
      </c>
      <c r="F1794" s="17" t="str">
        <f t="shared" si="83"/>
        <v/>
      </c>
    </row>
    <row r="1795" spans="2:6" x14ac:dyDescent="0.2">
      <c r="B1795" s="12"/>
      <c r="C1795" s="12"/>
      <c r="D1795" s="17" t="str">
        <f t="shared" si="84"/>
        <v/>
      </c>
      <c r="E1795" s="18" t="str">
        <f t="shared" si="82"/>
        <v/>
      </c>
      <c r="F1795" s="17" t="str">
        <f t="shared" si="83"/>
        <v/>
      </c>
    </row>
    <row r="1796" spans="2:6" x14ac:dyDescent="0.2">
      <c r="B1796" s="12"/>
      <c r="C1796" s="12"/>
      <c r="D1796" s="17" t="str">
        <f t="shared" si="84"/>
        <v/>
      </c>
      <c r="E1796" s="18" t="str">
        <f t="shared" si="82"/>
        <v/>
      </c>
      <c r="F1796" s="17" t="str">
        <f t="shared" si="83"/>
        <v/>
      </c>
    </row>
    <row r="1797" spans="2:6" x14ac:dyDescent="0.2">
      <c r="B1797" s="12"/>
      <c r="C1797" s="12"/>
      <c r="D1797" s="17" t="str">
        <f t="shared" si="84"/>
        <v/>
      </c>
      <c r="E1797" s="18" t="str">
        <f t="shared" ref="E1797:E1860" si="85">IF(B1797="","",ABS(C1797-D1797))</f>
        <v/>
      </c>
      <c r="F1797" s="17" t="str">
        <f t="shared" ref="F1797:F1860" si="86">IF(B1797="","",E1797^2)</f>
        <v/>
      </c>
    </row>
    <row r="1798" spans="2:6" x14ac:dyDescent="0.2">
      <c r="B1798" s="12"/>
      <c r="C1798" s="12"/>
      <c r="D1798" s="17" t="str">
        <f t="shared" si="84"/>
        <v/>
      </c>
      <c r="E1798" s="18" t="str">
        <f t="shared" si="85"/>
        <v/>
      </c>
      <c r="F1798" s="17" t="str">
        <f t="shared" si="86"/>
        <v/>
      </c>
    </row>
    <row r="1799" spans="2:6" x14ac:dyDescent="0.2">
      <c r="B1799" s="12"/>
      <c r="C1799" s="12"/>
      <c r="D1799" s="17" t="str">
        <f t="shared" si="84"/>
        <v/>
      </c>
      <c r="E1799" s="18" t="str">
        <f t="shared" si="85"/>
        <v/>
      </c>
      <c r="F1799" s="17" t="str">
        <f t="shared" si="86"/>
        <v/>
      </c>
    </row>
    <row r="1800" spans="2:6" x14ac:dyDescent="0.2">
      <c r="B1800" s="12"/>
      <c r="C1800" s="12"/>
      <c r="D1800" s="17" t="str">
        <f t="shared" si="84"/>
        <v/>
      </c>
      <c r="E1800" s="18" t="str">
        <f t="shared" si="85"/>
        <v/>
      </c>
      <c r="F1800" s="17" t="str">
        <f t="shared" si="86"/>
        <v/>
      </c>
    </row>
    <row r="1801" spans="2:6" x14ac:dyDescent="0.2">
      <c r="B1801" s="12"/>
      <c r="C1801" s="12"/>
      <c r="D1801" s="17" t="str">
        <f t="shared" si="84"/>
        <v/>
      </c>
      <c r="E1801" s="18" t="str">
        <f t="shared" si="85"/>
        <v/>
      </c>
      <c r="F1801" s="17" t="str">
        <f t="shared" si="86"/>
        <v/>
      </c>
    </row>
    <row r="1802" spans="2:6" x14ac:dyDescent="0.2">
      <c r="B1802" s="12"/>
      <c r="C1802" s="12"/>
      <c r="D1802" s="17" t="str">
        <f t="shared" si="84"/>
        <v/>
      </c>
      <c r="E1802" s="18" t="str">
        <f t="shared" si="85"/>
        <v/>
      </c>
      <c r="F1802" s="17" t="str">
        <f t="shared" si="86"/>
        <v/>
      </c>
    </row>
    <row r="1803" spans="2:6" x14ac:dyDescent="0.2">
      <c r="B1803" s="12"/>
      <c r="C1803" s="12"/>
      <c r="D1803" s="17" t="str">
        <f t="shared" si="84"/>
        <v/>
      </c>
      <c r="E1803" s="18" t="str">
        <f t="shared" si="85"/>
        <v/>
      </c>
      <c r="F1803" s="17" t="str">
        <f t="shared" si="86"/>
        <v/>
      </c>
    </row>
    <row r="1804" spans="2:6" x14ac:dyDescent="0.2">
      <c r="B1804" s="12"/>
      <c r="C1804" s="12"/>
      <c r="D1804" s="17" t="str">
        <f t="shared" si="84"/>
        <v/>
      </c>
      <c r="E1804" s="18" t="str">
        <f t="shared" si="85"/>
        <v/>
      </c>
      <c r="F1804" s="17" t="str">
        <f t="shared" si="86"/>
        <v/>
      </c>
    </row>
    <row r="1805" spans="2:6" x14ac:dyDescent="0.2">
      <c r="B1805" s="12"/>
      <c r="C1805" s="12"/>
      <c r="D1805" s="17" t="str">
        <f t="shared" si="84"/>
        <v/>
      </c>
      <c r="E1805" s="18" t="str">
        <f t="shared" si="85"/>
        <v/>
      </c>
      <c r="F1805" s="17" t="str">
        <f t="shared" si="86"/>
        <v/>
      </c>
    </row>
    <row r="1806" spans="2:6" x14ac:dyDescent="0.2">
      <c r="B1806" s="12"/>
      <c r="C1806" s="12"/>
      <c r="D1806" s="17" t="str">
        <f t="shared" si="84"/>
        <v/>
      </c>
      <c r="E1806" s="18" t="str">
        <f t="shared" si="85"/>
        <v/>
      </c>
      <c r="F1806" s="17" t="str">
        <f t="shared" si="86"/>
        <v/>
      </c>
    </row>
    <row r="1807" spans="2:6" x14ac:dyDescent="0.2">
      <c r="B1807" s="12"/>
      <c r="C1807" s="12"/>
      <c r="D1807" s="17" t="str">
        <f t="shared" si="84"/>
        <v/>
      </c>
      <c r="E1807" s="18" t="str">
        <f t="shared" si="85"/>
        <v/>
      </c>
      <c r="F1807" s="17" t="str">
        <f t="shared" si="86"/>
        <v/>
      </c>
    </row>
    <row r="1808" spans="2:6" x14ac:dyDescent="0.2">
      <c r="B1808" s="12"/>
      <c r="C1808" s="12"/>
      <c r="D1808" s="17" t="str">
        <f t="shared" si="84"/>
        <v/>
      </c>
      <c r="E1808" s="18" t="str">
        <f t="shared" si="85"/>
        <v/>
      </c>
      <c r="F1808" s="17" t="str">
        <f t="shared" si="86"/>
        <v/>
      </c>
    </row>
    <row r="1809" spans="2:6" x14ac:dyDescent="0.2">
      <c r="B1809" s="12"/>
      <c r="C1809" s="12"/>
      <c r="D1809" s="17" t="str">
        <f t="shared" si="84"/>
        <v/>
      </c>
      <c r="E1809" s="18" t="str">
        <f t="shared" si="85"/>
        <v/>
      </c>
      <c r="F1809" s="17" t="str">
        <f t="shared" si="86"/>
        <v/>
      </c>
    </row>
    <row r="1810" spans="2:6" x14ac:dyDescent="0.2">
      <c r="B1810" s="12"/>
      <c r="C1810" s="12"/>
      <c r="D1810" s="17" t="str">
        <f t="shared" ref="D1810:D1873" si="87">IF(B1810="","",a+b*B1810)</f>
        <v/>
      </c>
      <c r="E1810" s="18" t="str">
        <f t="shared" si="85"/>
        <v/>
      </c>
      <c r="F1810" s="17" t="str">
        <f t="shared" si="86"/>
        <v/>
      </c>
    </row>
    <row r="1811" spans="2:6" x14ac:dyDescent="0.2">
      <c r="B1811" s="12"/>
      <c r="C1811" s="12"/>
      <c r="D1811" s="17" t="str">
        <f t="shared" si="87"/>
        <v/>
      </c>
      <c r="E1811" s="18" t="str">
        <f t="shared" si="85"/>
        <v/>
      </c>
      <c r="F1811" s="17" t="str">
        <f t="shared" si="86"/>
        <v/>
      </c>
    </row>
    <row r="1812" spans="2:6" x14ac:dyDescent="0.2">
      <c r="B1812" s="12"/>
      <c r="C1812" s="12"/>
      <c r="D1812" s="17" t="str">
        <f t="shared" si="87"/>
        <v/>
      </c>
      <c r="E1812" s="18" t="str">
        <f t="shared" si="85"/>
        <v/>
      </c>
      <c r="F1812" s="17" t="str">
        <f t="shared" si="86"/>
        <v/>
      </c>
    </row>
    <row r="1813" spans="2:6" x14ac:dyDescent="0.2">
      <c r="B1813" s="12"/>
      <c r="C1813" s="12"/>
      <c r="D1813" s="17" t="str">
        <f t="shared" si="87"/>
        <v/>
      </c>
      <c r="E1813" s="18" t="str">
        <f t="shared" si="85"/>
        <v/>
      </c>
      <c r="F1813" s="17" t="str">
        <f t="shared" si="86"/>
        <v/>
      </c>
    </row>
    <row r="1814" spans="2:6" x14ac:dyDescent="0.2">
      <c r="B1814" s="12"/>
      <c r="C1814" s="12"/>
      <c r="D1814" s="17" t="str">
        <f t="shared" si="87"/>
        <v/>
      </c>
      <c r="E1814" s="18" t="str">
        <f t="shared" si="85"/>
        <v/>
      </c>
      <c r="F1814" s="17" t="str">
        <f t="shared" si="86"/>
        <v/>
      </c>
    </row>
    <row r="1815" spans="2:6" x14ac:dyDescent="0.2">
      <c r="B1815" s="12"/>
      <c r="C1815" s="12"/>
      <c r="D1815" s="17" t="str">
        <f t="shared" si="87"/>
        <v/>
      </c>
      <c r="E1815" s="18" t="str">
        <f t="shared" si="85"/>
        <v/>
      </c>
      <c r="F1815" s="17" t="str">
        <f t="shared" si="86"/>
        <v/>
      </c>
    </row>
    <row r="1816" spans="2:6" x14ac:dyDescent="0.2">
      <c r="B1816" s="12"/>
      <c r="C1816" s="12"/>
      <c r="D1816" s="17" t="str">
        <f t="shared" si="87"/>
        <v/>
      </c>
      <c r="E1816" s="18" t="str">
        <f t="shared" si="85"/>
        <v/>
      </c>
      <c r="F1816" s="17" t="str">
        <f t="shared" si="86"/>
        <v/>
      </c>
    </row>
    <row r="1817" spans="2:6" x14ac:dyDescent="0.2">
      <c r="B1817" s="12"/>
      <c r="C1817" s="12"/>
      <c r="D1817" s="17" t="str">
        <f t="shared" si="87"/>
        <v/>
      </c>
      <c r="E1817" s="18" t="str">
        <f t="shared" si="85"/>
        <v/>
      </c>
      <c r="F1817" s="17" t="str">
        <f t="shared" si="86"/>
        <v/>
      </c>
    </row>
    <row r="1818" spans="2:6" x14ac:dyDescent="0.2">
      <c r="B1818" s="12"/>
      <c r="C1818" s="12"/>
      <c r="D1818" s="17" t="str">
        <f t="shared" si="87"/>
        <v/>
      </c>
      <c r="E1818" s="18" t="str">
        <f t="shared" si="85"/>
        <v/>
      </c>
      <c r="F1818" s="17" t="str">
        <f t="shared" si="86"/>
        <v/>
      </c>
    </row>
    <row r="1819" spans="2:6" x14ac:dyDescent="0.2">
      <c r="B1819" s="12"/>
      <c r="C1819" s="12"/>
      <c r="D1819" s="17" t="str">
        <f t="shared" si="87"/>
        <v/>
      </c>
      <c r="E1819" s="18" t="str">
        <f t="shared" si="85"/>
        <v/>
      </c>
      <c r="F1819" s="17" t="str">
        <f t="shared" si="86"/>
        <v/>
      </c>
    </row>
    <row r="1820" spans="2:6" x14ac:dyDescent="0.2">
      <c r="B1820" s="12"/>
      <c r="C1820" s="12"/>
      <c r="D1820" s="17" t="str">
        <f t="shared" si="87"/>
        <v/>
      </c>
      <c r="E1820" s="18" t="str">
        <f t="shared" si="85"/>
        <v/>
      </c>
      <c r="F1820" s="17" t="str">
        <f t="shared" si="86"/>
        <v/>
      </c>
    </row>
    <row r="1821" spans="2:6" x14ac:dyDescent="0.2">
      <c r="B1821" s="12"/>
      <c r="C1821" s="12"/>
      <c r="D1821" s="17" t="str">
        <f t="shared" si="87"/>
        <v/>
      </c>
      <c r="E1821" s="18" t="str">
        <f t="shared" si="85"/>
        <v/>
      </c>
      <c r="F1821" s="17" t="str">
        <f t="shared" si="86"/>
        <v/>
      </c>
    </row>
    <row r="1822" spans="2:6" x14ac:dyDescent="0.2">
      <c r="B1822" s="12"/>
      <c r="C1822" s="12"/>
      <c r="D1822" s="17" t="str">
        <f t="shared" si="87"/>
        <v/>
      </c>
      <c r="E1822" s="18" t="str">
        <f t="shared" si="85"/>
        <v/>
      </c>
      <c r="F1822" s="17" t="str">
        <f t="shared" si="86"/>
        <v/>
      </c>
    </row>
    <row r="1823" spans="2:6" x14ac:dyDescent="0.2">
      <c r="B1823" s="12"/>
      <c r="C1823" s="12"/>
      <c r="D1823" s="17" t="str">
        <f t="shared" si="87"/>
        <v/>
      </c>
      <c r="E1823" s="18" t="str">
        <f t="shared" si="85"/>
        <v/>
      </c>
      <c r="F1823" s="17" t="str">
        <f t="shared" si="86"/>
        <v/>
      </c>
    </row>
    <row r="1824" spans="2:6" x14ac:dyDescent="0.2">
      <c r="B1824" s="12"/>
      <c r="C1824" s="12"/>
      <c r="D1824" s="17" t="str">
        <f t="shared" si="87"/>
        <v/>
      </c>
      <c r="E1824" s="18" t="str">
        <f t="shared" si="85"/>
        <v/>
      </c>
      <c r="F1824" s="17" t="str">
        <f t="shared" si="86"/>
        <v/>
      </c>
    </row>
    <row r="1825" spans="2:6" x14ac:dyDescent="0.2">
      <c r="B1825" s="12"/>
      <c r="C1825" s="12"/>
      <c r="D1825" s="17" t="str">
        <f t="shared" si="87"/>
        <v/>
      </c>
      <c r="E1825" s="18" t="str">
        <f t="shared" si="85"/>
        <v/>
      </c>
      <c r="F1825" s="17" t="str">
        <f t="shared" si="86"/>
        <v/>
      </c>
    </row>
    <row r="1826" spans="2:6" x14ac:dyDescent="0.2">
      <c r="B1826" s="12"/>
      <c r="C1826" s="12"/>
      <c r="D1826" s="17" t="str">
        <f t="shared" si="87"/>
        <v/>
      </c>
      <c r="E1826" s="18" t="str">
        <f t="shared" si="85"/>
        <v/>
      </c>
      <c r="F1826" s="17" t="str">
        <f t="shared" si="86"/>
        <v/>
      </c>
    </row>
    <row r="1827" spans="2:6" x14ac:dyDescent="0.2">
      <c r="B1827" s="12"/>
      <c r="C1827" s="12"/>
      <c r="D1827" s="17" t="str">
        <f t="shared" si="87"/>
        <v/>
      </c>
      <c r="E1827" s="18" t="str">
        <f t="shared" si="85"/>
        <v/>
      </c>
      <c r="F1827" s="17" t="str">
        <f t="shared" si="86"/>
        <v/>
      </c>
    </row>
    <row r="1828" spans="2:6" x14ac:dyDescent="0.2">
      <c r="B1828" s="12"/>
      <c r="C1828" s="12"/>
      <c r="D1828" s="17" t="str">
        <f t="shared" si="87"/>
        <v/>
      </c>
      <c r="E1828" s="18" t="str">
        <f t="shared" si="85"/>
        <v/>
      </c>
      <c r="F1828" s="17" t="str">
        <f t="shared" si="86"/>
        <v/>
      </c>
    </row>
    <row r="1829" spans="2:6" x14ac:dyDescent="0.2">
      <c r="B1829" s="12"/>
      <c r="C1829" s="12"/>
      <c r="D1829" s="17" t="str">
        <f t="shared" si="87"/>
        <v/>
      </c>
      <c r="E1829" s="18" t="str">
        <f t="shared" si="85"/>
        <v/>
      </c>
      <c r="F1829" s="17" t="str">
        <f t="shared" si="86"/>
        <v/>
      </c>
    </row>
    <row r="1830" spans="2:6" x14ac:dyDescent="0.2">
      <c r="B1830" s="12"/>
      <c r="C1830" s="12"/>
      <c r="D1830" s="17" t="str">
        <f t="shared" si="87"/>
        <v/>
      </c>
      <c r="E1830" s="18" t="str">
        <f t="shared" si="85"/>
        <v/>
      </c>
      <c r="F1830" s="17" t="str">
        <f t="shared" si="86"/>
        <v/>
      </c>
    </row>
    <row r="1831" spans="2:6" x14ac:dyDescent="0.2">
      <c r="B1831" s="12"/>
      <c r="C1831" s="12"/>
      <c r="D1831" s="17" t="str">
        <f t="shared" si="87"/>
        <v/>
      </c>
      <c r="E1831" s="18" t="str">
        <f t="shared" si="85"/>
        <v/>
      </c>
      <c r="F1831" s="17" t="str">
        <f t="shared" si="86"/>
        <v/>
      </c>
    </row>
    <row r="1832" spans="2:6" x14ac:dyDescent="0.2">
      <c r="B1832" s="12"/>
      <c r="C1832" s="12"/>
      <c r="D1832" s="17" t="str">
        <f t="shared" si="87"/>
        <v/>
      </c>
      <c r="E1832" s="18" t="str">
        <f t="shared" si="85"/>
        <v/>
      </c>
      <c r="F1832" s="17" t="str">
        <f t="shared" si="86"/>
        <v/>
      </c>
    </row>
    <row r="1833" spans="2:6" x14ac:dyDescent="0.2">
      <c r="B1833" s="12"/>
      <c r="C1833" s="12"/>
      <c r="D1833" s="17" t="str">
        <f t="shared" si="87"/>
        <v/>
      </c>
      <c r="E1833" s="18" t="str">
        <f t="shared" si="85"/>
        <v/>
      </c>
      <c r="F1833" s="17" t="str">
        <f t="shared" si="86"/>
        <v/>
      </c>
    </row>
    <row r="1834" spans="2:6" x14ac:dyDescent="0.2">
      <c r="B1834" s="12"/>
      <c r="C1834" s="12"/>
      <c r="D1834" s="17" t="str">
        <f t="shared" si="87"/>
        <v/>
      </c>
      <c r="E1834" s="18" t="str">
        <f t="shared" si="85"/>
        <v/>
      </c>
      <c r="F1834" s="17" t="str">
        <f t="shared" si="86"/>
        <v/>
      </c>
    </row>
    <row r="1835" spans="2:6" x14ac:dyDescent="0.2">
      <c r="B1835" s="12"/>
      <c r="C1835" s="12"/>
      <c r="D1835" s="17" t="str">
        <f t="shared" si="87"/>
        <v/>
      </c>
      <c r="E1835" s="18" t="str">
        <f t="shared" si="85"/>
        <v/>
      </c>
      <c r="F1835" s="17" t="str">
        <f t="shared" si="86"/>
        <v/>
      </c>
    </row>
    <row r="1836" spans="2:6" x14ac:dyDescent="0.2">
      <c r="B1836" s="12"/>
      <c r="C1836" s="12"/>
      <c r="D1836" s="17" t="str">
        <f t="shared" si="87"/>
        <v/>
      </c>
      <c r="E1836" s="18" t="str">
        <f t="shared" si="85"/>
        <v/>
      </c>
      <c r="F1836" s="17" t="str">
        <f t="shared" si="86"/>
        <v/>
      </c>
    </row>
    <row r="1837" spans="2:6" x14ac:dyDescent="0.2">
      <c r="B1837" s="12"/>
      <c r="C1837" s="12"/>
      <c r="D1837" s="17" t="str">
        <f t="shared" si="87"/>
        <v/>
      </c>
      <c r="E1837" s="18" t="str">
        <f t="shared" si="85"/>
        <v/>
      </c>
      <c r="F1837" s="17" t="str">
        <f t="shared" si="86"/>
        <v/>
      </c>
    </row>
    <row r="1838" spans="2:6" x14ac:dyDescent="0.2">
      <c r="B1838" s="12"/>
      <c r="C1838" s="12"/>
      <c r="D1838" s="17" t="str">
        <f t="shared" si="87"/>
        <v/>
      </c>
      <c r="E1838" s="18" t="str">
        <f t="shared" si="85"/>
        <v/>
      </c>
      <c r="F1838" s="17" t="str">
        <f t="shared" si="86"/>
        <v/>
      </c>
    </row>
    <row r="1839" spans="2:6" x14ac:dyDescent="0.2">
      <c r="B1839" s="12"/>
      <c r="C1839" s="12"/>
      <c r="D1839" s="17" t="str">
        <f t="shared" si="87"/>
        <v/>
      </c>
      <c r="E1839" s="18" t="str">
        <f t="shared" si="85"/>
        <v/>
      </c>
      <c r="F1839" s="17" t="str">
        <f t="shared" si="86"/>
        <v/>
      </c>
    </row>
    <row r="1840" spans="2:6" x14ac:dyDescent="0.2">
      <c r="B1840" s="12"/>
      <c r="C1840" s="12"/>
      <c r="D1840" s="17" t="str">
        <f t="shared" si="87"/>
        <v/>
      </c>
      <c r="E1840" s="18" t="str">
        <f t="shared" si="85"/>
        <v/>
      </c>
      <c r="F1840" s="17" t="str">
        <f t="shared" si="86"/>
        <v/>
      </c>
    </row>
    <row r="1841" spans="2:6" x14ac:dyDescent="0.2">
      <c r="B1841" s="12"/>
      <c r="C1841" s="12"/>
      <c r="D1841" s="17" t="str">
        <f t="shared" si="87"/>
        <v/>
      </c>
      <c r="E1841" s="18" t="str">
        <f t="shared" si="85"/>
        <v/>
      </c>
      <c r="F1841" s="17" t="str">
        <f t="shared" si="86"/>
        <v/>
      </c>
    </row>
    <row r="1842" spans="2:6" x14ac:dyDescent="0.2">
      <c r="B1842" s="12"/>
      <c r="C1842" s="12"/>
      <c r="D1842" s="17" t="str">
        <f t="shared" si="87"/>
        <v/>
      </c>
      <c r="E1842" s="18" t="str">
        <f t="shared" si="85"/>
        <v/>
      </c>
      <c r="F1842" s="17" t="str">
        <f t="shared" si="86"/>
        <v/>
      </c>
    </row>
    <row r="1843" spans="2:6" x14ac:dyDescent="0.2">
      <c r="B1843" s="12"/>
      <c r="C1843" s="12"/>
      <c r="D1843" s="17" t="str">
        <f t="shared" si="87"/>
        <v/>
      </c>
      <c r="E1843" s="18" t="str">
        <f t="shared" si="85"/>
        <v/>
      </c>
      <c r="F1843" s="17" t="str">
        <f t="shared" si="86"/>
        <v/>
      </c>
    </row>
    <row r="1844" spans="2:6" x14ac:dyDescent="0.2">
      <c r="B1844" s="12"/>
      <c r="C1844" s="12"/>
      <c r="D1844" s="17" t="str">
        <f t="shared" si="87"/>
        <v/>
      </c>
      <c r="E1844" s="18" t="str">
        <f t="shared" si="85"/>
        <v/>
      </c>
      <c r="F1844" s="17" t="str">
        <f t="shared" si="86"/>
        <v/>
      </c>
    </row>
    <row r="1845" spans="2:6" x14ac:dyDescent="0.2">
      <c r="B1845" s="12"/>
      <c r="C1845" s="12"/>
      <c r="D1845" s="17" t="str">
        <f t="shared" si="87"/>
        <v/>
      </c>
      <c r="E1845" s="18" t="str">
        <f t="shared" si="85"/>
        <v/>
      </c>
      <c r="F1845" s="17" t="str">
        <f t="shared" si="86"/>
        <v/>
      </c>
    </row>
    <row r="1846" spans="2:6" x14ac:dyDescent="0.2">
      <c r="B1846" s="12"/>
      <c r="C1846" s="12"/>
      <c r="D1846" s="17" t="str">
        <f t="shared" si="87"/>
        <v/>
      </c>
      <c r="E1846" s="18" t="str">
        <f t="shared" si="85"/>
        <v/>
      </c>
      <c r="F1846" s="17" t="str">
        <f t="shared" si="86"/>
        <v/>
      </c>
    </row>
    <row r="1847" spans="2:6" x14ac:dyDescent="0.2">
      <c r="B1847" s="12"/>
      <c r="C1847" s="12"/>
      <c r="D1847" s="17" t="str">
        <f t="shared" si="87"/>
        <v/>
      </c>
      <c r="E1847" s="18" t="str">
        <f t="shared" si="85"/>
        <v/>
      </c>
      <c r="F1847" s="17" t="str">
        <f t="shared" si="86"/>
        <v/>
      </c>
    </row>
    <row r="1848" spans="2:6" x14ac:dyDescent="0.2">
      <c r="B1848" s="12"/>
      <c r="C1848" s="12"/>
      <c r="D1848" s="17" t="str">
        <f t="shared" si="87"/>
        <v/>
      </c>
      <c r="E1848" s="18" t="str">
        <f t="shared" si="85"/>
        <v/>
      </c>
      <c r="F1848" s="17" t="str">
        <f t="shared" si="86"/>
        <v/>
      </c>
    </row>
    <row r="1849" spans="2:6" x14ac:dyDescent="0.2">
      <c r="B1849" s="12"/>
      <c r="C1849" s="12"/>
      <c r="D1849" s="17" t="str">
        <f t="shared" si="87"/>
        <v/>
      </c>
      <c r="E1849" s="18" t="str">
        <f t="shared" si="85"/>
        <v/>
      </c>
      <c r="F1849" s="17" t="str">
        <f t="shared" si="86"/>
        <v/>
      </c>
    </row>
    <row r="1850" spans="2:6" x14ac:dyDescent="0.2">
      <c r="B1850" s="12"/>
      <c r="C1850" s="12"/>
      <c r="D1850" s="17" t="str">
        <f t="shared" si="87"/>
        <v/>
      </c>
      <c r="E1850" s="18" t="str">
        <f t="shared" si="85"/>
        <v/>
      </c>
      <c r="F1850" s="17" t="str">
        <f t="shared" si="86"/>
        <v/>
      </c>
    </row>
    <row r="1851" spans="2:6" x14ac:dyDescent="0.2">
      <c r="B1851" s="12"/>
      <c r="C1851" s="12"/>
      <c r="D1851" s="17" t="str">
        <f t="shared" si="87"/>
        <v/>
      </c>
      <c r="E1851" s="18" t="str">
        <f t="shared" si="85"/>
        <v/>
      </c>
      <c r="F1851" s="17" t="str">
        <f t="shared" si="86"/>
        <v/>
      </c>
    </row>
    <row r="1852" spans="2:6" x14ac:dyDescent="0.2">
      <c r="B1852" s="12"/>
      <c r="C1852" s="12"/>
      <c r="D1852" s="17" t="str">
        <f t="shared" si="87"/>
        <v/>
      </c>
      <c r="E1852" s="18" t="str">
        <f t="shared" si="85"/>
        <v/>
      </c>
      <c r="F1852" s="17" t="str">
        <f t="shared" si="86"/>
        <v/>
      </c>
    </row>
    <row r="1853" spans="2:6" x14ac:dyDescent="0.2">
      <c r="B1853" s="12"/>
      <c r="C1853" s="12"/>
      <c r="D1853" s="17" t="str">
        <f t="shared" si="87"/>
        <v/>
      </c>
      <c r="E1853" s="18" t="str">
        <f t="shared" si="85"/>
        <v/>
      </c>
      <c r="F1853" s="17" t="str">
        <f t="shared" si="86"/>
        <v/>
      </c>
    </row>
    <row r="1854" spans="2:6" x14ac:dyDescent="0.2">
      <c r="B1854" s="12"/>
      <c r="C1854" s="12"/>
      <c r="D1854" s="17" t="str">
        <f t="shared" si="87"/>
        <v/>
      </c>
      <c r="E1854" s="18" t="str">
        <f t="shared" si="85"/>
        <v/>
      </c>
      <c r="F1854" s="17" t="str">
        <f t="shared" si="86"/>
        <v/>
      </c>
    </row>
    <row r="1855" spans="2:6" x14ac:dyDescent="0.2">
      <c r="B1855" s="12"/>
      <c r="C1855" s="12"/>
      <c r="D1855" s="17" t="str">
        <f t="shared" si="87"/>
        <v/>
      </c>
      <c r="E1855" s="18" t="str">
        <f t="shared" si="85"/>
        <v/>
      </c>
      <c r="F1855" s="17" t="str">
        <f t="shared" si="86"/>
        <v/>
      </c>
    </row>
    <row r="1856" spans="2:6" x14ac:dyDescent="0.2">
      <c r="B1856" s="12"/>
      <c r="C1856" s="12"/>
      <c r="D1856" s="17" t="str">
        <f t="shared" si="87"/>
        <v/>
      </c>
      <c r="E1856" s="18" t="str">
        <f t="shared" si="85"/>
        <v/>
      </c>
      <c r="F1856" s="17" t="str">
        <f t="shared" si="86"/>
        <v/>
      </c>
    </row>
    <row r="1857" spans="2:6" x14ac:dyDescent="0.2">
      <c r="B1857" s="12"/>
      <c r="C1857" s="12"/>
      <c r="D1857" s="17" t="str">
        <f t="shared" si="87"/>
        <v/>
      </c>
      <c r="E1857" s="18" t="str">
        <f t="shared" si="85"/>
        <v/>
      </c>
      <c r="F1857" s="17" t="str">
        <f t="shared" si="86"/>
        <v/>
      </c>
    </row>
    <row r="1858" spans="2:6" x14ac:dyDescent="0.2">
      <c r="B1858" s="12"/>
      <c r="C1858" s="12"/>
      <c r="D1858" s="17" t="str">
        <f t="shared" si="87"/>
        <v/>
      </c>
      <c r="E1858" s="18" t="str">
        <f t="shared" si="85"/>
        <v/>
      </c>
      <c r="F1858" s="17" t="str">
        <f t="shared" si="86"/>
        <v/>
      </c>
    </row>
    <row r="1859" spans="2:6" x14ac:dyDescent="0.2">
      <c r="B1859" s="12"/>
      <c r="C1859" s="12"/>
      <c r="D1859" s="17" t="str">
        <f t="shared" si="87"/>
        <v/>
      </c>
      <c r="E1859" s="18" t="str">
        <f t="shared" si="85"/>
        <v/>
      </c>
      <c r="F1859" s="17" t="str">
        <f t="shared" si="86"/>
        <v/>
      </c>
    </row>
    <row r="1860" spans="2:6" x14ac:dyDescent="0.2">
      <c r="B1860" s="12"/>
      <c r="C1860" s="12"/>
      <c r="D1860" s="17" t="str">
        <f t="shared" si="87"/>
        <v/>
      </c>
      <c r="E1860" s="18" t="str">
        <f t="shared" si="85"/>
        <v/>
      </c>
      <c r="F1860" s="17" t="str">
        <f t="shared" si="86"/>
        <v/>
      </c>
    </row>
    <row r="1861" spans="2:6" x14ac:dyDescent="0.2">
      <c r="B1861" s="12"/>
      <c r="C1861" s="12"/>
      <c r="D1861" s="17" t="str">
        <f t="shared" si="87"/>
        <v/>
      </c>
      <c r="E1861" s="18" t="str">
        <f t="shared" ref="E1861:E1924" si="88">IF(B1861="","",ABS(C1861-D1861))</f>
        <v/>
      </c>
      <c r="F1861" s="17" t="str">
        <f t="shared" ref="F1861:F1924" si="89">IF(B1861="","",E1861^2)</f>
        <v/>
      </c>
    </row>
    <row r="1862" spans="2:6" x14ac:dyDescent="0.2">
      <c r="B1862" s="12"/>
      <c r="C1862" s="12"/>
      <c r="D1862" s="17" t="str">
        <f t="shared" si="87"/>
        <v/>
      </c>
      <c r="E1862" s="18" t="str">
        <f t="shared" si="88"/>
        <v/>
      </c>
      <c r="F1862" s="17" t="str">
        <f t="shared" si="89"/>
        <v/>
      </c>
    </row>
    <row r="1863" spans="2:6" x14ac:dyDescent="0.2">
      <c r="B1863" s="12"/>
      <c r="C1863" s="12"/>
      <c r="D1863" s="17" t="str">
        <f t="shared" si="87"/>
        <v/>
      </c>
      <c r="E1863" s="18" t="str">
        <f t="shared" si="88"/>
        <v/>
      </c>
      <c r="F1863" s="17" t="str">
        <f t="shared" si="89"/>
        <v/>
      </c>
    </row>
    <row r="1864" spans="2:6" x14ac:dyDescent="0.2">
      <c r="B1864" s="12"/>
      <c r="C1864" s="12"/>
      <c r="D1864" s="17" t="str">
        <f t="shared" si="87"/>
        <v/>
      </c>
      <c r="E1864" s="18" t="str">
        <f t="shared" si="88"/>
        <v/>
      </c>
      <c r="F1864" s="17" t="str">
        <f t="shared" si="89"/>
        <v/>
      </c>
    </row>
    <row r="1865" spans="2:6" x14ac:dyDescent="0.2">
      <c r="B1865" s="12"/>
      <c r="C1865" s="12"/>
      <c r="D1865" s="17" t="str">
        <f t="shared" si="87"/>
        <v/>
      </c>
      <c r="E1865" s="18" t="str">
        <f t="shared" si="88"/>
        <v/>
      </c>
      <c r="F1865" s="17" t="str">
        <f t="shared" si="89"/>
        <v/>
      </c>
    </row>
    <row r="1866" spans="2:6" x14ac:dyDescent="0.2">
      <c r="B1866" s="12"/>
      <c r="C1866" s="12"/>
      <c r="D1866" s="17" t="str">
        <f t="shared" si="87"/>
        <v/>
      </c>
      <c r="E1866" s="18" t="str">
        <f t="shared" si="88"/>
        <v/>
      </c>
      <c r="F1866" s="17" t="str">
        <f t="shared" si="89"/>
        <v/>
      </c>
    </row>
    <row r="1867" spans="2:6" x14ac:dyDescent="0.2">
      <c r="B1867" s="12"/>
      <c r="C1867" s="12"/>
      <c r="D1867" s="17" t="str">
        <f t="shared" si="87"/>
        <v/>
      </c>
      <c r="E1867" s="18" t="str">
        <f t="shared" si="88"/>
        <v/>
      </c>
      <c r="F1867" s="17" t="str">
        <f t="shared" si="89"/>
        <v/>
      </c>
    </row>
    <row r="1868" spans="2:6" x14ac:dyDescent="0.2">
      <c r="B1868" s="12"/>
      <c r="C1868" s="12"/>
      <c r="D1868" s="17" t="str">
        <f t="shared" si="87"/>
        <v/>
      </c>
      <c r="E1868" s="18" t="str">
        <f t="shared" si="88"/>
        <v/>
      </c>
      <c r="F1868" s="17" t="str">
        <f t="shared" si="89"/>
        <v/>
      </c>
    </row>
    <row r="1869" spans="2:6" x14ac:dyDescent="0.2">
      <c r="B1869" s="12"/>
      <c r="C1869" s="12"/>
      <c r="D1869" s="17" t="str">
        <f t="shared" si="87"/>
        <v/>
      </c>
      <c r="E1869" s="18" t="str">
        <f t="shared" si="88"/>
        <v/>
      </c>
      <c r="F1869" s="17" t="str">
        <f t="shared" si="89"/>
        <v/>
      </c>
    </row>
    <row r="1870" spans="2:6" x14ac:dyDescent="0.2">
      <c r="B1870" s="12"/>
      <c r="C1870" s="12"/>
      <c r="D1870" s="17" t="str">
        <f t="shared" si="87"/>
        <v/>
      </c>
      <c r="E1870" s="18" t="str">
        <f t="shared" si="88"/>
        <v/>
      </c>
      <c r="F1870" s="17" t="str">
        <f t="shared" si="89"/>
        <v/>
      </c>
    </row>
    <row r="1871" spans="2:6" x14ac:dyDescent="0.2">
      <c r="B1871" s="12"/>
      <c r="C1871" s="12"/>
      <c r="D1871" s="17" t="str">
        <f t="shared" si="87"/>
        <v/>
      </c>
      <c r="E1871" s="18" t="str">
        <f t="shared" si="88"/>
        <v/>
      </c>
      <c r="F1871" s="17" t="str">
        <f t="shared" si="89"/>
        <v/>
      </c>
    </row>
    <row r="1872" spans="2:6" x14ac:dyDescent="0.2">
      <c r="B1872" s="12"/>
      <c r="C1872" s="12"/>
      <c r="D1872" s="17" t="str">
        <f t="shared" si="87"/>
        <v/>
      </c>
      <c r="E1872" s="18" t="str">
        <f t="shared" si="88"/>
        <v/>
      </c>
      <c r="F1872" s="17" t="str">
        <f t="shared" si="89"/>
        <v/>
      </c>
    </row>
    <row r="1873" spans="2:6" x14ac:dyDescent="0.2">
      <c r="B1873" s="12"/>
      <c r="C1873" s="12"/>
      <c r="D1873" s="17" t="str">
        <f t="shared" si="87"/>
        <v/>
      </c>
      <c r="E1873" s="18" t="str">
        <f t="shared" si="88"/>
        <v/>
      </c>
      <c r="F1873" s="17" t="str">
        <f t="shared" si="89"/>
        <v/>
      </c>
    </row>
    <row r="1874" spans="2:6" x14ac:dyDescent="0.2">
      <c r="B1874" s="12"/>
      <c r="C1874" s="12"/>
      <c r="D1874" s="17" t="str">
        <f t="shared" ref="D1874:D1937" si="90">IF(B1874="","",a+b*B1874)</f>
        <v/>
      </c>
      <c r="E1874" s="18" t="str">
        <f t="shared" si="88"/>
        <v/>
      </c>
      <c r="F1874" s="17" t="str">
        <f t="shared" si="89"/>
        <v/>
      </c>
    </row>
    <row r="1875" spans="2:6" x14ac:dyDescent="0.2">
      <c r="B1875" s="12"/>
      <c r="C1875" s="12"/>
      <c r="D1875" s="17" t="str">
        <f t="shared" si="90"/>
        <v/>
      </c>
      <c r="E1875" s="18" t="str">
        <f t="shared" si="88"/>
        <v/>
      </c>
      <c r="F1875" s="17" t="str">
        <f t="shared" si="89"/>
        <v/>
      </c>
    </row>
    <row r="1876" spans="2:6" x14ac:dyDescent="0.2">
      <c r="B1876" s="12"/>
      <c r="C1876" s="12"/>
      <c r="D1876" s="17" t="str">
        <f t="shared" si="90"/>
        <v/>
      </c>
      <c r="E1876" s="18" t="str">
        <f t="shared" si="88"/>
        <v/>
      </c>
      <c r="F1876" s="17" t="str">
        <f t="shared" si="89"/>
        <v/>
      </c>
    </row>
    <row r="1877" spans="2:6" x14ac:dyDescent="0.2">
      <c r="B1877" s="12"/>
      <c r="C1877" s="12"/>
      <c r="D1877" s="17" t="str">
        <f t="shared" si="90"/>
        <v/>
      </c>
      <c r="E1877" s="18" t="str">
        <f t="shared" si="88"/>
        <v/>
      </c>
      <c r="F1877" s="17" t="str">
        <f t="shared" si="89"/>
        <v/>
      </c>
    </row>
    <row r="1878" spans="2:6" x14ac:dyDescent="0.2">
      <c r="B1878" s="12"/>
      <c r="C1878" s="12"/>
      <c r="D1878" s="17" t="str">
        <f t="shared" si="90"/>
        <v/>
      </c>
      <c r="E1878" s="18" t="str">
        <f t="shared" si="88"/>
        <v/>
      </c>
      <c r="F1878" s="17" t="str">
        <f t="shared" si="89"/>
        <v/>
      </c>
    </row>
    <row r="1879" spans="2:6" x14ac:dyDescent="0.2">
      <c r="B1879" s="12"/>
      <c r="C1879" s="12"/>
      <c r="D1879" s="17" t="str">
        <f t="shared" si="90"/>
        <v/>
      </c>
      <c r="E1879" s="18" t="str">
        <f t="shared" si="88"/>
        <v/>
      </c>
      <c r="F1879" s="17" t="str">
        <f t="shared" si="89"/>
        <v/>
      </c>
    </row>
    <row r="1880" spans="2:6" x14ac:dyDescent="0.2">
      <c r="B1880" s="12"/>
      <c r="C1880" s="12"/>
      <c r="D1880" s="17" t="str">
        <f t="shared" si="90"/>
        <v/>
      </c>
      <c r="E1880" s="18" t="str">
        <f t="shared" si="88"/>
        <v/>
      </c>
      <c r="F1880" s="17" t="str">
        <f t="shared" si="89"/>
        <v/>
      </c>
    </row>
    <row r="1881" spans="2:6" x14ac:dyDescent="0.2">
      <c r="B1881" s="12"/>
      <c r="C1881" s="12"/>
      <c r="D1881" s="17" t="str">
        <f t="shared" si="90"/>
        <v/>
      </c>
      <c r="E1881" s="18" t="str">
        <f t="shared" si="88"/>
        <v/>
      </c>
      <c r="F1881" s="17" t="str">
        <f t="shared" si="89"/>
        <v/>
      </c>
    </row>
    <row r="1882" spans="2:6" x14ac:dyDescent="0.2">
      <c r="B1882" s="12"/>
      <c r="C1882" s="12"/>
      <c r="D1882" s="17" t="str">
        <f t="shared" si="90"/>
        <v/>
      </c>
      <c r="E1882" s="18" t="str">
        <f t="shared" si="88"/>
        <v/>
      </c>
      <c r="F1882" s="17" t="str">
        <f t="shared" si="89"/>
        <v/>
      </c>
    </row>
    <row r="1883" spans="2:6" x14ac:dyDescent="0.2">
      <c r="B1883" s="12"/>
      <c r="C1883" s="12"/>
      <c r="D1883" s="17" t="str">
        <f t="shared" si="90"/>
        <v/>
      </c>
      <c r="E1883" s="18" t="str">
        <f t="shared" si="88"/>
        <v/>
      </c>
      <c r="F1883" s="17" t="str">
        <f t="shared" si="89"/>
        <v/>
      </c>
    </row>
    <row r="1884" spans="2:6" x14ac:dyDescent="0.2">
      <c r="B1884" s="12"/>
      <c r="C1884" s="12"/>
      <c r="D1884" s="17" t="str">
        <f t="shared" si="90"/>
        <v/>
      </c>
      <c r="E1884" s="18" t="str">
        <f t="shared" si="88"/>
        <v/>
      </c>
      <c r="F1884" s="17" t="str">
        <f t="shared" si="89"/>
        <v/>
      </c>
    </row>
    <row r="1885" spans="2:6" x14ac:dyDescent="0.2">
      <c r="B1885" s="12"/>
      <c r="C1885" s="12"/>
      <c r="D1885" s="17" t="str">
        <f t="shared" si="90"/>
        <v/>
      </c>
      <c r="E1885" s="18" t="str">
        <f t="shared" si="88"/>
        <v/>
      </c>
      <c r="F1885" s="17" t="str">
        <f t="shared" si="89"/>
        <v/>
      </c>
    </row>
    <row r="1886" spans="2:6" x14ac:dyDescent="0.2">
      <c r="B1886" s="12"/>
      <c r="C1886" s="12"/>
      <c r="D1886" s="17" t="str">
        <f t="shared" si="90"/>
        <v/>
      </c>
      <c r="E1886" s="18" t="str">
        <f t="shared" si="88"/>
        <v/>
      </c>
      <c r="F1886" s="17" t="str">
        <f t="shared" si="89"/>
        <v/>
      </c>
    </row>
    <row r="1887" spans="2:6" x14ac:dyDescent="0.2">
      <c r="B1887" s="12"/>
      <c r="C1887" s="12"/>
      <c r="D1887" s="17" t="str">
        <f t="shared" si="90"/>
        <v/>
      </c>
      <c r="E1887" s="18" t="str">
        <f t="shared" si="88"/>
        <v/>
      </c>
      <c r="F1887" s="17" t="str">
        <f t="shared" si="89"/>
        <v/>
      </c>
    </row>
    <row r="1888" spans="2:6" x14ac:dyDescent="0.2">
      <c r="B1888" s="12"/>
      <c r="C1888" s="12"/>
      <c r="D1888" s="17" t="str">
        <f t="shared" si="90"/>
        <v/>
      </c>
      <c r="E1888" s="18" t="str">
        <f t="shared" si="88"/>
        <v/>
      </c>
      <c r="F1888" s="17" t="str">
        <f t="shared" si="89"/>
        <v/>
      </c>
    </row>
    <row r="1889" spans="2:6" x14ac:dyDescent="0.2">
      <c r="B1889" s="12"/>
      <c r="C1889" s="12"/>
      <c r="D1889" s="17" t="str">
        <f t="shared" si="90"/>
        <v/>
      </c>
      <c r="E1889" s="18" t="str">
        <f t="shared" si="88"/>
        <v/>
      </c>
      <c r="F1889" s="17" t="str">
        <f t="shared" si="89"/>
        <v/>
      </c>
    </row>
    <row r="1890" spans="2:6" x14ac:dyDescent="0.2">
      <c r="B1890" s="12"/>
      <c r="C1890" s="12"/>
      <c r="D1890" s="17" t="str">
        <f t="shared" si="90"/>
        <v/>
      </c>
      <c r="E1890" s="18" t="str">
        <f t="shared" si="88"/>
        <v/>
      </c>
      <c r="F1890" s="17" t="str">
        <f t="shared" si="89"/>
        <v/>
      </c>
    </row>
    <row r="1891" spans="2:6" x14ac:dyDescent="0.2">
      <c r="B1891" s="12"/>
      <c r="C1891" s="12"/>
      <c r="D1891" s="17" t="str">
        <f t="shared" si="90"/>
        <v/>
      </c>
      <c r="E1891" s="18" t="str">
        <f t="shared" si="88"/>
        <v/>
      </c>
      <c r="F1891" s="17" t="str">
        <f t="shared" si="89"/>
        <v/>
      </c>
    </row>
    <row r="1892" spans="2:6" x14ac:dyDescent="0.2">
      <c r="B1892" s="12"/>
      <c r="C1892" s="12"/>
      <c r="D1892" s="17" t="str">
        <f t="shared" si="90"/>
        <v/>
      </c>
      <c r="E1892" s="18" t="str">
        <f t="shared" si="88"/>
        <v/>
      </c>
      <c r="F1892" s="17" t="str">
        <f t="shared" si="89"/>
        <v/>
      </c>
    </row>
    <row r="1893" spans="2:6" x14ac:dyDescent="0.2">
      <c r="B1893" s="12"/>
      <c r="C1893" s="12"/>
      <c r="D1893" s="17" t="str">
        <f t="shared" si="90"/>
        <v/>
      </c>
      <c r="E1893" s="18" t="str">
        <f t="shared" si="88"/>
        <v/>
      </c>
      <c r="F1893" s="17" t="str">
        <f t="shared" si="89"/>
        <v/>
      </c>
    </row>
    <row r="1894" spans="2:6" x14ac:dyDescent="0.2">
      <c r="B1894" s="12"/>
      <c r="C1894" s="12"/>
      <c r="D1894" s="17" t="str">
        <f t="shared" si="90"/>
        <v/>
      </c>
      <c r="E1894" s="18" t="str">
        <f t="shared" si="88"/>
        <v/>
      </c>
      <c r="F1894" s="17" t="str">
        <f t="shared" si="89"/>
        <v/>
      </c>
    </row>
    <row r="1895" spans="2:6" x14ac:dyDescent="0.2">
      <c r="B1895" s="12"/>
      <c r="C1895" s="12"/>
      <c r="D1895" s="17" t="str">
        <f t="shared" si="90"/>
        <v/>
      </c>
      <c r="E1895" s="18" t="str">
        <f t="shared" si="88"/>
        <v/>
      </c>
      <c r="F1895" s="17" t="str">
        <f t="shared" si="89"/>
        <v/>
      </c>
    </row>
    <row r="1896" spans="2:6" x14ac:dyDescent="0.2">
      <c r="B1896" s="12"/>
      <c r="C1896" s="12"/>
      <c r="D1896" s="17" t="str">
        <f t="shared" si="90"/>
        <v/>
      </c>
      <c r="E1896" s="18" t="str">
        <f t="shared" si="88"/>
        <v/>
      </c>
      <c r="F1896" s="17" t="str">
        <f t="shared" si="89"/>
        <v/>
      </c>
    </row>
    <row r="1897" spans="2:6" x14ac:dyDescent="0.2">
      <c r="B1897" s="12"/>
      <c r="C1897" s="12"/>
      <c r="D1897" s="17" t="str">
        <f t="shared" si="90"/>
        <v/>
      </c>
      <c r="E1897" s="18" t="str">
        <f t="shared" si="88"/>
        <v/>
      </c>
      <c r="F1897" s="17" t="str">
        <f t="shared" si="89"/>
        <v/>
      </c>
    </row>
    <row r="1898" spans="2:6" x14ac:dyDescent="0.2">
      <c r="B1898" s="12"/>
      <c r="C1898" s="12"/>
      <c r="D1898" s="17" t="str">
        <f t="shared" si="90"/>
        <v/>
      </c>
      <c r="E1898" s="18" t="str">
        <f t="shared" si="88"/>
        <v/>
      </c>
      <c r="F1898" s="17" t="str">
        <f t="shared" si="89"/>
        <v/>
      </c>
    </row>
    <row r="1899" spans="2:6" x14ac:dyDescent="0.2">
      <c r="B1899" s="12"/>
      <c r="C1899" s="12"/>
      <c r="D1899" s="17" t="str">
        <f t="shared" si="90"/>
        <v/>
      </c>
      <c r="E1899" s="18" t="str">
        <f t="shared" si="88"/>
        <v/>
      </c>
      <c r="F1899" s="17" t="str">
        <f t="shared" si="89"/>
        <v/>
      </c>
    </row>
    <row r="1900" spans="2:6" x14ac:dyDescent="0.2">
      <c r="B1900" s="12"/>
      <c r="C1900" s="12"/>
      <c r="D1900" s="17" t="str">
        <f t="shared" si="90"/>
        <v/>
      </c>
      <c r="E1900" s="18" t="str">
        <f t="shared" si="88"/>
        <v/>
      </c>
      <c r="F1900" s="17" t="str">
        <f t="shared" si="89"/>
        <v/>
      </c>
    </row>
    <row r="1901" spans="2:6" x14ac:dyDescent="0.2">
      <c r="B1901" s="12"/>
      <c r="C1901" s="12"/>
      <c r="D1901" s="17" t="str">
        <f t="shared" si="90"/>
        <v/>
      </c>
      <c r="E1901" s="18" t="str">
        <f t="shared" si="88"/>
        <v/>
      </c>
      <c r="F1901" s="17" t="str">
        <f t="shared" si="89"/>
        <v/>
      </c>
    </row>
    <row r="1902" spans="2:6" x14ac:dyDescent="0.2">
      <c r="B1902" s="12"/>
      <c r="C1902" s="12"/>
      <c r="D1902" s="17" t="str">
        <f t="shared" si="90"/>
        <v/>
      </c>
      <c r="E1902" s="18" t="str">
        <f t="shared" si="88"/>
        <v/>
      </c>
      <c r="F1902" s="17" t="str">
        <f t="shared" si="89"/>
        <v/>
      </c>
    </row>
    <row r="1903" spans="2:6" x14ac:dyDescent="0.2">
      <c r="B1903" s="12"/>
      <c r="C1903" s="12"/>
      <c r="D1903" s="17" t="str">
        <f t="shared" si="90"/>
        <v/>
      </c>
      <c r="E1903" s="18" t="str">
        <f t="shared" si="88"/>
        <v/>
      </c>
      <c r="F1903" s="17" t="str">
        <f t="shared" si="89"/>
        <v/>
      </c>
    </row>
    <row r="1904" spans="2:6" x14ac:dyDescent="0.2">
      <c r="B1904" s="12"/>
      <c r="C1904" s="12"/>
      <c r="D1904" s="17" t="str">
        <f t="shared" si="90"/>
        <v/>
      </c>
      <c r="E1904" s="18" t="str">
        <f t="shared" si="88"/>
        <v/>
      </c>
      <c r="F1904" s="17" t="str">
        <f t="shared" si="89"/>
        <v/>
      </c>
    </row>
    <row r="1905" spans="2:6" x14ac:dyDescent="0.2">
      <c r="B1905" s="12"/>
      <c r="C1905" s="12"/>
      <c r="D1905" s="17" t="str">
        <f t="shared" si="90"/>
        <v/>
      </c>
      <c r="E1905" s="18" t="str">
        <f t="shared" si="88"/>
        <v/>
      </c>
      <c r="F1905" s="17" t="str">
        <f t="shared" si="89"/>
        <v/>
      </c>
    </row>
    <row r="1906" spans="2:6" x14ac:dyDescent="0.2">
      <c r="B1906" s="12"/>
      <c r="C1906" s="12"/>
      <c r="D1906" s="17" t="str">
        <f t="shared" si="90"/>
        <v/>
      </c>
      <c r="E1906" s="18" t="str">
        <f t="shared" si="88"/>
        <v/>
      </c>
      <c r="F1906" s="17" t="str">
        <f t="shared" si="89"/>
        <v/>
      </c>
    </row>
    <row r="1907" spans="2:6" x14ac:dyDescent="0.2">
      <c r="B1907" s="12"/>
      <c r="C1907" s="12"/>
      <c r="D1907" s="17" t="str">
        <f t="shared" si="90"/>
        <v/>
      </c>
      <c r="E1907" s="18" t="str">
        <f t="shared" si="88"/>
        <v/>
      </c>
      <c r="F1907" s="17" t="str">
        <f t="shared" si="89"/>
        <v/>
      </c>
    </row>
    <row r="1908" spans="2:6" x14ac:dyDescent="0.2">
      <c r="B1908" s="12"/>
      <c r="C1908" s="12"/>
      <c r="D1908" s="17" t="str">
        <f t="shared" si="90"/>
        <v/>
      </c>
      <c r="E1908" s="18" t="str">
        <f t="shared" si="88"/>
        <v/>
      </c>
      <c r="F1908" s="17" t="str">
        <f t="shared" si="89"/>
        <v/>
      </c>
    </row>
    <row r="1909" spans="2:6" x14ac:dyDescent="0.2">
      <c r="B1909" s="12"/>
      <c r="C1909" s="12"/>
      <c r="D1909" s="17" t="str">
        <f t="shared" si="90"/>
        <v/>
      </c>
      <c r="E1909" s="18" t="str">
        <f t="shared" si="88"/>
        <v/>
      </c>
      <c r="F1909" s="17" t="str">
        <f t="shared" si="89"/>
        <v/>
      </c>
    </row>
    <row r="1910" spans="2:6" x14ac:dyDescent="0.2">
      <c r="B1910" s="12"/>
      <c r="C1910" s="12"/>
      <c r="D1910" s="17" t="str">
        <f t="shared" si="90"/>
        <v/>
      </c>
      <c r="E1910" s="18" t="str">
        <f t="shared" si="88"/>
        <v/>
      </c>
      <c r="F1910" s="17" t="str">
        <f t="shared" si="89"/>
        <v/>
      </c>
    </row>
    <row r="1911" spans="2:6" x14ac:dyDescent="0.2">
      <c r="B1911" s="12"/>
      <c r="C1911" s="12"/>
      <c r="D1911" s="17" t="str">
        <f t="shared" si="90"/>
        <v/>
      </c>
      <c r="E1911" s="18" t="str">
        <f t="shared" si="88"/>
        <v/>
      </c>
      <c r="F1911" s="17" t="str">
        <f t="shared" si="89"/>
        <v/>
      </c>
    </row>
    <row r="1912" spans="2:6" x14ac:dyDescent="0.2">
      <c r="B1912" s="12"/>
      <c r="C1912" s="12"/>
      <c r="D1912" s="17" t="str">
        <f t="shared" si="90"/>
        <v/>
      </c>
      <c r="E1912" s="18" t="str">
        <f t="shared" si="88"/>
        <v/>
      </c>
      <c r="F1912" s="17" t="str">
        <f t="shared" si="89"/>
        <v/>
      </c>
    </row>
    <row r="1913" spans="2:6" x14ac:dyDescent="0.2">
      <c r="B1913" s="12"/>
      <c r="C1913" s="12"/>
      <c r="D1913" s="17" t="str">
        <f t="shared" si="90"/>
        <v/>
      </c>
      <c r="E1913" s="18" t="str">
        <f t="shared" si="88"/>
        <v/>
      </c>
      <c r="F1913" s="17" t="str">
        <f t="shared" si="89"/>
        <v/>
      </c>
    </row>
    <row r="1914" spans="2:6" x14ac:dyDescent="0.2">
      <c r="B1914" s="12"/>
      <c r="C1914" s="12"/>
      <c r="D1914" s="17" t="str">
        <f t="shared" si="90"/>
        <v/>
      </c>
      <c r="E1914" s="18" t="str">
        <f t="shared" si="88"/>
        <v/>
      </c>
      <c r="F1914" s="17" t="str">
        <f t="shared" si="89"/>
        <v/>
      </c>
    </row>
    <row r="1915" spans="2:6" x14ac:dyDescent="0.2">
      <c r="B1915" s="12"/>
      <c r="C1915" s="12"/>
      <c r="D1915" s="17" t="str">
        <f t="shared" si="90"/>
        <v/>
      </c>
      <c r="E1915" s="18" t="str">
        <f t="shared" si="88"/>
        <v/>
      </c>
      <c r="F1915" s="17" t="str">
        <f t="shared" si="89"/>
        <v/>
      </c>
    </row>
    <row r="1916" spans="2:6" x14ac:dyDescent="0.2">
      <c r="B1916" s="12"/>
      <c r="C1916" s="12"/>
      <c r="D1916" s="17" t="str">
        <f t="shared" si="90"/>
        <v/>
      </c>
      <c r="E1916" s="18" t="str">
        <f t="shared" si="88"/>
        <v/>
      </c>
      <c r="F1916" s="17" t="str">
        <f t="shared" si="89"/>
        <v/>
      </c>
    </row>
    <row r="1917" spans="2:6" x14ac:dyDescent="0.2">
      <c r="B1917" s="12"/>
      <c r="C1917" s="12"/>
      <c r="D1917" s="17" t="str">
        <f t="shared" si="90"/>
        <v/>
      </c>
      <c r="E1917" s="18" t="str">
        <f t="shared" si="88"/>
        <v/>
      </c>
      <c r="F1917" s="17" t="str">
        <f t="shared" si="89"/>
        <v/>
      </c>
    </row>
    <row r="1918" spans="2:6" x14ac:dyDescent="0.2">
      <c r="B1918" s="12"/>
      <c r="C1918" s="12"/>
      <c r="D1918" s="17" t="str">
        <f t="shared" si="90"/>
        <v/>
      </c>
      <c r="E1918" s="18" t="str">
        <f t="shared" si="88"/>
        <v/>
      </c>
      <c r="F1918" s="17" t="str">
        <f t="shared" si="89"/>
        <v/>
      </c>
    </row>
    <row r="1919" spans="2:6" x14ac:dyDescent="0.2">
      <c r="B1919" s="12"/>
      <c r="C1919" s="12"/>
      <c r="D1919" s="17" t="str">
        <f t="shared" si="90"/>
        <v/>
      </c>
      <c r="E1919" s="18" t="str">
        <f t="shared" si="88"/>
        <v/>
      </c>
      <c r="F1919" s="17" t="str">
        <f t="shared" si="89"/>
        <v/>
      </c>
    </row>
    <row r="1920" spans="2:6" x14ac:dyDescent="0.2">
      <c r="B1920" s="12"/>
      <c r="C1920" s="12"/>
      <c r="D1920" s="17" t="str">
        <f t="shared" si="90"/>
        <v/>
      </c>
      <c r="E1920" s="18" t="str">
        <f t="shared" si="88"/>
        <v/>
      </c>
      <c r="F1920" s="17" t="str">
        <f t="shared" si="89"/>
        <v/>
      </c>
    </row>
    <row r="1921" spans="2:6" x14ac:dyDescent="0.2">
      <c r="B1921" s="12"/>
      <c r="C1921" s="12"/>
      <c r="D1921" s="17" t="str">
        <f t="shared" si="90"/>
        <v/>
      </c>
      <c r="E1921" s="18" t="str">
        <f t="shared" si="88"/>
        <v/>
      </c>
      <c r="F1921" s="17" t="str">
        <f t="shared" si="89"/>
        <v/>
      </c>
    </row>
    <row r="1922" spans="2:6" x14ac:dyDescent="0.2">
      <c r="B1922" s="12"/>
      <c r="C1922" s="12"/>
      <c r="D1922" s="17" t="str">
        <f t="shared" si="90"/>
        <v/>
      </c>
      <c r="E1922" s="18" t="str">
        <f t="shared" si="88"/>
        <v/>
      </c>
      <c r="F1922" s="17" t="str">
        <f t="shared" si="89"/>
        <v/>
      </c>
    </row>
    <row r="1923" spans="2:6" x14ac:dyDescent="0.2">
      <c r="B1923" s="12"/>
      <c r="C1923" s="12"/>
      <c r="D1923" s="17" t="str">
        <f t="shared" si="90"/>
        <v/>
      </c>
      <c r="E1923" s="18" t="str">
        <f t="shared" si="88"/>
        <v/>
      </c>
      <c r="F1923" s="17" t="str">
        <f t="shared" si="89"/>
        <v/>
      </c>
    </row>
    <row r="1924" spans="2:6" x14ac:dyDescent="0.2">
      <c r="B1924" s="12"/>
      <c r="C1924" s="12"/>
      <c r="D1924" s="17" t="str">
        <f t="shared" si="90"/>
        <v/>
      </c>
      <c r="E1924" s="18" t="str">
        <f t="shared" si="88"/>
        <v/>
      </c>
      <c r="F1924" s="17" t="str">
        <f t="shared" si="89"/>
        <v/>
      </c>
    </row>
    <row r="1925" spans="2:6" x14ac:dyDescent="0.2">
      <c r="B1925" s="12"/>
      <c r="C1925" s="12"/>
      <c r="D1925" s="17" t="str">
        <f t="shared" si="90"/>
        <v/>
      </c>
      <c r="E1925" s="18" t="str">
        <f t="shared" ref="E1925:E1988" si="91">IF(B1925="","",ABS(C1925-D1925))</f>
        <v/>
      </c>
      <c r="F1925" s="17" t="str">
        <f t="shared" ref="F1925:F1988" si="92">IF(B1925="","",E1925^2)</f>
        <v/>
      </c>
    </row>
    <row r="1926" spans="2:6" x14ac:dyDescent="0.2">
      <c r="B1926" s="12"/>
      <c r="C1926" s="12"/>
      <c r="D1926" s="17" t="str">
        <f t="shared" si="90"/>
        <v/>
      </c>
      <c r="E1926" s="18" t="str">
        <f t="shared" si="91"/>
        <v/>
      </c>
      <c r="F1926" s="17" t="str">
        <f t="shared" si="92"/>
        <v/>
      </c>
    </row>
    <row r="1927" spans="2:6" x14ac:dyDescent="0.2">
      <c r="B1927" s="12"/>
      <c r="C1927" s="12"/>
      <c r="D1927" s="17" t="str">
        <f t="shared" si="90"/>
        <v/>
      </c>
      <c r="E1927" s="18" t="str">
        <f t="shared" si="91"/>
        <v/>
      </c>
      <c r="F1927" s="17" t="str">
        <f t="shared" si="92"/>
        <v/>
      </c>
    </row>
    <row r="1928" spans="2:6" x14ac:dyDescent="0.2">
      <c r="B1928" s="12"/>
      <c r="C1928" s="12"/>
      <c r="D1928" s="17" t="str">
        <f t="shared" si="90"/>
        <v/>
      </c>
      <c r="E1928" s="18" t="str">
        <f t="shared" si="91"/>
        <v/>
      </c>
      <c r="F1928" s="17" t="str">
        <f t="shared" si="92"/>
        <v/>
      </c>
    </row>
    <row r="1929" spans="2:6" x14ac:dyDescent="0.2">
      <c r="B1929" s="12"/>
      <c r="C1929" s="12"/>
      <c r="D1929" s="17" t="str">
        <f t="shared" si="90"/>
        <v/>
      </c>
      <c r="E1929" s="18" t="str">
        <f t="shared" si="91"/>
        <v/>
      </c>
      <c r="F1929" s="17" t="str">
        <f t="shared" si="92"/>
        <v/>
      </c>
    </row>
    <row r="1930" spans="2:6" x14ac:dyDescent="0.2">
      <c r="B1930" s="12"/>
      <c r="C1930" s="12"/>
      <c r="D1930" s="17" t="str">
        <f t="shared" si="90"/>
        <v/>
      </c>
      <c r="E1930" s="18" t="str">
        <f t="shared" si="91"/>
        <v/>
      </c>
      <c r="F1930" s="17" t="str">
        <f t="shared" si="92"/>
        <v/>
      </c>
    </row>
    <row r="1931" spans="2:6" x14ac:dyDescent="0.2">
      <c r="B1931" s="12"/>
      <c r="C1931" s="12"/>
      <c r="D1931" s="17" t="str">
        <f t="shared" si="90"/>
        <v/>
      </c>
      <c r="E1931" s="18" t="str">
        <f t="shared" si="91"/>
        <v/>
      </c>
      <c r="F1931" s="17" t="str">
        <f t="shared" si="92"/>
        <v/>
      </c>
    </row>
    <row r="1932" spans="2:6" x14ac:dyDescent="0.2">
      <c r="B1932" s="12"/>
      <c r="C1932" s="12"/>
      <c r="D1932" s="17" t="str">
        <f t="shared" si="90"/>
        <v/>
      </c>
      <c r="E1932" s="18" t="str">
        <f t="shared" si="91"/>
        <v/>
      </c>
      <c r="F1932" s="17" t="str">
        <f t="shared" si="92"/>
        <v/>
      </c>
    </row>
    <row r="1933" spans="2:6" x14ac:dyDescent="0.2">
      <c r="B1933" s="12"/>
      <c r="C1933" s="12"/>
      <c r="D1933" s="17" t="str">
        <f t="shared" si="90"/>
        <v/>
      </c>
      <c r="E1933" s="18" t="str">
        <f t="shared" si="91"/>
        <v/>
      </c>
      <c r="F1933" s="17" t="str">
        <f t="shared" si="92"/>
        <v/>
      </c>
    </row>
    <row r="1934" spans="2:6" x14ac:dyDescent="0.2">
      <c r="B1934" s="12"/>
      <c r="C1934" s="12"/>
      <c r="D1934" s="17" t="str">
        <f t="shared" si="90"/>
        <v/>
      </c>
      <c r="E1934" s="18" t="str">
        <f t="shared" si="91"/>
        <v/>
      </c>
      <c r="F1934" s="17" t="str">
        <f t="shared" si="92"/>
        <v/>
      </c>
    </row>
    <row r="1935" spans="2:6" x14ac:dyDescent="0.2">
      <c r="B1935" s="12"/>
      <c r="C1935" s="12"/>
      <c r="D1935" s="17" t="str">
        <f t="shared" si="90"/>
        <v/>
      </c>
      <c r="E1935" s="18" t="str">
        <f t="shared" si="91"/>
        <v/>
      </c>
      <c r="F1935" s="17" t="str">
        <f t="shared" si="92"/>
        <v/>
      </c>
    </row>
    <row r="1936" spans="2:6" x14ac:dyDescent="0.2">
      <c r="B1936" s="12"/>
      <c r="C1936" s="12"/>
      <c r="D1936" s="17" t="str">
        <f t="shared" si="90"/>
        <v/>
      </c>
      <c r="E1936" s="18" t="str">
        <f t="shared" si="91"/>
        <v/>
      </c>
      <c r="F1936" s="17" t="str">
        <f t="shared" si="92"/>
        <v/>
      </c>
    </row>
    <row r="1937" spans="2:6" x14ac:dyDescent="0.2">
      <c r="B1937" s="12"/>
      <c r="C1937" s="12"/>
      <c r="D1937" s="17" t="str">
        <f t="shared" si="90"/>
        <v/>
      </c>
      <c r="E1937" s="18" t="str">
        <f t="shared" si="91"/>
        <v/>
      </c>
      <c r="F1937" s="17" t="str">
        <f t="shared" si="92"/>
        <v/>
      </c>
    </row>
    <row r="1938" spans="2:6" x14ac:dyDescent="0.2">
      <c r="B1938" s="12"/>
      <c r="C1938" s="12"/>
      <c r="D1938" s="17" t="str">
        <f t="shared" ref="D1938:D2001" si="93">IF(B1938="","",a+b*B1938)</f>
        <v/>
      </c>
      <c r="E1938" s="18" t="str">
        <f t="shared" si="91"/>
        <v/>
      </c>
      <c r="F1938" s="17" t="str">
        <f t="shared" si="92"/>
        <v/>
      </c>
    </row>
    <row r="1939" spans="2:6" x14ac:dyDescent="0.2">
      <c r="B1939" s="12"/>
      <c r="C1939" s="12"/>
      <c r="D1939" s="17" t="str">
        <f t="shared" si="93"/>
        <v/>
      </c>
      <c r="E1939" s="18" t="str">
        <f t="shared" si="91"/>
        <v/>
      </c>
      <c r="F1939" s="17" t="str">
        <f t="shared" si="92"/>
        <v/>
      </c>
    </row>
    <row r="1940" spans="2:6" x14ac:dyDescent="0.2">
      <c r="B1940" s="12"/>
      <c r="C1940" s="12"/>
      <c r="D1940" s="17" t="str">
        <f t="shared" si="93"/>
        <v/>
      </c>
      <c r="E1940" s="18" t="str">
        <f t="shared" si="91"/>
        <v/>
      </c>
      <c r="F1940" s="17" t="str">
        <f t="shared" si="92"/>
        <v/>
      </c>
    </row>
    <row r="1941" spans="2:6" x14ac:dyDescent="0.2">
      <c r="B1941" s="12"/>
      <c r="C1941" s="12"/>
      <c r="D1941" s="17" t="str">
        <f t="shared" si="93"/>
        <v/>
      </c>
      <c r="E1941" s="18" t="str">
        <f t="shared" si="91"/>
        <v/>
      </c>
      <c r="F1941" s="17" t="str">
        <f t="shared" si="92"/>
        <v/>
      </c>
    </row>
    <row r="1942" spans="2:6" x14ac:dyDescent="0.2">
      <c r="B1942" s="12"/>
      <c r="C1942" s="12"/>
      <c r="D1942" s="17" t="str">
        <f t="shared" si="93"/>
        <v/>
      </c>
      <c r="E1942" s="18" t="str">
        <f t="shared" si="91"/>
        <v/>
      </c>
      <c r="F1942" s="17" t="str">
        <f t="shared" si="92"/>
        <v/>
      </c>
    </row>
    <row r="1943" spans="2:6" x14ac:dyDescent="0.2">
      <c r="B1943" s="12"/>
      <c r="C1943" s="12"/>
      <c r="D1943" s="17" t="str">
        <f t="shared" si="93"/>
        <v/>
      </c>
      <c r="E1943" s="18" t="str">
        <f t="shared" si="91"/>
        <v/>
      </c>
      <c r="F1943" s="17" t="str">
        <f t="shared" si="92"/>
        <v/>
      </c>
    </row>
    <row r="1944" spans="2:6" x14ac:dyDescent="0.2">
      <c r="B1944" s="12"/>
      <c r="C1944" s="12"/>
      <c r="D1944" s="17" t="str">
        <f t="shared" si="93"/>
        <v/>
      </c>
      <c r="E1944" s="18" t="str">
        <f t="shared" si="91"/>
        <v/>
      </c>
      <c r="F1944" s="17" t="str">
        <f t="shared" si="92"/>
        <v/>
      </c>
    </row>
    <row r="1945" spans="2:6" x14ac:dyDescent="0.2">
      <c r="B1945" s="12"/>
      <c r="C1945" s="12"/>
      <c r="D1945" s="17" t="str">
        <f t="shared" si="93"/>
        <v/>
      </c>
      <c r="E1945" s="18" t="str">
        <f t="shared" si="91"/>
        <v/>
      </c>
      <c r="F1945" s="17" t="str">
        <f t="shared" si="92"/>
        <v/>
      </c>
    </row>
    <row r="1946" spans="2:6" x14ac:dyDescent="0.2">
      <c r="B1946" s="12"/>
      <c r="C1946" s="12"/>
      <c r="D1946" s="17" t="str">
        <f t="shared" si="93"/>
        <v/>
      </c>
      <c r="E1946" s="18" t="str">
        <f t="shared" si="91"/>
        <v/>
      </c>
      <c r="F1946" s="17" t="str">
        <f t="shared" si="92"/>
        <v/>
      </c>
    </row>
    <row r="1947" spans="2:6" x14ac:dyDescent="0.2">
      <c r="B1947" s="12"/>
      <c r="C1947" s="12"/>
      <c r="D1947" s="17" t="str">
        <f t="shared" si="93"/>
        <v/>
      </c>
      <c r="E1947" s="18" t="str">
        <f t="shared" si="91"/>
        <v/>
      </c>
      <c r="F1947" s="17" t="str">
        <f t="shared" si="92"/>
        <v/>
      </c>
    </row>
    <row r="1948" spans="2:6" x14ac:dyDescent="0.2">
      <c r="B1948" s="12"/>
      <c r="C1948" s="12"/>
      <c r="D1948" s="17" t="str">
        <f t="shared" si="93"/>
        <v/>
      </c>
      <c r="E1948" s="18" t="str">
        <f t="shared" si="91"/>
        <v/>
      </c>
      <c r="F1948" s="17" t="str">
        <f t="shared" si="92"/>
        <v/>
      </c>
    </row>
    <row r="1949" spans="2:6" x14ac:dyDescent="0.2">
      <c r="B1949" s="12"/>
      <c r="C1949" s="12"/>
      <c r="D1949" s="17" t="str">
        <f t="shared" si="93"/>
        <v/>
      </c>
      <c r="E1949" s="18" t="str">
        <f t="shared" si="91"/>
        <v/>
      </c>
      <c r="F1949" s="17" t="str">
        <f t="shared" si="92"/>
        <v/>
      </c>
    </row>
    <row r="1950" spans="2:6" x14ac:dyDescent="0.2">
      <c r="B1950" s="12"/>
      <c r="C1950" s="12"/>
      <c r="D1950" s="17" t="str">
        <f t="shared" si="93"/>
        <v/>
      </c>
      <c r="E1950" s="18" t="str">
        <f t="shared" si="91"/>
        <v/>
      </c>
      <c r="F1950" s="17" t="str">
        <f t="shared" si="92"/>
        <v/>
      </c>
    </row>
    <row r="1951" spans="2:6" x14ac:dyDescent="0.2">
      <c r="B1951" s="12"/>
      <c r="C1951" s="12"/>
      <c r="D1951" s="17" t="str">
        <f t="shared" si="93"/>
        <v/>
      </c>
      <c r="E1951" s="18" t="str">
        <f t="shared" si="91"/>
        <v/>
      </c>
      <c r="F1951" s="17" t="str">
        <f t="shared" si="92"/>
        <v/>
      </c>
    </row>
    <row r="1952" spans="2:6" x14ac:dyDescent="0.2">
      <c r="B1952" s="12"/>
      <c r="C1952" s="12"/>
      <c r="D1952" s="17" t="str">
        <f t="shared" si="93"/>
        <v/>
      </c>
      <c r="E1952" s="18" t="str">
        <f t="shared" si="91"/>
        <v/>
      </c>
      <c r="F1952" s="17" t="str">
        <f t="shared" si="92"/>
        <v/>
      </c>
    </row>
    <row r="1953" spans="2:6" x14ac:dyDescent="0.2">
      <c r="B1953" s="12"/>
      <c r="C1953" s="12"/>
      <c r="D1953" s="17" t="str">
        <f t="shared" si="93"/>
        <v/>
      </c>
      <c r="E1953" s="18" t="str">
        <f t="shared" si="91"/>
        <v/>
      </c>
      <c r="F1953" s="17" t="str">
        <f t="shared" si="92"/>
        <v/>
      </c>
    </row>
    <row r="1954" spans="2:6" x14ac:dyDescent="0.2">
      <c r="B1954" s="12"/>
      <c r="C1954" s="12"/>
      <c r="D1954" s="17" t="str">
        <f t="shared" si="93"/>
        <v/>
      </c>
      <c r="E1954" s="18" t="str">
        <f t="shared" si="91"/>
        <v/>
      </c>
      <c r="F1954" s="17" t="str">
        <f t="shared" si="92"/>
        <v/>
      </c>
    </row>
    <row r="1955" spans="2:6" x14ac:dyDescent="0.2">
      <c r="B1955" s="12"/>
      <c r="C1955" s="12"/>
      <c r="D1955" s="17" t="str">
        <f t="shared" si="93"/>
        <v/>
      </c>
      <c r="E1955" s="18" t="str">
        <f t="shared" si="91"/>
        <v/>
      </c>
      <c r="F1955" s="17" t="str">
        <f t="shared" si="92"/>
        <v/>
      </c>
    </row>
    <row r="1956" spans="2:6" x14ac:dyDescent="0.2">
      <c r="B1956" s="12"/>
      <c r="C1956" s="12"/>
      <c r="D1956" s="17" t="str">
        <f t="shared" si="93"/>
        <v/>
      </c>
      <c r="E1956" s="18" t="str">
        <f t="shared" si="91"/>
        <v/>
      </c>
      <c r="F1956" s="17" t="str">
        <f t="shared" si="92"/>
        <v/>
      </c>
    </row>
    <row r="1957" spans="2:6" x14ac:dyDescent="0.2">
      <c r="B1957" s="12"/>
      <c r="C1957" s="12"/>
      <c r="D1957" s="17" t="str">
        <f t="shared" si="93"/>
        <v/>
      </c>
      <c r="E1957" s="18" t="str">
        <f t="shared" si="91"/>
        <v/>
      </c>
      <c r="F1957" s="17" t="str">
        <f t="shared" si="92"/>
        <v/>
      </c>
    </row>
    <row r="1958" spans="2:6" x14ac:dyDescent="0.2">
      <c r="B1958" s="12"/>
      <c r="C1958" s="12"/>
      <c r="D1958" s="17" t="str">
        <f t="shared" si="93"/>
        <v/>
      </c>
      <c r="E1958" s="18" t="str">
        <f t="shared" si="91"/>
        <v/>
      </c>
      <c r="F1958" s="17" t="str">
        <f t="shared" si="92"/>
        <v/>
      </c>
    </row>
    <row r="1959" spans="2:6" x14ac:dyDescent="0.2">
      <c r="B1959" s="12"/>
      <c r="C1959" s="12"/>
      <c r="D1959" s="17" t="str">
        <f t="shared" si="93"/>
        <v/>
      </c>
      <c r="E1959" s="18" t="str">
        <f t="shared" si="91"/>
        <v/>
      </c>
      <c r="F1959" s="17" t="str">
        <f t="shared" si="92"/>
        <v/>
      </c>
    </row>
    <row r="1960" spans="2:6" x14ac:dyDescent="0.2">
      <c r="B1960" s="12"/>
      <c r="C1960" s="12"/>
      <c r="D1960" s="17" t="str">
        <f t="shared" si="93"/>
        <v/>
      </c>
      <c r="E1960" s="18" t="str">
        <f t="shared" si="91"/>
        <v/>
      </c>
      <c r="F1960" s="17" t="str">
        <f t="shared" si="92"/>
        <v/>
      </c>
    </row>
    <row r="1961" spans="2:6" x14ac:dyDescent="0.2">
      <c r="B1961" s="12"/>
      <c r="C1961" s="12"/>
      <c r="D1961" s="17" t="str">
        <f t="shared" si="93"/>
        <v/>
      </c>
      <c r="E1961" s="18" t="str">
        <f t="shared" si="91"/>
        <v/>
      </c>
      <c r="F1961" s="17" t="str">
        <f t="shared" si="92"/>
        <v/>
      </c>
    </row>
    <row r="1962" spans="2:6" x14ac:dyDescent="0.2">
      <c r="B1962" s="12"/>
      <c r="C1962" s="12"/>
      <c r="D1962" s="17" t="str">
        <f t="shared" si="93"/>
        <v/>
      </c>
      <c r="E1962" s="18" t="str">
        <f t="shared" si="91"/>
        <v/>
      </c>
      <c r="F1962" s="17" t="str">
        <f t="shared" si="92"/>
        <v/>
      </c>
    </row>
    <row r="1963" spans="2:6" x14ac:dyDescent="0.2">
      <c r="B1963" s="12"/>
      <c r="C1963" s="12"/>
      <c r="D1963" s="17" t="str">
        <f t="shared" si="93"/>
        <v/>
      </c>
      <c r="E1963" s="18" t="str">
        <f t="shared" si="91"/>
        <v/>
      </c>
      <c r="F1963" s="17" t="str">
        <f t="shared" si="92"/>
        <v/>
      </c>
    </row>
    <row r="1964" spans="2:6" x14ac:dyDescent="0.2">
      <c r="B1964" s="12"/>
      <c r="C1964" s="12"/>
      <c r="D1964" s="17" t="str">
        <f t="shared" si="93"/>
        <v/>
      </c>
      <c r="E1964" s="18" t="str">
        <f t="shared" si="91"/>
        <v/>
      </c>
      <c r="F1964" s="17" t="str">
        <f t="shared" si="92"/>
        <v/>
      </c>
    </row>
    <row r="1965" spans="2:6" x14ac:dyDescent="0.2">
      <c r="B1965" s="12"/>
      <c r="C1965" s="12"/>
      <c r="D1965" s="17" t="str">
        <f t="shared" si="93"/>
        <v/>
      </c>
      <c r="E1965" s="18" t="str">
        <f t="shared" si="91"/>
        <v/>
      </c>
      <c r="F1965" s="17" t="str">
        <f t="shared" si="92"/>
        <v/>
      </c>
    </row>
    <row r="1966" spans="2:6" x14ac:dyDescent="0.2">
      <c r="B1966" s="12"/>
      <c r="C1966" s="12"/>
      <c r="D1966" s="17" t="str">
        <f t="shared" si="93"/>
        <v/>
      </c>
      <c r="E1966" s="18" t="str">
        <f t="shared" si="91"/>
        <v/>
      </c>
      <c r="F1966" s="17" t="str">
        <f t="shared" si="92"/>
        <v/>
      </c>
    </row>
    <row r="1967" spans="2:6" x14ac:dyDescent="0.2">
      <c r="B1967" s="12"/>
      <c r="C1967" s="12"/>
      <c r="D1967" s="17" t="str">
        <f t="shared" si="93"/>
        <v/>
      </c>
      <c r="E1967" s="18" t="str">
        <f t="shared" si="91"/>
        <v/>
      </c>
      <c r="F1967" s="17" t="str">
        <f t="shared" si="92"/>
        <v/>
      </c>
    </row>
    <row r="1968" spans="2:6" x14ac:dyDescent="0.2">
      <c r="B1968" s="12"/>
      <c r="C1968" s="12"/>
      <c r="D1968" s="17" t="str">
        <f t="shared" si="93"/>
        <v/>
      </c>
      <c r="E1968" s="18" t="str">
        <f t="shared" si="91"/>
        <v/>
      </c>
      <c r="F1968" s="17" t="str">
        <f t="shared" si="92"/>
        <v/>
      </c>
    </row>
    <row r="1969" spans="2:6" x14ac:dyDescent="0.2">
      <c r="B1969" s="12"/>
      <c r="C1969" s="12"/>
      <c r="D1969" s="17" t="str">
        <f t="shared" si="93"/>
        <v/>
      </c>
      <c r="E1969" s="18" t="str">
        <f t="shared" si="91"/>
        <v/>
      </c>
      <c r="F1969" s="17" t="str">
        <f t="shared" si="92"/>
        <v/>
      </c>
    </row>
    <row r="1970" spans="2:6" x14ac:dyDescent="0.2">
      <c r="B1970" s="12"/>
      <c r="C1970" s="12"/>
      <c r="D1970" s="17" t="str">
        <f t="shared" si="93"/>
        <v/>
      </c>
      <c r="E1970" s="18" t="str">
        <f t="shared" si="91"/>
        <v/>
      </c>
      <c r="F1970" s="17" t="str">
        <f t="shared" si="92"/>
        <v/>
      </c>
    </row>
    <row r="1971" spans="2:6" x14ac:dyDescent="0.2">
      <c r="B1971" s="12"/>
      <c r="C1971" s="12"/>
      <c r="D1971" s="17" t="str">
        <f t="shared" si="93"/>
        <v/>
      </c>
      <c r="E1971" s="18" t="str">
        <f t="shared" si="91"/>
        <v/>
      </c>
      <c r="F1971" s="17" t="str">
        <f t="shared" si="92"/>
        <v/>
      </c>
    </row>
    <row r="1972" spans="2:6" x14ac:dyDescent="0.2">
      <c r="B1972" s="12"/>
      <c r="C1972" s="12"/>
      <c r="D1972" s="17" t="str">
        <f t="shared" si="93"/>
        <v/>
      </c>
      <c r="E1972" s="18" t="str">
        <f t="shared" si="91"/>
        <v/>
      </c>
      <c r="F1972" s="17" t="str">
        <f t="shared" si="92"/>
        <v/>
      </c>
    </row>
    <row r="1973" spans="2:6" x14ac:dyDescent="0.2">
      <c r="B1973" s="12"/>
      <c r="C1973" s="12"/>
      <c r="D1973" s="17" t="str">
        <f t="shared" si="93"/>
        <v/>
      </c>
      <c r="E1973" s="18" t="str">
        <f t="shared" si="91"/>
        <v/>
      </c>
      <c r="F1973" s="17" t="str">
        <f t="shared" si="92"/>
        <v/>
      </c>
    </row>
    <row r="1974" spans="2:6" x14ac:dyDescent="0.2">
      <c r="B1974" s="12"/>
      <c r="C1974" s="12"/>
      <c r="D1974" s="17" t="str">
        <f t="shared" si="93"/>
        <v/>
      </c>
      <c r="E1974" s="18" t="str">
        <f t="shared" si="91"/>
        <v/>
      </c>
      <c r="F1974" s="17" t="str">
        <f t="shared" si="92"/>
        <v/>
      </c>
    </row>
    <row r="1975" spans="2:6" x14ac:dyDescent="0.2">
      <c r="B1975" s="12"/>
      <c r="C1975" s="12"/>
      <c r="D1975" s="17" t="str">
        <f t="shared" si="93"/>
        <v/>
      </c>
      <c r="E1975" s="18" t="str">
        <f t="shared" si="91"/>
        <v/>
      </c>
      <c r="F1975" s="17" t="str">
        <f t="shared" si="92"/>
        <v/>
      </c>
    </row>
    <row r="1976" spans="2:6" x14ac:dyDescent="0.2">
      <c r="B1976" s="12"/>
      <c r="C1976" s="12"/>
      <c r="D1976" s="17" t="str">
        <f t="shared" si="93"/>
        <v/>
      </c>
      <c r="E1976" s="18" t="str">
        <f t="shared" si="91"/>
        <v/>
      </c>
      <c r="F1976" s="17" t="str">
        <f t="shared" si="92"/>
        <v/>
      </c>
    </row>
    <row r="1977" spans="2:6" x14ac:dyDescent="0.2">
      <c r="B1977" s="12"/>
      <c r="C1977" s="12"/>
      <c r="D1977" s="17" t="str">
        <f t="shared" si="93"/>
        <v/>
      </c>
      <c r="E1977" s="18" t="str">
        <f t="shared" si="91"/>
        <v/>
      </c>
      <c r="F1977" s="17" t="str">
        <f t="shared" si="92"/>
        <v/>
      </c>
    </row>
    <row r="1978" spans="2:6" x14ac:dyDescent="0.2">
      <c r="B1978" s="12"/>
      <c r="C1978" s="12"/>
      <c r="D1978" s="17" t="str">
        <f t="shared" si="93"/>
        <v/>
      </c>
      <c r="E1978" s="18" t="str">
        <f t="shared" si="91"/>
        <v/>
      </c>
      <c r="F1978" s="17" t="str">
        <f t="shared" si="92"/>
        <v/>
      </c>
    </row>
    <row r="1979" spans="2:6" x14ac:dyDescent="0.2">
      <c r="B1979" s="12"/>
      <c r="C1979" s="12"/>
      <c r="D1979" s="17" t="str">
        <f t="shared" si="93"/>
        <v/>
      </c>
      <c r="E1979" s="18" t="str">
        <f t="shared" si="91"/>
        <v/>
      </c>
      <c r="F1979" s="17" t="str">
        <f t="shared" si="92"/>
        <v/>
      </c>
    </row>
    <row r="1980" spans="2:6" x14ac:dyDescent="0.2">
      <c r="B1980" s="12"/>
      <c r="C1980" s="12"/>
      <c r="D1980" s="17" t="str">
        <f t="shared" si="93"/>
        <v/>
      </c>
      <c r="E1980" s="18" t="str">
        <f t="shared" si="91"/>
        <v/>
      </c>
      <c r="F1980" s="17" t="str">
        <f t="shared" si="92"/>
        <v/>
      </c>
    </row>
    <row r="1981" spans="2:6" x14ac:dyDescent="0.2">
      <c r="B1981" s="12"/>
      <c r="C1981" s="12"/>
      <c r="D1981" s="17" t="str">
        <f t="shared" si="93"/>
        <v/>
      </c>
      <c r="E1981" s="18" t="str">
        <f t="shared" si="91"/>
        <v/>
      </c>
      <c r="F1981" s="17" t="str">
        <f t="shared" si="92"/>
        <v/>
      </c>
    </row>
    <row r="1982" spans="2:6" x14ac:dyDescent="0.2">
      <c r="B1982" s="12"/>
      <c r="C1982" s="12"/>
      <c r="D1982" s="17" t="str">
        <f t="shared" si="93"/>
        <v/>
      </c>
      <c r="E1982" s="18" t="str">
        <f t="shared" si="91"/>
        <v/>
      </c>
      <c r="F1982" s="17" t="str">
        <f t="shared" si="92"/>
        <v/>
      </c>
    </row>
    <row r="1983" spans="2:6" x14ac:dyDescent="0.2">
      <c r="B1983" s="12"/>
      <c r="C1983" s="12"/>
      <c r="D1983" s="17" t="str">
        <f t="shared" si="93"/>
        <v/>
      </c>
      <c r="E1983" s="18" t="str">
        <f t="shared" si="91"/>
        <v/>
      </c>
      <c r="F1983" s="17" t="str">
        <f t="shared" si="92"/>
        <v/>
      </c>
    </row>
    <row r="1984" spans="2:6" x14ac:dyDescent="0.2">
      <c r="B1984" s="12"/>
      <c r="C1984" s="12"/>
      <c r="D1984" s="17" t="str">
        <f t="shared" si="93"/>
        <v/>
      </c>
      <c r="E1984" s="18" t="str">
        <f t="shared" si="91"/>
        <v/>
      </c>
      <c r="F1984" s="17" t="str">
        <f t="shared" si="92"/>
        <v/>
      </c>
    </row>
    <row r="1985" spans="2:6" x14ac:dyDescent="0.2">
      <c r="B1985" s="12"/>
      <c r="C1985" s="12"/>
      <c r="D1985" s="17" t="str">
        <f t="shared" si="93"/>
        <v/>
      </c>
      <c r="E1985" s="18" t="str">
        <f t="shared" si="91"/>
        <v/>
      </c>
      <c r="F1985" s="17" t="str">
        <f t="shared" si="92"/>
        <v/>
      </c>
    </row>
    <row r="1986" spans="2:6" x14ac:dyDescent="0.2">
      <c r="B1986" s="12"/>
      <c r="C1986" s="12"/>
      <c r="D1986" s="17" t="str">
        <f t="shared" si="93"/>
        <v/>
      </c>
      <c r="E1986" s="18" t="str">
        <f t="shared" si="91"/>
        <v/>
      </c>
      <c r="F1986" s="17" t="str">
        <f t="shared" si="92"/>
        <v/>
      </c>
    </row>
    <row r="1987" spans="2:6" x14ac:dyDescent="0.2">
      <c r="B1987" s="12"/>
      <c r="C1987" s="12"/>
      <c r="D1987" s="17" t="str">
        <f t="shared" si="93"/>
        <v/>
      </c>
      <c r="E1987" s="18" t="str">
        <f t="shared" si="91"/>
        <v/>
      </c>
      <c r="F1987" s="17" t="str">
        <f t="shared" si="92"/>
        <v/>
      </c>
    </row>
    <row r="1988" spans="2:6" x14ac:dyDescent="0.2">
      <c r="B1988" s="12"/>
      <c r="C1988" s="12"/>
      <c r="D1988" s="17" t="str">
        <f t="shared" si="93"/>
        <v/>
      </c>
      <c r="E1988" s="18" t="str">
        <f t="shared" si="91"/>
        <v/>
      </c>
      <c r="F1988" s="17" t="str">
        <f t="shared" si="92"/>
        <v/>
      </c>
    </row>
    <row r="1989" spans="2:6" x14ac:dyDescent="0.2">
      <c r="B1989" s="12"/>
      <c r="C1989" s="12"/>
      <c r="D1989" s="17" t="str">
        <f t="shared" si="93"/>
        <v/>
      </c>
      <c r="E1989" s="18" t="str">
        <f t="shared" ref="E1989:E2052" si="94">IF(B1989="","",ABS(C1989-D1989))</f>
        <v/>
      </c>
      <c r="F1989" s="17" t="str">
        <f t="shared" ref="F1989:F2052" si="95">IF(B1989="","",E1989^2)</f>
        <v/>
      </c>
    </row>
    <row r="1990" spans="2:6" x14ac:dyDescent="0.2">
      <c r="B1990" s="12"/>
      <c r="C1990" s="12"/>
      <c r="D1990" s="17" t="str">
        <f t="shared" si="93"/>
        <v/>
      </c>
      <c r="E1990" s="18" t="str">
        <f t="shared" si="94"/>
        <v/>
      </c>
      <c r="F1990" s="17" t="str">
        <f t="shared" si="95"/>
        <v/>
      </c>
    </row>
    <row r="1991" spans="2:6" x14ac:dyDescent="0.2">
      <c r="B1991" s="12"/>
      <c r="C1991" s="12"/>
      <c r="D1991" s="17" t="str">
        <f t="shared" si="93"/>
        <v/>
      </c>
      <c r="E1991" s="18" t="str">
        <f t="shared" si="94"/>
        <v/>
      </c>
      <c r="F1991" s="17" t="str">
        <f t="shared" si="95"/>
        <v/>
      </c>
    </row>
    <row r="1992" spans="2:6" x14ac:dyDescent="0.2">
      <c r="B1992" s="12"/>
      <c r="C1992" s="12"/>
      <c r="D1992" s="17" t="str">
        <f t="shared" si="93"/>
        <v/>
      </c>
      <c r="E1992" s="18" t="str">
        <f t="shared" si="94"/>
        <v/>
      </c>
      <c r="F1992" s="17" t="str">
        <f t="shared" si="95"/>
        <v/>
      </c>
    </row>
    <row r="1993" spans="2:6" x14ac:dyDescent="0.2">
      <c r="B1993" s="12"/>
      <c r="C1993" s="12"/>
      <c r="D1993" s="17" t="str">
        <f t="shared" si="93"/>
        <v/>
      </c>
      <c r="E1993" s="18" t="str">
        <f t="shared" si="94"/>
        <v/>
      </c>
      <c r="F1993" s="17" t="str">
        <f t="shared" si="95"/>
        <v/>
      </c>
    </row>
    <row r="1994" spans="2:6" x14ac:dyDescent="0.2">
      <c r="B1994" s="12"/>
      <c r="C1994" s="12"/>
      <c r="D1994" s="17" t="str">
        <f t="shared" si="93"/>
        <v/>
      </c>
      <c r="E1994" s="18" t="str">
        <f t="shared" si="94"/>
        <v/>
      </c>
      <c r="F1994" s="17" t="str">
        <f t="shared" si="95"/>
        <v/>
      </c>
    </row>
    <row r="1995" spans="2:6" x14ac:dyDescent="0.2">
      <c r="B1995" s="12"/>
      <c r="C1995" s="12"/>
      <c r="D1995" s="17" t="str">
        <f t="shared" si="93"/>
        <v/>
      </c>
      <c r="E1995" s="18" t="str">
        <f t="shared" si="94"/>
        <v/>
      </c>
      <c r="F1995" s="17" t="str">
        <f t="shared" si="95"/>
        <v/>
      </c>
    </row>
    <row r="1996" spans="2:6" x14ac:dyDescent="0.2">
      <c r="B1996" s="12"/>
      <c r="C1996" s="12"/>
      <c r="D1996" s="17" t="str">
        <f t="shared" si="93"/>
        <v/>
      </c>
      <c r="E1996" s="18" t="str">
        <f t="shared" si="94"/>
        <v/>
      </c>
      <c r="F1996" s="17" t="str">
        <f t="shared" si="95"/>
        <v/>
      </c>
    </row>
    <row r="1997" spans="2:6" x14ac:dyDescent="0.2">
      <c r="B1997" s="12"/>
      <c r="C1997" s="12"/>
      <c r="D1997" s="17" t="str">
        <f t="shared" si="93"/>
        <v/>
      </c>
      <c r="E1997" s="18" t="str">
        <f t="shared" si="94"/>
        <v/>
      </c>
      <c r="F1997" s="17" t="str">
        <f t="shared" si="95"/>
        <v/>
      </c>
    </row>
    <row r="1998" spans="2:6" x14ac:dyDescent="0.2">
      <c r="B1998" s="12"/>
      <c r="C1998" s="12"/>
      <c r="D1998" s="17" t="str">
        <f t="shared" si="93"/>
        <v/>
      </c>
      <c r="E1998" s="18" t="str">
        <f t="shared" si="94"/>
        <v/>
      </c>
      <c r="F1998" s="17" t="str">
        <f t="shared" si="95"/>
        <v/>
      </c>
    </row>
    <row r="1999" spans="2:6" x14ac:dyDescent="0.2">
      <c r="B1999" s="12"/>
      <c r="C1999" s="12"/>
      <c r="D1999" s="17" t="str">
        <f t="shared" si="93"/>
        <v/>
      </c>
      <c r="E1999" s="18" t="str">
        <f t="shared" si="94"/>
        <v/>
      </c>
      <c r="F1999" s="17" t="str">
        <f t="shared" si="95"/>
        <v/>
      </c>
    </row>
    <row r="2000" spans="2:6" x14ac:dyDescent="0.2">
      <c r="B2000" s="12"/>
      <c r="C2000" s="12"/>
      <c r="D2000" s="17" t="str">
        <f t="shared" si="93"/>
        <v/>
      </c>
      <c r="E2000" s="18" t="str">
        <f t="shared" si="94"/>
        <v/>
      </c>
      <c r="F2000" s="17" t="str">
        <f t="shared" si="95"/>
        <v/>
      </c>
    </row>
    <row r="2001" spans="2:6" x14ac:dyDescent="0.2">
      <c r="B2001" s="12"/>
      <c r="C2001" s="12"/>
      <c r="D2001" s="17" t="str">
        <f t="shared" si="93"/>
        <v/>
      </c>
      <c r="E2001" s="18" t="str">
        <f t="shared" si="94"/>
        <v/>
      </c>
      <c r="F2001" s="17" t="str">
        <f t="shared" si="95"/>
        <v/>
      </c>
    </row>
    <row r="2002" spans="2:6" x14ac:dyDescent="0.2">
      <c r="B2002" s="12"/>
      <c r="C2002" s="12"/>
      <c r="D2002" s="17" t="str">
        <f t="shared" ref="D2002:D2065" si="96">IF(B2002="","",a+b*B2002)</f>
        <v/>
      </c>
      <c r="E2002" s="18" t="str">
        <f t="shared" si="94"/>
        <v/>
      </c>
      <c r="F2002" s="17" t="str">
        <f t="shared" si="95"/>
        <v/>
      </c>
    </row>
    <row r="2003" spans="2:6" x14ac:dyDescent="0.2">
      <c r="B2003" s="12"/>
      <c r="C2003" s="12"/>
      <c r="D2003" s="17" t="str">
        <f t="shared" si="96"/>
        <v/>
      </c>
      <c r="E2003" s="18" t="str">
        <f t="shared" si="94"/>
        <v/>
      </c>
      <c r="F2003" s="17" t="str">
        <f t="shared" si="95"/>
        <v/>
      </c>
    </row>
    <row r="2004" spans="2:6" x14ac:dyDescent="0.2">
      <c r="B2004" s="12"/>
      <c r="C2004" s="12"/>
      <c r="D2004" s="17" t="str">
        <f t="shared" si="96"/>
        <v/>
      </c>
      <c r="E2004" s="18" t="str">
        <f t="shared" si="94"/>
        <v/>
      </c>
      <c r="F2004" s="17" t="str">
        <f t="shared" si="95"/>
        <v/>
      </c>
    </row>
    <row r="2005" spans="2:6" x14ac:dyDescent="0.2">
      <c r="B2005" s="12"/>
      <c r="C2005" s="12"/>
      <c r="D2005" s="17" t="str">
        <f t="shared" si="96"/>
        <v/>
      </c>
      <c r="E2005" s="18" t="str">
        <f t="shared" si="94"/>
        <v/>
      </c>
      <c r="F2005" s="17" t="str">
        <f t="shared" si="95"/>
        <v/>
      </c>
    </row>
    <row r="2006" spans="2:6" x14ac:dyDescent="0.2">
      <c r="B2006" s="12"/>
      <c r="C2006" s="12"/>
      <c r="D2006" s="17" t="str">
        <f t="shared" si="96"/>
        <v/>
      </c>
      <c r="E2006" s="18" t="str">
        <f t="shared" si="94"/>
        <v/>
      </c>
      <c r="F2006" s="17" t="str">
        <f t="shared" si="95"/>
        <v/>
      </c>
    </row>
    <row r="2007" spans="2:6" x14ac:dyDescent="0.2">
      <c r="B2007" s="12"/>
      <c r="C2007" s="12"/>
      <c r="D2007" s="17" t="str">
        <f t="shared" si="96"/>
        <v/>
      </c>
      <c r="E2007" s="18" t="str">
        <f t="shared" si="94"/>
        <v/>
      </c>
      <c r="F2007" s="17" t="str">
        <f t="shared" si="95"/>
        <v/>
      </c>
    </row>
    <row r="2008" spans="2:6" x14ac:dyDescent="0.2">
      <c r="B2008" s="12"/>
      <c r="C2008" s="12"/>
      <c r="D2008" s="17" t="str">
        <f t="shared" si="96"/>
        <v/>
      </c>
      <c r="E2008" s="18" t="str">
        <f t="shared" si="94"/>
        <v/>
      </c>
      <c r="F2008" s="17" t="str">
        <f t="shared" si="95"/>
        <v/>
      </c>
    </row>
    <row r="2009" spans="2:6" x14ac:dyDescent="0.2">
      <c r="B2009" s="12"/>
      <c r="C2009" s="12"/>
      <c r="D2009" s="17" t="str">
        <f t="shared" si="96"/>
        <v/>
      </c>
      <c r="E2009" s="18" t="str">
        <f t="shared" si="94"/>
        <v/>
      </c>
      <c r="F2009" s="17" t="str">
        <f t="shared" si="95"/>
        <v/>
      </c>
    </row>
    <row r="2010" spans="2:6" x14ac:dyDescent="0.2">
      <c r="B2010" s="12"/>
      <c r="C2010" s="12"/>
      <c r="D2010" s="17" t="str">
        <f t="shared" si="96"/>
        <v/>
      </c>
      <c r="E2010" s="18" t="str">
        <f t="shared" si="94"/>
        <v/>
      </c>
      <c r="F2010" s="17" t="str">
        <f t="shared" si="95"/>
        <v/>
      </c>
    </row>
    <row r="2011" spans="2:6" x14ac:dyDescent="0.2">
      <c r="B2011" s="12"/>
      <c r="C2011" s="12"/>
      <c r="D2011" s="17" t="str">
        <f t="shared" si="96"/>
        <v/>
      </c>
      <c r="E2011" s="18" t="str">
        <f t="shared" si="94"/>
        <v/>
      </c>
      <c r="F2011" s="17" t="str">
        <f t="shared" si="95"/>
        <v/>
      </c>
    </row>
    <row r="2012" spans="2:6" x14ac:dyDescent="0.2">
      <c r="B2012" s="12"/>
      <c r="C2012" s="12"/>
      <c r="D2012" s="17" t="str">
        <f t="shared" si="96"/>
        <v/>
      </c>
      <c r="E2012" s="18" t="str">
        <f t="shared" si="94"/>
        <v/>
      </c>
      <c r="F2012" s="17" t="str">
        <f t="shared" si="95"/>
        <v/>
      </c>
    </row>
    <row r="2013" spans="2:6" x14ac:dyDescent="0.2">
      <c r="B2013" s="12"/>
      <c r="C2013" s="12"/>
      <c r="D2013" s="17" t="str">
        <f t="shared" si="96"/>
        <v/>
      </c>
      <c r="E2013" s="18" t="str">
        <f t="shared" si="94"/>
        <v/>
      </c>
      <c r="F2013" s="17" t="str">
        <f t="shared" si="95"/>
        <v/>
      </c>
    </row>
    <row r="2014" spans="2:6" x14ac:dyDescent="0.2">
      <c r="B2014" s="12"/>
      <c r="C2014" s="12"/>
      <c r="D2014" s="17" t="str">
        <f t="shared" si="96"/>
        <v/>
      </c>
      <c r="E2014" s="18" t="str">
        <f t="shared" si="94"/>
        <v/>
      </c>
      <c r="F2014" s="17" t="str">
        <f t="shared" si="95"/>
        <v/>
      </c>
    </row>
    <row r="2015" spans="2:6" x14ac:dyDescent="0.2">
      <c r="B2015" s="12"/>
      <c r="C2015" s="12"/>
      <c r="D2015" s="17" t="str">
        <f t="shared" si="96"/>
        <v/>
      </c>
      <c r="E2015" s="18" t="str">
        <f t="shared" si="94"/>
        <v/>
      </c>
      <c r="F2015" s="17" t="str">
        <f t="shared" si="95"/>
        <v/>
      </c>
    </row>
    <row r="2016" spans="2:6" x14ac:dyDescent="0.2">
      <c r="B2016" s="12"/>
      <c r="C2016" s="12"/>
      <c r="D2016" s="17" t="str">
        <f t="shared" si="96"/>
        <v/>
      </c>
      <c r="E2016" s="18" t="str">
        <f t="shared" si="94"/>
        <v/>
      </c>
      <c r="F2016" s="17" t="str">
        <f t="shared" si="95"/>
        <v/>
      </c>
    </row>
    <row r="2017" spans="2:6" x14ac:dyDescent="0.2">
      <c r="B2017" s="12"/>
      <c r="C2017" s="12"/>
      <c r="D2017" s="17" t="str">
        <f t="shared" si="96"/>
        <v/>
      </c>
      <c r="E2017" s="18" t="str">
        <f t="shared" si="94"/>
        <v/>
      </c>
      <c r="F2017" s="17" t="str">
        <f t="shared" si="95"/>
        <v/>
      </c>
    </row>
    <row r="2018" spans="2:6" x14ac:dyDescent="0.2">
      <c r="B2018" s="12"/>
      <c r="C2018" s="12"/>
      <c r="D2018" s="17" t="str">
        <f t="shared" si="96"/>
        <v/>
      </c>
      <c r="E2018" s="18" t="str">
        <f t="shared" si="94"/>
        <v/>
      </c>
      <c r="F2018" s="17" t="str">
        <f t="shared" si="95"/>
        <v/>
      </c>
    </row>
    <row r="2019" spans="2:6" x14ac:dyDescent="0.2">
      <c r="B2019" s="12"/>
      <c r="C2019" s="12"/>
      <c r="D2019" s="17" t="str">
        <f t="shared" si="96"/>
        <v/>
      </c>
      <c r="E2019" s="18" t="str">
        <f t="shared" si="94"/>
        <v/>
      </c>
      <c r="F2019" s="17" t="str">
        <f t="shared" si="95"/>
        <v/>
      </c>
    </row>
    <row r="2020" spans="2:6" x14ac:dyDescent="0.2">
      <c r="B2020" s="12"/>
      <c r="C2020" s="12"/>
      <c r="D2020" s="17" t="str">
        <f t="shared" si="96"/>
        <v/>
      </c>
      <c r="E2020" s="18" t="str">
        <f t="shared" si="94"/>
        <v/>
      </c>
      <c r="F2020" s="17" t="str">
        <f t="shared" si="95"/>
        <v/>
      </c>
    </row>
    <row r="2021" spans="2:6" x14ac:dyDescent="0.2">
      <c r="B2021" s="12"/>
      <c r="C2021" s="12"/>
      <c r="D2021" s="17" t="str">
        <f t="shared" si="96"/>
        <v/>
      </c>
      <c r="E2021" s="18" t="str">
        <f t="shared" si="94"/>
        <v/>
      </c>
      <c r="F2021" s="17" t="str">
        <f t="shared" si="95"/>
        <v/>
      </c>
    </row>
    <row r="2022" spans="2:6" x14ac:dyDescent="0.2">
      <c r="B2022" s="12"/>
      <c r="C2022" s="12"/>
      <c r="D2022" s="17" t="str">
        <f t="shared" si="96"/>
        <v/>
      </c>
      <c r="E2022" s="18" t="str">
        <f t="shared" si="94"/>
        <v/>
      </c>
      <c r="F2022" s="17" t="str">
        <f t="shared" si="95"/>
        <v/>
      </c>
    </row>
    <row r="2023" spans="2:6" x14ac:dyDescent="0.2">
      <c r="B2023" s="12"/>
      <c r="C2023" s="12"/>
      <c r="D2023" s="17" t="str">
        <f t="shared" si="96"/>
        <v/>
      </c>
      <c r="E2023" s="18" t="str">
        <f t="shared" si="94"/>
        <v/>
      </c>
      <c r="F2023" s="17" t="str">
        <f t="shared" si="95"/>
        <v/>
      </c>
    </row>
    <row r="2024" spans="2:6" x14ac:dyDescent="0.2">
      <c r="B2024" s="12"/>
      <c r="C2024" s="12"/>
      <c r="D2024" s="17" t="str">
        <f t="shared" si="96"/>
        <v/>
      </c>
      <c r="E2024" s="18" t="str">
        <f t="shared" si="94"/>
        <v/>
      </c>
      <c r="F2024" s="17" t="str">
        <f t="shared" si="95"/>
        <v/>
      </c>
    </row>
    <row r="2025" spans="2:6" x14ac:dyDescent="0.2">
      <c r="B2025" s="12"/>
      <c r="C2025" s="12"/>
      <c r="D2025" s="17" t="str">
        <f t="shared" si="96"/>
        <v/>
      </c>
      <c r="E2025" s="18" t="str">
        <f t="shared" si="94"/>
        <v/>
      </c>
      <c r="F2025" s="17" t="str">
        <f t="shared" si="95"/>
        <v/>
      </c>
    </row>
    <row r="2026" spans="2:6" x14ac:dyDescent="0.2">
      <c r="B2026" s="12"/>
      <c r="C2026" s="12"/>
      <c r="D2026" s="17" t="str">
        <f t="shared" si="96"/>
        <v/>
      </c>
      <c r="E2026" s="18" t="str">
        <f t="shared" si="94"/>
        <v/>
      </c>
      <c r="F2026" s="17" t="str">
        <f t="shared" si="95"/>
        <v/>
      </c>
    </row>
    <row r="2027" spans="2:6" x14ac:dyDescent="0.2">
      <c r="B2027" s="12"/>
      <c r="C2027" s="12"/>
      <c r="D2027" s="17" t="str">
        <f t="shared" si="96"/>
        <v/>
      </c>
      <c r="E2027" s="18" t="str">
        <f t="shared" si="94"/>
        <v/>
      </c>
      <c r="F2027" s="17" t="str">
        <f t="shared" si="95"/>
        <v/>
      </c>
    </row>
    <row r="2028" spans="2:6" x14ac:dyDescent="0.2">
      <c r="B2028" s="12"/>
      <c r="C2028" s="12"/>
      <c r="D2028" s="17" t="str">
        <f t="shared" si="96"/>
        <v/>
      </c>
      <c r="E2028" s="18" t="str">
        <f t="shared" si="94"/>
        <v/>
      </c>
      <c r="F2028" s="17" t="str">
        <f t="shared" si="95"/>
        <v/>
      </c>
    </row>
    <row r="2029" spans="2:6" x14ac:dyDescent="0.2">
      <c r="B2029" s="12"/>
      <c r="C2029" s="12"/>
      <c r="D2029" s="17" t="str">
        <f t="shared" si="96"/>
        <v/>
      </c>
      <c r="E2029" s="18" t="str">
        <f t="shared" si="94"/>
        <v/>
      </c>
      <c r="F2029" s="17" t="str">
        <f t="shared" si="95"/>
        <v/>
      </c>
    </row>
    <row r="2030" spans="2:6" x14ac:dyDescent="0.2">
      <c r="B2030" s="12"/>
      <c r="C2030" s="12"/>
      <c r="D2030" s="17" t="str">
        <f t="shared" si="96"/>
        <v/>
      </c>
      <c r="E2030" s="18" t="str">
        <f t="shared" si="94"/>
        <v/>
      </c>
      <c r="F2030" s="17" t="str">
        <f t="shared" si="95"/>
        <v/>
      </c>
    </row>
    <row r="2031" spans="2:6" x14ac:dyDescent="0.2">
      <c r="B2031" s="12"/>
      <c r="C2031" s="12"/>
      <c r="D2031" s="17" t="str">
        <f t="shared" si="96"/>
        <v/>
      </c>
      <c r="E2031" s="18" t="str">
        <f t="shared" si="94"/>
        <v/>
      </c>
      <c r="F2031" s="17" t="str">
        <f t="shared" si="95"/>
        <v/>
      </c>
    </row>
    <row r="2032" spans="2:6" x14ac:dyDescent="0.2">
      <c r="B2032" s="12"/>
      <c r="C2032" s="12"/>
      <c r="D2032" s="17" t="str">
        <f t="shared" si="96"/>
        <v/>
      </c>
      <c r="E2032" s="18" t="str">
        <f t="shared" si="94"/>
        <v/>
      </c>
      <c r="F2032" s="17" t="str">
        <f t="shared" si="95"/>
        <v/>
      </c>
    </row>
    <row r="2033" spans="2:6" x14ac:dyDescent="0.2">
      <c r="B2033" s="12"/>
      <c r="C2033" s="12"/>
      <c r="D2033" s="17" t="str">
        <f t="shared" si="96"/>
        <v/>
      </c>
      <c r="E2033" s="18" t="str">
        <f t="shared" si="94"/>
        <v/>
      </c>
      <c r="F2033" s="17" t="str">
        <f t="shared" si="95"/>
        <v/>
      </c>
    </row>
    <row r="2034" spans="2:6" x14ac:dyDescent="0.2">
      <c r="B2034" s="12"/>
      <c r="C2034" s="12"/>
      <c r="D2034" s="17" t="str">
        <f t="shared" si="96"/>
        <v/>
      </c>
      <c r="E2034" s="18" t="str">
        <f t="shared" si="94"/>
        <v/>
      </c>
      <c r="F2034" s="17" t="str">
        <f t="shared" si="95"/>
        <v/>
      </c>
    </row>
    <row r="2035" spans="2:6" x14ac:dyDescent="0.2">
      <c r="B2035" s="12"/>
      <c r="C2035" s="12"/>
      <c r="D2035" s="17" t="str">
        <f t="shared" si="96"/>
        <v/>
      </c>
      <c r="E2035" s="18" t="str">
        <f t="shared" si="94"/>
        <v/>
      </c>
      <c r="F2035" s="17" t="str">
        <f t="shared" si="95"/>
        <v/>
      </c>
    </row>
    <row r="2036" spans="2:6" x14ac:dyDescent="0.2">
      <c r="B2036" s="12"/>
      <c r="C2036" s="12"/>
      <c r="D2036" s="17" t="str">
        <f t="shared" si="96"/>
        <v/>
      </c>
      <c r="E2036" s="18" t="str">
        <f t="shared" si="94"/>
        <v/>
      </c>
      <c r="F2036" s="17" t="str">
        <f t="shared" si="95"/>
        <v/>
      </c>
    </row>
    <row r="2037" spans="2:6" x14ac:dyDescent="0.2">
      <c r="B2037" s="12"/>
      <c r="C2037" s="12"/>
      <c r="D2037" s="17" t="str">
        <f t="shared" si="96"/>
        <v/>
      </c>
      <c r="E2037" s="18" t="str">
        <f t="shared" si="94"/>
        <v/>
      </c>
      <c r="F2037" s="17" t="str">
        <f t="shared" si="95"/>
        <v/>
      </c>
    </row>
    <row r="2038" spans="2:6" x14ac:dyDescent="0.2">
      <c r="B2038" s="12"/>
      <c r="C2038" s="12"/>
      <c r="D2038" s="17" t="str">
        <f t="shared" si="96"/>
        <v/>
      </c>
      <c r="E2038" s="18" t="str">
        <f t="shared" si="94"/>
        <v/>
      </c>
      <c r="F2038" s="17" t="str">
        <f t="shared" si="95"/>
        <v/>
      </c>
    </row>
    <row r="2039" spans="2:6" x14ac:dyDescent="0.2">
      <c r="B2039" s="12"/>
      <c r="C2039" s="12"/>
      <c r="D2039" s="17" t="str">
        <f t="shared" si="96"/>
        <v/>
      </c>
      <c r="E2039" s="18" t="str">
        <f t="shared" si="94"/>
        <v/>
      </c>
      <c r="F2039" s="17" t="str">
        <f t="shared" si="95"/>
        <v/>
      </c>
    </row>
    <row r="2040" spans="2:6" x14ac:dyDescent="0.2">
      <c r="B2040" s="12"/>
      <c r="C2040" s="12"/>
      <c r="D2040" s="17" t="str">
        <f t="shared" si="96"/>
        <v/>
      </c>
      <c r="E2040" s="18" t="str">
        <f t="shared" si="94"/>
        <v/>
      </c>
      <c r="F2040" s="17" t="str">
        <f t="shared" si="95"/>
        <v/>
      </c>
    </row>
    <row r="2041" spans="2:6" x14ac:dyDescent="0.2">
      <c r="B2041" s="12"/>
      <c r="C2041" s="12"/>
      <c r="D2041" s="17" t="str">
        <f t="shared" si="96"/>
        <v/>
      </c>
      <c r="E2041" s="18" t="str">
        <f t="shared" si="94"/>
        <v/>
      </c>
      <c r="F2041" s="17" t="str">
        <f t="shared" si="95"/>
        <v/>
      </c>
    </row>
    <row r="2042" spans="2:6" x14ac:dyDescent="0.2">
      <c r="B2042" s="12"/>
      <c r="C2042" s="12"/>
      <c r="D2042" s="17" t="str">
        <f t="shared" si="96"/>
        <v/>
      </c>
      <c r="E2042" s="18" t="str">
        <f t="shared" si="94"/>
        <v/>
      </c>
      <c r="F2042" s="17" t="str">
        <f t="shared" si="95"/>
        <v/>
      </c>
    </row>
    <row r="2043" spans="2:6" x14ac:dyDescent="0.2">
      <c r="B2043" s="12"/>
      <c r="C2043" s="12"/>
      <c r="D2043" s="17" t="str">
        <f t="shared" si="96"/>
        <v/>
      </c>
      <c r="E2043" s="18" t="str">
        <f t="shared" si="94"/>
        <v/>
      </c>
      <c r="F2043" s="17" t="str">
        <f t="shared" si="95"/>
        <v/>
      </c>
    </row>
    <row r="2044" spans="2:6" x14ac:dyDescent="0.2">
      <c r="B2044" s="12"/>
      <c r="C2044" s="12"/>
      <c r="D2044" s="17" t="str">
        <f t="shared" si="96"/>
        <v/>
      </c>
      <c r="E2044" s="18" t="str">
        <f t="shared" si="94"/>
        <v/>
      </c>
      <c r="F2044" s="17" t="str">
        <f t="shared" si="95"/>
        <v/>
      </c>
    </row>
    <row r="2045" spans="2:6" x14ac:dyDescent="0.2">
      <c r="B2045" s="12"/>
      <c r="C2045" s="12"/>
      <c r="D2045" s="17" t="str">
        <f t="shared" si="96"/>
        <v/>
      </c>
      <c r="E2045" s="18" t="str">
        <f t="shared" si="94"/>
        <v/>
      </c>
      <c r="F2045" s="17" t="str">
        <f t="shared" si="95"/>
        <v/>
      </c>
    </row>
    <row r="2046" spans="2:6" x14ac:dyDescent="0.2">
      <c r="B2046" s="12"/>
      <c r="C2046" s="12"/>
      <c r="D2046" s="17" t="str">
        <f t="shared" si="96"/>
        <v/>
      </c>
      <c r="E2046" s="18" t="str">
        <f t="shared" si="94"/>
        <v/>
      </c>
      <c r="F2046" s="17" t="str">
        <f t="shared" si="95"/>
        <v/>
      </c>
    </row>
    <row r="2047" spans="2:6" x14ac:dyDescent="0.2">
      <c r="B2047" s="12"/>
      <c r="C2047" s="12"/>
      <c r="D2047" s="17" t="str">
        <f t="shared" si="96"/>
        <v/>
      </c>
      <c r="E2047" s="18" t="str">
        <f t="shared" si="94"/>
        <v/>
      </c>
      <c r="F2047" s="17" t="str">
        <f t="shared" si="95"/>
        <v/>
      </c>
    </row>
    <row r="2048" spans="2:6" x14ac:dyDescent="0.2">
      <c r="B2048" s="12"/>
      <c r="C2048" s="12"/>
      <c r="D2048" s="17" t="str">
        <f t="shared" si="96"/>
        <v/>
      </c>
      <c r="E2048" s="18" t="str">
        <f t="shared" si="94"/>
        <v/>
      </c>
      <c r="F2048" s="17" t="str">
        <f t="shared" si="95"/>
        <v/>
      </c>
    </row>
    <row r="2049" spans="2:6" x14ac:dyDescent="0.2">
      <c r="B2049" s="12"/>
      <c r="C2049" s="12"/>
      <c r="D2049" s="17" t="str">
        <f t="shared" si="96"/>
        <v/>
      </c>
      <c r="E2049" s="18" t="str">
        <f t="shared" si="94"/>
        <v/>
      </c>
      <c r="F2049" s="17" t="str">
        <f t="shared" si="95"/>
        <v/>
      </c>
    </row>
    <row r="2050" spans="2:6" x14ac:dyDescent="0.2">
      <c r="B2050" s="12"/>
      <c r="C2050" s="12"/>
      <c r="D2050" s="17" t="str">
        <f t="shared" si="96"/>
        <v/>
      </c>
      <c r="E2050" s="18" t="str">
        <f t="shared" si="94"/>
        <v/>
      </c>
      <c r="F2050" s="17" t="str">
        <f t="shared" si="95"/>
        <v/>
      </c>
    </row>
    <row r="2051" spans="2:6" x14ac:dyDescent="0.2">
      <c r="B2051" s="12"/>
      <c r="C2051" s="12"/>
      <c r="D2051" s="17" t="str">
        <f t="shared" si="96"/>
        <v/>
      </c>
      <c r="E2051" s="18" t="str">
        <f t="shared" si="94"/>
        <v/>
      </c>
      <c r="F2051" s="17" t="str">
        <f t="shared" si="95"/>
        <v/>
      </c>
    </row>
    <row r="2052" spans="2:6" x14ac:dyDescent="0.2">
      <c r="B2052" s="12"/>
      <c r="C2052" s="12"/>
      <c r="D2052" s="17" t="str">
        <f t="shared" si="96"/>
        <v/>
      </c>
      <c r="E2052" s="18" t="str">
        <f t="shared" si="94"/>
        <v/>
      </c>
      <c r="F2052" s="17" t="str">
        <f t="shared" si="95"/>
        <v/>
      </c>
    </row>
    <row r="2053" spans="2:6" x14ac:dyDescent="0.2">
      <c r="B2053" s="12"/>
      <c r="C2053" s="12"/>
      <c r="D2053" s="17" t="str">
        <f t="shared" si="96"/>
        <v/>
      </c>
      <c r="E2053" s="18" t="str">
        <f t="shared" ref="E2053:E2116" si="97">IF(B2053="","",ABS(C2053-D2053))</f>
        <v/>
      </c>
      <c r="F2053" s="17" t="str">
        <f t="shared" ref="F2053:F2116" si="98">IF(B2053="","",E2053^2)</f>
        <v/>
      </c>
    </row>
    <row r="2054" spans="2:6" x14ac:dyDescent="0.2">
      <c r="B2054" s="12"/>
      <c r="C2054" s="12"/>
      <c r="D2054" s="17" t="str">
        <f t="shared" si="96"/>
        <v/>
      </c>
      <c r="E2054" s="18" t="str">
        <f t="shared" si="97"/>
        <v/>
      </c>
      <c r="F2054" s="17" t="str">
        <f t="shared" si="98"/>
        <v/>
      </c>
    </row>
    <row r="2055" spans="2:6" x14ac:dyDescent="0.2">
      <c r="B2055" s="12"/>
      <c r="C2055" s="12"/>
      <c r="D2055" s="17" t="str">
        <f t="shared" si="96"/>
        <v/>
      </c>
      <c r="E2055" s="18" t="str">
        <f t="shared" si="97"/>
        <v/>
      </c>
      <c r="F2055" s="17" t="str">
        <f t="shared" si="98"/>
        <v/>
      </c>
    </row>
    <row r="2056" spans="2:6" x14ac:dyDescent="0.2">
      <c r="B2056" s="12"/>
      <c r="C2056" s="12"/>
      <c r="D2056" s="17" t="str">
        <f t="shared" si="96"/>
        <v/>
      </c>
      <c r="E2056" s="18" t="str">
        <f t="shared" si="97"/>
        <v/>
      </c>
      <c r="F2056" s="17" t="str">
        <f t="shared" si="98"/>
        <v/>
      </c>
    </row>
    <row r="2057" spans="2:6" x14ac:dyDescent="0.2">
      <c r="B2057" s="12"/>
      <c r="C2057" s="12"/>
      <c r="D2057" s="17" t="str">
        <f t="shared" si="96"/>
        <v/>
      </c>
      <c r="E2057" s="18" t="str">
        <f t="shared" si="97"/>
        <v/>
      </c>
      <c r="F2057" s="17" t="str">
        <f t="shared" si="98"/>
        <v/>
      </c>
    </row>
    <row r="2058" spans="2:6" x14ac:dyDescent="0.2">
      <c r="B2058" s="12"/>
      <c r="C2058" s="12"/>
      <c r="D2058" s="17" t="str">
        <f t="shared" si="96"/>
        <v/>
      </c>
      <c r="E2058" s="18" t="str">
        <f t="shared" si="97"/>
        <v/>
      </c>
      <c r="F2058" s="17" t="str">
        <f t="shared" si="98"/>
        <v/>
      </c>
    </row>
    <row r="2059" spans="2:6" x14ac:dyDescent="0.2">
      <c r="B2059" s="12"/>
      <c r="C2059" s="12"/>
      <c r="D2059" s="17" t="str">
        <f t="shared" si="96"/>
        <v/>
      </c>
      <c r="E2059" s="18" t="str">
        <f t="shared" si="97"/>
        <v/>
      </c>
      <c r="F2059" s="17" t="str">
        <f t="shared" si="98"/>
        <v/>
      </c>
    </row>
    <row r="2060" spans="2:6" x14ac:dyDescent="0.2">
      <c r="B2060" s="12"/>
      <c r="C2060" s="12"/>
      <c r="D2060" s="17" t="str">
        <f t="shared" si="96"/>
        <v/>
      </c>
      <c r="E2060" s="18" t="str">
        <f t="shared" si="97"/>
        <v/>
      </c>
      <c r="F2060" s="17" t="str">
        <f t="shared" si="98"/>
        <v/>
      </c>
    </row>
    <row r="2061" spans="2:6" x14ac:dyDescent="0.2">
      <c r="B2061" s="12"/>
      <c r="C2061" s="12"/>
      <c r="D2061" s="17" t="str">
        <f t="shared" si="96"/>
        <v/>
      </c>
      <c r="E2061" s="18" t="str">
        <f t="shared" si="97"/>
        <v/>
      </c>
      <c r="F2061" s="17" t="str">
        <f t="shared" si="98"/>
        <v/>
      </c>
    </row>
    <row r="2062" spans="2:6" x14ac:dyDescent="0.2">
      <c r="B2062" s="12"/>
      <c r="C2062" s="12"/>
      <c r="D2062" s="17" t="str">
        <f t="shared" si="96"/>
        <v/>
      </c>
      <c r="E2062" s="18" t="str">
        <f t="shared" si="97"/>
        <v/>
      </c>
      <c r="F2062" s="17" t="str">
        <f t="shared" si="98"/>
        <v/>
      </c>
    </row>
    <row r="2063" spans="2:6" x14ac:dyDescent="0.2">
      <c r="B2063" s="12"/>
      <c r="C2063" s="12"/>
      <c r="D2063" s="17" t="str">
        <f t="shared" si="96"/>
        <v/>
      </c>
      <c r="E2063" s="18" t="str">
        <f t="shared" si="97"/>
        <v/>
      </c>
      <c r="F2063" s="17" t="str">
        <f t="shared" si="98"/>
        <v/>
      </c>
    </row>
    <row r="2064" spans="2:6" x14ac:dyDescent="0.2">
      <c r="B2064" s="12"/>
      <c r="C2064" s="12"/>
      <c r="D2064" s="17" t="str">
        <f t="shared" si="96"/>
        <v/>
      </c>
      <c r="E2064" s="18" t="str">
        <f t="shared" si="97"/>
        <v/>
      </c>
      <c r="F2064" s="17" t="str">
        <f t="shared" si="98"/>
        <v/>
      </c>
    </row>
    <row r="2065" spans="2:6" x14ac:dyDescent="0.2">
      <c r="B2065" s="12"/>
      <c r="C2065" s="12"/>
      <c r="D2065" s="17" t="str">
        <f t="shared" si="96"/>
        <v/>
      </c>
      <c r="E2065" s="18" t="str">
        <f t="shared" si="97"/>
        <v/>
      </c>
      <c r="F2065" s="17" t="str">
        <f t="shared" si="98"/>
        <v/>
      </c>
    </row>
    <row r="2066" spans="2:6" x14ac:dyDescent="0.2">
      <c r="B2066" s="12"/>
      <c r="C2066" s="12"/>
      <c r="D2066" s="17" t="str">
        <f t="shared" ref="D2066:D2129" si="99">IF(B2066="","",a+b*B2066)</f>
        <v/>
      </c>
      <c r="E2066" s="18" t="str">
        <f t="shared" si="97"/>
        <v/>
      </c>
      <c r="F2066" s="17" t="str">
        <f t="shared" si="98"/>
        <v/>
      </c>
    </row>
    <row r="2067" spans="2:6" x14ac:dyDescent="0.2">
      <c r="B2067" s="12"/>
      <c r="C2067" s="12"/>
      <c r="D2067" s="17" t="str">
        <f t="shared" si="99"/>
        <v/>
      </c>
      <c r="E2067" s="18" t="str">
        <f t="shared" si="97"/>
        <v/>
      </c>
      <c r="F2067" s="17" t="str">
        <f t="shared" si="98"/>
        <v/>
      </c>
    </row>
    <row r="2068" spans="2:6" x14ac:dyDescent="0.2">
      <c r="B2068" s="12"/>
      <c r="C2068" s="12"/>
      <c r="D2068" s="17" t="str">
        <f t="shared" si="99"/>
        <v/>
      </c>
      <c r="E2068" s="18" t="str">
        <f t="shared" si="97"/>
        <v/>
      </c>
      <c r="F2068" s="17" t="str">
        <f t="shared" si="98"/>
        <v/>
      </c>
    </row>
    <row r="2069" spans="2:6" x14ac:dyDescent="0.2">
      <c r="B2069" s="12"/>
      <c r="C2069" s="12"/>
      <c r="D2069" s="17" t="str">
        <f t="shared" si="99"/>
        <v/>
      </c>
      <c r="E2069" s="18" t="str">
        <f t="shared" si="97"/>
        <v/>
      </c>
      <c r="F2069" s="17" t="str">
        <f t="shared" si="98"/>
        <v/>
      </c>
    </row>
    <row r="2070" spans="2:6" x14ac:dyDescent="0.2">
      <c r="B2070" s="12"/>
      <c r="C2070" s="12"/>
      <c r="D2070" s="17" t="str">
        <f t="shared" si="99"/>
        <v/>
      </c>
      <c r="E2070" s="18" t="str">
        <f t="shared" si="97"/>
        <v/>
      </c>
      <c r="F2070" s="17" t="str">
        <f t="shared" si="98"/>
        <v/>
      </c>
    </row>
    <row r="2071" spans="2:6" x14ac:dyDescent="0.2">
      <c r="B2071" s="12"/>
      <c r="C2071" s="12"/>
      <c r="D2071" s="17" t="str">
        <f t="shared" si="99"/>
        <v/>
      </c>
      <c r="E2071" s="18" t="str">
        <f t="shared" si="97"/>
        <v/>
      </c>
      <c r="F2071" s="17" t="str">
        <f t="shared" si="98"/>
        <v/>
      </c>
    </row>
    <row r="2072" spans="2:6" x14ac:dyDescent="0.2">
      <c r="B2072" s="12"/>
      <c r="C2072" s="12"/>
      <c r="D2072" s="17" t="str">
        <f t="shared" si="99"/>
        <v/>
      </c>
      <c r="E2072" s="18" t="str">
        <f t="shared" si="97"/>
        <v/>
      </c>
      <c r="F2072" s="17" t="str">
        <f t="shared" si="98"/>
        <v/>
      </c>
    </row>
    <row r="2073" spans="2:6" x14ac:dyDescent="0.2">
      <c r="B2073" s="12"/>
      <c r="C2073" s="12"/>
      <c r="D2073" s="17" t="str">
        <f t="shared" si="99"/>
        <v/>
      </c>
      <c r="E2073" s="18" t="str">
        <f t="shared" si="97"/>
        <v/>
      </c>
      <c r="F2073" s="17" t="str">
        <f t="shared" si="98"/>
        <v/>
      </c>
    </row>
    <row r="2074" spans="2:6" x14ac:dyDescent="0.2">
      <c r="B2074" s="12"/>
      <c r="C2074" s="12"/>
      <c r="D2074" s="17" t="str">
        <f t="shared" si="99"/>
        <v/>
      </c>
      <c r="E2074" s="18" t="str">
        <f t="shared" si="97"/>
        <v/>
      </c>
      <c r="F2074" s="17" t="str">
        <f t="shared" si="98"/>
        <v/>
      </c>
    </row>
    <row r="2075" spans="2:6" x14ac:dyDescent="0.2">
      <c r="B2075" s="12"/>
      <c r="C2075" s="12"/>
      <c r="D2075" s="17" t="str">
        <f t="shared" si="99"/>
        <v/>
      </c>
      <c r="E2075" s="18" t="str">
        <f t="shared" si="97"/>
        <v/>
      </c>
      <c r="F2075" s="17" t="str">
        <f t="shared" si="98"/>
        <v/>
      </c>
    </row>
    <row r="2076" spans="2:6" x14ac:dyDescent="0.2">
      <c r="B2076" s="12"/>
      <c r="C2076" s="12"/>
      <c r="D2076" s="17" t="str">
        <f t="shared" si="99"/>
        <v/>
      </c>
      <c r="E2076" s="18" t="str">
        <f t="shared" si="97"/>
        <v/>
      </c>
      <c r="F2076" s="17" t="str">
        <f t="shared" si="98"/>
        <v/>
      </c>
    </row>
    <row r="2077" spans="2:6" x14ac:dyDescent="0.2">
      <c r="B2077" s="12"/>
      <c r="C2077" s="12"/>
      <c r="D2077" s="17" t="str">
        <f t="shared" si="99"/>
        <v/>
      </c>
      <c r="E2077" s="18" t="str">
        <f t="shared" si="97"/>
        <v/>
      </c>
      <c r="F2077" s="17" t="str">
        <f t="shared" si="98"/>
        <v/>
      </c>
    </row>
    <row r="2078" spans="2:6" x14ac:dyDescent="0.2">
      <c r="B2078" s="12"/>
      <c r="C2078" s="12"/>
      <c r="D2078" s="17" t="str">
        <f t="shared" si="99"/>
        <v/>
      </c>
      <c r="E2078" s="18" t="str">
        <f t="shared" si="97"/>
        <v/>
      </c>
      <c r="F2078" s="17" t="str">
        <f t="shared" si="98"/>
        <v/>
      </c>
    </row>
    <row r="2079" spans="2:6" x14ac:dyDescent="0.2">
      <c r="B2079" s="12"/>
      <c r="C2079" s="12"/>
      <c r="D2079" s="17" t="str">
        <f t="shared" si="99"/>
        <v/>
      </c>
      <c r="E2079" s="18" t="str">
        <f t="shared" si="97"/>
        <v/>
      </c>
      <c r="F2079" s="17" t="str">
        <f t="shared" si="98"/>
        <v/>
      </c>
    </row>
    <row r="2080" spans="2:6" x14ac:dyDescent="0.2">
      <c r="B2080" s="12"/>
      <c r="C2080" s="12"/>
      <c r="D2080" s="17" t="str">
        <f t="shared" si="99"/>
        <v/>
      </c>
      <c r="E2080" s="18" t="str">
        <f t="shared" si="97"/>
        <v/>
      </c>
      <c r="F2080" s="17" t="str">
        <f t="shared" si="98"/>
        <v/>
      </c>
    </row>
    <row r="2081" spans="2:6" x14ac:dyDescent="0.2">
      <c r="B2081" s="12"/>
      <c r="C2081" s="12"/>
      <c r="D2081" s="17" t="str">
        <f t="shared" si="99"/>
        <v/>
      </c>
      <c r="E2081" s="18" t="str">
        <f t="shared" si="97"/>
        <v/>
      </c>
      <c r="F2081" s="17" t="str">
        <f t="shared" si="98"/>
        <v/>
      </c>
    </row>
    <row r="2082" spans="2:6" x14ac:dyDescent="0.2">
      <c r="B2082" s="12"/>
      <c r="C2082" s="12"/>
      <c r="D2082" s="17" t="str">
        <f t="shared" si="99"/>
        <v/>
      </c>
      <c r="E2082" s="18" t="str">
        <f t="shared" si="97"/>
        <v/>
      </c>
      <c r="F2082" s="17" t="str">
        <f t="shared" si="98"/>
        <v/>
      </c>
    </row>
    <row r="2083" spans="2:6" x14ac:dyDescent="0.2">
      <c r="B2083" s="12"/>
      <c r="C2083" s="12"/>
      <c r="D2083" s="17" t="str">
        <f t="shared" si="99"/>
        <v/>
      </c>
      <c r="E2083" s="18" t="str">
        <f t="shared" si="97"/>
        <v/>
      </c>
      <c r="F2083" s="17" t="str">
        <f t="shared" si="98"/>
        <v/>
      </c>
    </row>
    <row r="2084" spans="2:6" x14ac:dyDescent="0.2">
      <c r="B2084" s="12"/>
      <c r="C2084" s="12"/>
      <c r="D2084" s="17" t="str">
        <f t="shared" si="99"/>
        <v/>
      </c>
      <c r="E2084" s="18" t="str">
        <f t="shared" si="97"/>
        <v/>
      </c>
      <c r="F2084" s="17" t="str">
        <f t="shared" si="98"/>
        <v/>
      </c>
    </row>
    <row r="2085" spans="2:6" x14ac:dyDescent="0.2">
      <c r="B2085" s="12"/>
      <c r="C2085" s="12"/>
      <c r="D2085" s="17" t="str">
        <f t="shared" si="99"/>
        <v/>
      </c>
      <c r="E2085" s="18" t="str">
        <f t="shared" si="97"/>
        <v/>
      </c>
      <c r="F2085" s="17" t="str">
        <f t="shared" si="98"/>
        <v/>
      </c>
    </row>
    <row r="2086" spans="2:6" x14ac:dyDescent="0.2">
      <c r="B2086" s="12"/>
      <c r="C2086" s="12"/>
      <c r="D2086" s="17" t="str">
        <f t="shared" si="99"/>
        <v/>
      </c>
      <c r="E2086" s="18" t="str">
        <f t="shared" si="97"/>
        <v/>
      </c>
      <c r="F2086" s="17" t="str">
        <f t="shared" si="98"/>
        <v/>
      </c>
    </row>
    <row r="2087" spans="2:6" x14ac:dyDescent="0.2">
      <c r="B2087" s="12"/>
      <c r="C2087" s="12"/>
      <c r="D2087" s="17" t="str">
        <f t="shared" si="99"/>
        <v/>
      </c>
      <c r="E2087" s="18" t="str">
        <f t="shared" si="97"/>
        <v/>
      </c>
      <c r="F2087" s="17" t="str">
        <f t="shared" si="98"/>
        <v/>
      </c>
    </row>
    <row r="2088" spans="2:6" x14ac:dyDescent="0.2">
      <c r="B2088" s="12"/>
      <c r="C2088" s="12"/>
      <c r="D2088" s="17" t="str">
        <f t="shared" si="99"/>
        <v/>
      </c>
      <c r="E2088" s="18" t="str">
        <f t="shared" si="97"/>
        <v/>
      </c>
      <c r="F2088" s="17" t="str">
        <f t="shared" si="98"/>
        <v/>
      </c>
    </row>
    <row r="2089" spans="2:6" x14ac:dyDescent="0.2">
      <c r="B2089" s="12"/>
      <c r="C2089" s="12"/>
      <c r="D2089" s="17" t="str">
        <f t="shared" si="99"/>
        <v/>
      </c>
      <c r="E2089" s="18" t="str">
        <f t="shared" si="97"/>
        <v/>
      </c>
      <c r="F2089" s="17" t="str">
        <f t="shared" si="98"/>
        <v/>
      </c>
    </row>
    <row r="2090" spans="2:6" x14ac:dyDescent="0.2">
      <c r="B2090" s="12"/>
      <c r="C2090" s="12"/>
      <c r="D2090" s="17" t="str">
        <f t="shared" si="99"/>
        <v/>
      </c>
      <c r="E2090" s="18" t="str">
        <f t="shared" si="97"/>
        <v/>
      </c>
      <c r="F2090" s="17" t="str">
        <f t="shared" si="98"/>
        <v/>
      </c>
    </row>
    <row r="2091" spans="2:6" x14ac:dyDescent="0.2">
      <c r="B2091" s="12"/>
      <c r="C2091" s="12"/>
      <c r="D2091" s="17" t="str">
        <f t="shared" si="99"/>
        <v/>
      </c>
      <c r="E2091" s="18" t="str">
        <f t="shared" si="97"/>
        <v/>
      </c>
      <c r="F2091" s="17" t="str">
        <f t="shared" si="98"/>
        <v/>
      </c>
    </row>
    <row r="2092" spans="2:6" x14ac:dyDescent="0.2">
      <c r="B2092" s="12"/>
      <c r="C2092" s="12"/>
      <c r="D2092" s="17" t="str">
        <f t="shared" si="99"/>
        <v/>
      </c>
      <c r="E2092" s="18" t="str">
        <f t="shared" si="97"/>
        <v/>
      </c>
      <c r="F2092" s="17" t="str">
        <f t="shared" si="98"/>
        <v/>
      </c>
    </row>
    <row r="2093" spans="2:6" x14ac:dyDescent="0.2">
      <c r="B2093" s="12"/>
      <c r="C2093" s="12"/>
      <c r="D2093" s="17" t="str">
        <f t="shared" si="99"/>
        <v/>
      </c>
      <c r="E2093" s="18" t="str">
        <f t="shared" si="97"/>
        <v/>
      </c>
      <c r="F2093" s="17" t="str">
        <f t="shared" si="98"/>
        <v/>
      </c>
    </row>
    <row r="2094" spans="2:6" x14ac:dyDescent="0.2">
      <c r="B2094" s="12"/>
      <c r="C2094" s="12"/>
      <c r="D2094" s="17" t="str">
        <f t="shared" si="99"/>
        <v/>
      </c>
      <c r="E2094" s="18" t="str">
        <f t="shared" si="97"/>
        <v/>
      </c>
      <c r="F2094" s="17" t="str">
        <f t="shared" si="98"/>
        <v/>
      </c>
    </row>
    <row r="2095" spans="2:6" x14ac:dyDescent="0.2">
      <c r="B2095" s="12"/>
      <c r="C2095" s="12"/>
      <c r="D2095" s="17" t="str">
        <f t="shared" si="99"/>
        <v/>
      </c>
      <c r="E2095" s="18" t="str">
        <f t="shared" si="97"/>
        <v/>
      </c>
      <c r="F2095" s="17" t="str">
        <f t="shared" si="98"/>
        <v/>
      </c>
    </row>
    <row r="2096" spans="2:6" x14ac:dyDescent="0.2">
      <c r="B2096" s="12"/>
      <c r="C2096" s="12"/>
      <c r="D2096" s="17" t="str">
        <f t="shared" si="99"/>
        <v/>
      </c>
      <c r="E2096" s="18" t="str">
        <f t="shared" si="97"/>
        <v/>
      </c>
      <c r="F2096" s="17" t="str">
        <f t="shared" si="98"/>
        <v/>
      </c>
    </row>
    <row r="2097" spans="2:6" x14ac:dyDescent="0.2">
      <c r="B2097" s="12"/>
      <c r="C2097" s="12"/>
      <c r="D2097" s="17" t="str">
        <f t="shared" si="99"/>
        <v/>
      </c>
      <c r="E2097" s="18" t="str">
        <f t="shared" si="97"/>
        <v/>
      </c>
      <c r="F2097" s="17" t="str">
        <f t="shared" si="98"/>
        <v/>
      </c>
    </row>
    <row r="2098" spans="2:6" x14ac:dyDescent="0.2">
      <c r="B2098" s="12"/>
      <c r="C2098" s="12"/>
      <c r="D2098" s="17" t="str">
        <f t="shared" si="99"/>
        <v/>
      </c>
      <c r="E2098" s="18" t="str">
        <f t="shared" si="97"/>
        <v/>
      </c>
      <c r="F2098" s="17" t="str">
        <f t="shared" si="98"/>
        <v/>
      </c>
    </row>
    <row r="2099" spans="2:6" x14ac:dyDescent="0.2">
      <c r="B2099" s="12"/>
      <c r="C2099" s="12"/>
      <c r="D2099" s="17" t="str">
        <f t="shared" si="99"/>
        <v/>
      </c>
      <c r="E2099" s="18" t="str">
        <f t="shared" si="97"/>
        <v/>
      </c>
      <c r="F2099" s="17" t="str">
        <f t="shared" si="98"/>
        <v/>
      </c>
    </row>
    <row r="2100" spans="2:6" x14ac:dyDescent="0.2">
      <c r="B2100" s="12"/>
      <c r="C2100" s="12"/>
      <c r="D2100" s="17" t="str">
        <f t="shared" si="99"/>
        <v/>
      </c>
      <c r="E2100" s="18" t="str">
        <f t="shared" si="97"/>
        <v/>
      </c>
      <c r="F2100" s="17" t="str">
        <f t="shared" si="98"/>
        <v/>
      </c>
    </row>
    <row r="2101" spans="2:6" x14ac:dyDescent="0.2">
      <c r="B2101" s="12"/>
      <c r="C2101" s="12"/>
      <c r="D2101" s="17" t="str">
        <f t="shared" si="99"/>
        <v/>
      </c>
      <c r="E2101" s="18" t="str">
        <f t="shared" si="97"/>
        <v/>
      </c>
      <c r="F2101" s="17" t="str">
        <f t="shared" si="98"/>
        <v/>
      </c>
    </row>
    <row r="2102" spans="2:6" x14ac:dyDescent="0.2">
      <c r="B2102" s="12"/>
      <c r="C2102" s="12"/>
      <c r="D2102" s="17" t="str">
        <f t="shared" si="99"/>
        <v/>
      </c>
      <c r="E2102" s="18" t="str">
        <f t="shared" si="97"/>
        <v/>
      </c>
      <c r="F2102" s="17" t="str">
        <f t="shared" si="98"/>
        <v/>
      </c>
    </row>
    <row r="2103" spans="2:6" x14ac:dyDescent="0.2">
      <c r="B2103" s="12"/>
      <c r="C2103" s="12"/>
      <c r="D2103" s="17" t="str">
        <f t="shared" si="99"/>
        <v/>
      </c>
      <c r="E2103" s="18" t="str">
        <f t="shared" si="97"/>
        <v/>
      </c>
      <c r="F2103" s="17" t="str">
        <f t="shared" si="98"/>
        <v/>
      </c>
    </row>
    <row r="2104" spans="2:6" x14ac:dyDescent="0.2">
      <c r="B2104" s="12"/>
      <c r="C2104" s="12"/>
      <c r="D2104" s="17" t="str">
        <f t="shared" si="99"/>
        <v/>
      </c>
      <c r="E2104" s="18" t="str">
        <f t="shared" si="97"/>
        <v/>
      </c>
      <c r="F2104" s="17" t="str">
        <f t="shared" si="98"/>
        <v/>
      </c>
    </row>
    <row r="2105" spans="2:6" x14ac:dyDescent="0.2">
      <c r="B2105" s="12"/>
      <c r="C2105" s="12"/>
      <c r="D2105" s="17" t="str">
        <f t="shared" si="99"/>
        <v/>
      </c>
      <c r="E2105" s="18" t="str">
        <f t="shared" si="97"/>
        <v/>
      </c>
      <c r="F2105" s="17" t="str">
        <f t="shared" si="98"/>
        <v/>
      </c>
    </row>
    <row r="2106" spans="2:6" x14ac:dyDescent="0.2">
      <c r="B2106" s="12"/>
      <c r="C2106" s="12"/>
      <c r="D2106" s="17" t="str">
        <f t="shared" si="99"/>
        <v/>
      </c>
      <c r="E2106" s="18" t="str">
        <f t="shared" si="97"/>
        <v/>
      </c>
      <c r="F2106" s="17" t="str">
        <f t="shared" si="98"/>
        <v/>
      </c>
    </row>
    <row r="2107" spans="2:6" x14ac:dyDescent="0.2">
      <c r="B2107" s="12"/>
      <c r="C2107" s="12"/>
      <c r="D2107" s="17" t="str">
        <f t="shared" si="99"/>
        <v/>
      </c>
      <c r="E2107" s="18" t="str">
        <f t="shared" si="97"/>
        <v/>
      </c>
      <c r="F2107" s="17" t="str">
        <f t="shared" si="98"/>
        <v/>
      </c>
    </row>
    <row r="2108" spans="2:6" x14ac:dyDescent="0.2">
      <c r="B2108" s="12"/>
      <c r="C2108" s="12"/>
      <c r="D2108" s="17" t="str">
        <f t="shared" si="99"/>
        <v/>
      </c>
      <c r="E2108" s="18" t="str">
        <f t="shared" si="97"/>
        <v/>
      </c>
      <c r="F2108" s="17" t="str">
        <f t="shared" si="98"/>
        <v/>
      </c>
    </row>
    <row r="2109" spans="2:6" x14ac:dyDescent="0.2">
      <c r="B2109" s="12"/>
      <c r="C2109" s="12"/>
      <c r="D2109" s="17" t="str">
        <f t="shared" si="99"/>
        <v/>
      </c>
      <c r="E2109" s="18" t="str">
        <f t="shared" si="97"/>
        <v/>
      </c>
      <c r="F2109" s="17" t="str">
        <f t="shared" si="98"/>
        <v/>
      </c>
    </row>
    <row r="2110" spans="2:6" x14ac:dyDescent="0.2">
      <c r="B2110" s="12"/>
      <c r="C2110" s="12"/>
      <c r="D2110" s="17" t="str">
        <f t="shared" si="99"/>
        <v/>
      </c>
      <c r="E2110" s="18" t="str">
        <f t="shared" si="97"/>
        <v/>
      </c>
      <c r="F2110" s="17" t="str">
        <f t="shared" si="98"/>
        <v/>
      </c>
    </row>
    <row r="2111" spans="2:6" x14ac:dyDescent="0.2">
      <c r="B2111" s="12"/>
      <c r="C2111" s="12"/>
      <c r="D2111" s="17" t="str">
        <f t="shared" si="99"/>
        <v/>
      </c>
      <c r="E2111" s="18" t="str">
        <f t="shared" si="97"/>
        <v/>
      </c>
      <c r="F2111" s="17" t="str">
        <f t="shared" si="98"/>
        <v/>
      </c>
    </row>
    <row r="2112" spans="2:6" x14ac:dyDescent="0.2">
      <c r="B2112" s="12"/>
      <c r="C2112" s="12"/>
      <c r="D2112" s="17" t="str">
        <f t="shared" si="99"/>
        <v/>
      </c>
      <c r="E2112" s="18" t="str">
        <f t="shared" si="97"/>
        <v/>
      </c>
      <c r="F2112" s="17" t="str">
        <f t="shared" si="98"/>
        <v/>
      </c>
    </row>
    <row r="2113" spans="2:6" x14ac:dyDescent="0.2">
      <c r="B2113" s="12"/>
      <c r="C2113" s="12"/>
      <c r="D2113" s="17" t="str">
        <f t="shared" si="99"/>
        <v/>
      </c>
      <c r="E2113" s="18" t="str">
        <f t="shared" si="97"/>
        <v/>
      </c>
      <c r="F2113" s="17" t="str">
        <f t="shared" si="98"/>
        <v/>
      </c>
    </row>
    <row r="2114" spans="2:6" x14ac:dyDescent="0.2">
      <c r="B2114" s="12"/>
      <c r="C2114" s="12"/>
      <c r="D2114" s="17" t="str">
        <f t="shared" si="99"/>
        <v/>
      </c>
      <c r="E2114" s="18" t="str">
        <f t="shared" si="97"/>
        <v/>
      </c>
      <c r="F2114" s="17" t="str">
        <f t="shared" si="98"/>
        <v/>
      </c>
    </row>
    <row r="2115" spans="2:6" x14ac:dyDescent="0.2">
      <c r="B2115" s="12"/>
      <c r="C2115" s="12"/>
      <c r="D2115" s="17" t="str">
        <f t="shared" si="99"/>
        <v/>
      </c>
      <c r="E2115" s="18" t="str">
        <f t="shared" si="97"/>
        <v/>
      </c>
      <c r="F2115" s="17" t="str">
        <f t="shared" si="98"/>
        <v/>
      </c>
    </row>
    <row r="2116" spans="2:6" x14ac:dyDescent="0.2">
      <c r="B2116" s="12"/>
      <c r="C2116" s="12"/>
      <c r="D2116" s="17" t="str">
        <f t="shared" si="99"/>
        <v/>
      </c>
      <c r="E2116" s="18" t="str">
        <f t="shared" si="97"/>
        <v/>
      </c>
      <c r="F2116" s="17" t="str">
        <f t="shared" si="98"/>
        <v/>
      </c>
    </row>
    <row r="2117" spans="2:6" x14ac:dyDescent="0.2">
      <c r="B2117" s="12"/>
      <c r="C2117" s="12"/>
      <c r="D2117" s="17" t="str">
        <f t="shared" si="99"/>
        <v/>
      </c>
      <c r="E2117" s="18" t="str">
        <f t="shared" ref="E2117:E2180" si="100">IF(B2117="","",ABS(C2117-D2117))</f>
        <v/>
      </c>
      <c r="F2117" s="17" t="str">
        <f t="shared" ref="F2117:F2180" si="101">IF(B2117="","",E2117^2)</f>
        <v/>
      </c>
    </row>
    <row r="2118" spans="2:6" x14ac:dyDescent="0.2">
      <c r="B2118" s="12"/>
      <c r="C2118" s="12"/>
      <c r="D2118" s="17" t="str">
        <f t="shared" si="99"/>
        <v/>
      </c>
      <c r="E2118" s="18" t="str">
        <f t="shared" si="100"/>
        <v/>
      </c>
      <c r="F2118" s="17" t="str">
        <f t="shared" si="101"/>
        <v/>
      </c>
    </row>
    <row r="2119" spans="2:6" x14ac:dyDescent="0.2">
      <c r="B2119" s="12"/>
      <c r="C2119" s="12"/>
      <c r="D2119" s="17" t="str">
        <f t="shared" si="99"/>
        <v/>
      </c>
      <c r="E2119" s="18" t="str">
        <f t="shared" si="100"/>
        <v/>
      </c>
      <c r="F2119" s="17" t="str">
        <f t="shared" si="101"/>
        <v/>
      </c>
    </row>
    <row r="2120" spans="2:6" x14ac:dyDescent="0.2">
      <c r="B2120" s="12"/>
      <c r="C2120" s="12"/>
      <c r="D2120" s="17" t="str">
        <f t="shared" si="99"/>
        <v/>
      </c>
      <c r="E2120" s="18" t="str">
        <f t="shared" si="100"/>
        <v/>
      </c>
      <c r="F2120" s="17" t="str">
        <f t="shared" si="101"/>
        <v/>
      </c>
    </row>
    <row r="2121" spans="2:6" x14ac:dyDescent="0.2">
      <c r="B2121" s="12"/>
      <c r="C2121" s="12"/>
      <c r="D2121" s="17" t="str">
        <f t="shared" si="99"/>
        <v/>
      </c>
      <c r="E2121" s="18" t="str">
        <f t="shared" si="100"/>
        <v/>
      </c>
      <c r="F2121" s="17" t="str">
        <f t="shared" si="101"/>
        <v/>
      </c>
    </row>
    <row r="2122" spans="2:6" x14ac:dyDescent="0.2">
      <c r="B2122" s="12"/>
      <c r="C2122" s="12"/>
      <c r="D2122" s="17" t="str">
        <f t="shared" si="99"/>
        <v/>
      </c>
      <c r="E2122" s="18" t="str">
        <f t="shared" si="100"/>
        <v/>
      </c>
      <c r="F2122" s="17" t="str">
        <f t="shared" si="101"/>
        <v/>
      </c>
    </row>
    <row r="2123" spans="2:6" x14ac:dyDescent="0.2">
      <c r="B2123" s="12"/>
      <c r="C2123" s="12"/>
      <c r="D2123" s="17" t="str">
        <f t="shared" si="99"/>
        <v/>
      </c>
      <c r="E2123" s="18" t="str">
        <f t="shared" si="100"/>
        <v/>
      </c>
      <c r="F2123" s="17" t="str">
        <f t="shared" si="101"/>
        <v/>
      </c>
    </row>
    <row r="2124" spans="2:6" x14ac:dyDescent="0.2">
      <c r="B2124" s="12"/>
      <c r="C2124" s="12"/>
      <c r="D2124" s="17" t="str">
        <f t="shared" si="99"/>
        <v/>
      </c>
      <c r="E2124" s="18" t="str">
        <f t="shared" si="100"/>
        <v/>
      </c>
      <c r="F2124" s="17" t="str">
        <f t="shared" si="101"/>
        <v/>
      </c>
    </row>
    <row r="2125" spans="2:6" x14ac:dyDescent="0.2">
      <c r="B2125" s="12"/>
      <c r="C2125" s="12"/>
      <c r="D2125" s="17" t="str">
        <f t="shared" si="99"/>
        <v/>
      </c>
      <c r="E2125" s="18" t="str">
        <f t="shared" si="100"/>
        <v/>
      </c>
      <c r="F2125" s="17" t="str">
        <f t="shared" si="101"/>
        <v/>
      </c>
    </row>
    <row r="2126" spans="2:6" x14ac:dyDescent="0.2">
      <c r="B2126" s="12"/>
      <c r="C2126" s="12"/>
      <c r="D2126" s="17" t="str">
        <f t="shared" si="99"/>
        <v/>
      </c>
      <c r="E2126" s="18" t="str">
        <f t="shared" si="100"/>
        <v/>
      </c>
      <c r="F2126" s="17" t="str">
        <f t="shared" si="101"/>
        <v/>
      </c>
    </row>
    <row r="2127" spans="2:6" x14ac:dyDescent="0.2">
      <c r="B2127" s="12"/>
      <c r="C2127" s="12"/>
      <c r="D2127" s="17" t="str">
        <f t="shared" si="99"/>
        <v/>
      </c>
      <c r="E2127" s="18" t="str">
        <f t="shared" si="100"/>
        <v/>
      </c>
      <c r="F2127" s="17" t="str">
        <f t="shared" si="101"/>
        <v/>
      </c>
    </row>
    <row r="2128" spans="2:6" x14ac:dyDescent="0.2">
      <c r="B2128" s="12"/>
      <c r="C2128" s="12"/>
      <c r="D2128" s="17" t="str">
        <f t="shared" si="99"/>
        <v/>
      </c>
      <c r="E2128" s="18" t="str">
        <f t="shared" si="100"/>
        <v/>
      </c>
      <c r="F2128" s="17" t="str">
        <f t="shared" si="101"/>
        <v/>
      </c>
    </row>
    <row r="2129" spans="2:6" x14ac:dyDescent="0.2">
      <c r="B2129" s="12"/>
      <c r="C2129" s="12"/>
      <c r="D2129" s="17" t="str">
        <f t="shared" si="99"/>
        <v/>
      </c>
      <c r="E2129" s="18" t="str">
        <f t="shared" si="100"/>
        <v/>
      </c>
      <c r="F2129" s="17" t="str">
        <f t="shared" si="101"/>
        <v/>
      </c>
    </row>
    <row r="2130" spans="2:6" x14ac:dyDescent="0.2">
      <c r="B2130" s="12"/>
      <c r="C2130" s="12"/>
      <c r="D2130" s="17" t="str">
        <f t="shared" ref="D2130:D2193" si="102">IF(B2130="","",a+b*B2130)</f>
        <v/>
      </c>
      <c r="E2130" s="18" t="str">
        <f t="shared" si="100"/>
        <v/>
      </c>
      <c r="F2130" s="17" t="str">
        <f t="shared" si="101"/>
        <v/>
      </c>
    </row>
    <row r="2131" spans="2:6" x14ac:dyDescent="0.2">
      <c r="B2131" s="12"/>
      <c r="C2131" s="12"/>
      <c r="D2131" s="17" t="str">
        <f t="shared" si="102"/>
        <v/>
      </c>
      <c r="E2131" s="18" t="str">
        <f t="shared" si="100"/>
        <v/>
      </c>
      <c r="F2131" s="17" t="str">
        <f t="shared" si="101"/>
        <v/>
      </c>
    </row>
    <row r="2132" spans="2:6" x14ac:dyDescent="0.2">
      <c r="B2132" s="12"/>
      <c r="C2132" s="12"/>
      <c r="D2132" s="17" t="str">
        <f t="shared" si="102"/>
        <v/>
      </c>
      <c r="E2132" s="18" t="str">
        <f t="shared" si="100"/>
        <v/>
      </c>
      <c r="F2132" s="17" t="str">
        <f t="shared" si="101"/>
        <v/>
      </c>
    </row>
    <row r="2133" spans="2:6" x14ac:dyDescent="0.2">
      <c r="B2133" s="12"/>
      <c r="C2133" s="12"/>
      <c r="D2133" s="17" t="str">
        <f t="shared" si="102"/>
        <v/>
      </c>
      <c r="E2133" s="18" t="str">
        <f t="shared" si="100"/>
        <v/>
      </c>
      <c r="F2133" s="17" t="str">
        <f t="shared" si="101"/>
        <v/>
      </c>
    </row>
    <row r="2134" spans="2:6" x14ac:dyDescent="0.2">
      <c r="B2134" s="12"/>
      <c r="C2134" s="12"/>
      <c r="D2134" s="17" t="str">
        <f t="shared" si="102"/>
        <v/>
      </c>
      <c r="E2134" s="18" t="str">
        <f t="shared" si="100"/>
        <v/>
      </c>
      <c r="F2134" s="17" t="str">
        <f t="shared" si="101"/>
        <v/>
      </c>
    </row>
    <row r="2135" spans="2:6" x14ac:dyDescent="0.2">
      <c r="B2135" s="12"/>
      <c r="C2135" s="12"/>
      <c r="D2135" s="17" t="str">
        <f t="shared" si="102"/>
        <v/>
      </c>
      <c r="E2135" s="18" t="str">
        <f t="shared" si="100"/>
        <v/>
      </c>
      <c r="F2135" s="17" t="str">
        <f t="shared" si="101"/>
        <v/>
      </c>
    </row>
    <row r="2136" spans="2:6" x14ac:dyDescent="0.2">
      <c r="B2136" s="12"/>
      <c r="C2136" s="12"/>
      <c r="D2136" s="17" t="str">
        <f t="shared" si="102"/>
        <v/>
      </c>
      <c r="E2136" s="18" t="str">
        <f t="shared" si="100"/>
        <v/>
      </c>
      <c r="F2136" s="17" t="str">
        <f t="shared" si="101"/>
        <v/>
      </c>
    </row>
    <row r="2137" spans="2:6" x14ac:dyDescent="0.2">
      <c r="B2137" s="12"/>
      <c r="C2137" s="12"/>
      <c r="D2137" s="17" t="str">
        <f t="shared" si="102"/>
        <v/>
      </c>
      <c r="E2137" s="18" t="str">
        <f t="shared" si="100"/>
        <v/>
      </c>
      <c r="F2137" s="17" t="str">
        <f t="shared" si="101"/>
        <v/>
      </c>
    </row>
    <row r="2138" spans="2:6" x14ac:dyDescent="0.2">
      <c r="B2138" s="12"/>
      <c r="C2138" s="12"/>
      <c r="D2138" s="17" t="str">
        <f t="shared" si="102"/>
        <v/>
      </c>
      <c r="E2138" s="18" t="str">
        <f t="shared" si="100"/>
        <v/>
      </c>
      <c r="F2138" s="17" t="str">
        <f t="shared" si="101"/>
        <v/>
      </c>
    </row>
    <row r="2139" spans="2:6" x14ac:dyDescent="0.2">
      <c r="B2139" s="12"/>
      <c r="C2139" s="12"/>
      <c r="D2139" s="17" t="str">
        <f t="shared" si="102"/>
        <v/>
      </c>
      <c r="E2139" s="18" t="str">
        <f t="shared" si="100"/>
        <v/>
      </c>
      <c r="F2139" s="17" t="str">
        <f t="shared" si="101"/>
        <v/>
      </c>
    </row>
    <row r="2140" spans="2:6" x14ac:dyDescent="0.2">
      <c r="B2140" s="12"/>
      <c r="C2140" s="12"/>
      <c r="D2140" s="17" t="str">
        <f t="shared" si="102"/>
        <v/>
      </c>
      <c r="E2140" s="18" t="str">
        <f t="shared" si="100"/>
        <v/>
      </c>
      <c r="F2140" s="17" t="str">
        <f t="shared" si="101"/>
        <v/>
      </c>
    </row>
    <row r="2141" spans="2:6" x14ac:dyDescent="0.2">
      <c r="B2141" s="12"/>
      <c r="C2141" s="12"/>
      <c r="D2141" s="17" t="str">
        <f t="shared" si="102"/>
        <v/>
      </c>
      <c r="E2141" s="18" t="str">
        <f t="shared" si="100"/>
        <v/>
      </c>
      <c r="F2141" s="17" t="str">
        <f t="shared" si="101"/>
        <v/>
      </c>
    </row>
    <row r="2142" spans="2:6" x14ac:dyDescent="0.2">
      <c r="B2142" s="12"/>
      <c r="C2142" s="12"/>
      <c r="D2142" s="17" t="str">
        <f t="shared" si="102"/>
        <v/>
      </c>
      <c r="E2142" s="18" t="str">
        <f t="shared" si="100"/>
        <v/>
      </c>
      <c r="F2142" s="17" t="str">
        <f t="shared" si="101"/>
        <v/>
      </c>
    </row>
    <row r="2143" spans="2:6" x14ac:dyDescent="0.2">
      <c r="B2143" s="12"/>
      <c r="C2143" s="12"/>
      <c r="D2143" s="17" t="str">
        <f t="shared" si="102"/>
        <v/>
      </c>
      <c r="E2143" s="18" t="str">
        <f t="shared" si="100"/>
        <v/>
      </c>
      <c r="F2143" s="17" t="str">
        <f t="shared" si="101"/>
        <v/>
      </c>
    </row>
    <row r="2144" spans="2:6" x14ac:dyDescent="0.2">
      <c r="B2144" s="12"/>
      <c r="C2144" s="12"/>
      <c r="D2144" s="17" t="str">
        <f t="shared" si="102"/>
        <v/>
      </c>
      <c r="E2144" s="18" t="str">
        <f t="shared" si="100"/>
        <v/>
      </c>
      <c r="F2144" s="17" t="str">
        <f t="shared" si="101"/>
        <v/>
      </c>
    </row>
    <row r="2145" spans="2:6" x14ac:dyDescent="0.2">
      <c r="B2145" s="12"/>
      <c r="C2145" s="12"/>
      <c r="D2145" s="17" t="str">
        <f t="shared" si="102"/>
        <v/>
      </c>
      <c r="E2145" s="18" t="str">
        <f t="shared" si="100"/>
        <v/>
      </c>
      <c r="F2145" s="17" t="str">
        <f t="shared" si="101"/>
        <v/>
      </c>
    </row>
    <row r="2146" spans="2:6" x14ac:dyDescent="0.2">
      <c r="B2146" s="12"/>
      <c r="C2146" s="12"/>
      <c r="D2146" s="17" t="str">
        <f t="shared" si="102"/>
        <v/>
      </c>
      <c r="E2146" s="18" t="str">
        <f t="shared" si="100"/>
        <v/>
      </c>
      <c r="F2146" s="17" t="str">
        <f t="shared" si="101"/>
        <v/>
      </c>
    </row>
    <row r="2147" spans="2:6" x14ac:dyDescent="0.2">
      <c r="B2147" s="12"/>
      <c r="C2147" s="12"/>
      <c r="D2147" s="17" t="str">
        <f t="shared" si="102"/>
        <v/>
      </c>
      <c r="E2147" s="18" t="str">
        <f t="shared" si="100"/>
        <v/>
      </c>
      <c r="F2147" s="17" t="str">
        <f t="shared" si="101"/>
        <v/>
      </c>
    </row>
    <row r="2148" spans="2:6" x14ac:dyDescent="0.2">
      <c r="B2148" s="12"/>
      <c r="C2148" s="12"/>
      <c r="D2148" s="17" t="str">
        <f t="shared" si="102"/>
        <v/>
      </c>
      <c r="E2148" s="18" t="str">
        <f t="shared" si="100"/>
        <v/>
      </c>
      <c r="F2148" s="17" t="str">
        <f t="shared" si="101"/>
        <v/>
      </c>
    </row>
    <row r="2149" spans="2:6" x14ac:dyDescent="0.2">
      <c r="B2149" s="12"/>
      <c r="C2149" s="12"/>
      <c r="D2149" s="17" t="str">
        <f t="shared" si="102"/>
        <v/>
      </c>
      <c r="E2149" s="18" t="str">
        <f t="shared" si="100"/>
        <v/>
      </c>
      <c r="F2149" s="17" t="str">
        <f t="shared" si="101"/>
        <v/>
      </c>
    </row>
    <row r="2150" spans="2:6" x14ac:dyDescent="0.2">
      <c r="B2150" s="12"/>
      <c r="C2150" s="12"/>
      <c r="D2150" s="17" t="str">
        <f t="shared" si="102"/>
        <v/>
      </c>
      <c r="E2150" s="18" t="str">
        <f t="shared" si="100"/>
        <v/>
      </c>
      <c r="F2150" s="17" t="str">
        <f t="shared" si="101"/>
        <v/>
      </c>
    </row>
    <row r="2151" spans="2:6" x14ac:dyDescent="0.2">
      <c r="B2151" s="12"/>
      <c r="C2151" s="12"/>
      <c r="D2151" s="17" t="str">
        <f t="shared" si="102"/>
        <v/>
      </c>
      <c r="E2151" s="18" t="str">
        <f t="shared" si="100"/>
        <v/>
      </c>
      <c r="F2151" s="17" t="str">
        <f t="shared" si="101"/>
        <v/>
      </c>
    </row>
    <row r="2152" spans="2:6" x14ac:dyDescent="0.2">
      <c r="B2152" s="12"/>
      <c r="C2152" s="12"/>
      <c r="D2152" s="17" t="str">
        <f t="shared" si="102"/>
        <v/>
      </c>
      <c r="E2152" s="18" t="str">
        <f t="shared" si="100"/>
        <v/>
      </c>
      <c r="F2152" s="17" t="str">
        <f t="shared" si="101"/>
        <v/>
      </c>
    </row>
    <row r="2153" spans="2:6" x14ac:dyDescent="0.2">
      <c r="B2153" s="12"/>
      <c r="C2153" s="12"/>
      <c r="D2153" s="17" t="str">
        <f t="shared" si="102"/>
        <v/>
      </c>
      <c r="E2153" s="18" t="str">
        <f t="shared" si="100"/>
        <v/>
      </c>
      <c r="F2153" s="17" t="str">
        <f t="shared" si="101"/>
        <v/>
      </c>
    </row>
    <row r="2154" spans="2:6" x14ac:dyDescent="0.2">
      <c r="B2154" s="12"/>
      <c r="C2154" s="12"/>
      <c r="D2154" s="17" t="str">
        <f t="shared" si="102"/>
        <v/>
      </c>
      <c r="E2154" s="18" t="str">
        <f t="shared" si="100"/>
        <v/>
      </c>
      <c r="F2154" s="17" t="str">
        <f t="shared" si="101"/>
        <v/>
      </c>
    </row>
    <row r="2155" spans="2:6" x14ac:dyDescent="0.2">
      <c r="B2155" s="12"/>
      <c r="C2155" s="12"/>
      <c r="D2155" s="17" t="str">
        <f t="shared" si="102"/>
        <v/>
      </c>
      <c r="E2155" s="18" t="str">
        <f t="shared" si="100"/>
        <v/>
      </c>
      <c r="F2155" s="17" t="str">
        <f t="shared" si="101"/>
        <v/>
      </c>
    </row>
    <row r="2156" spans="2:6" x14ac:dyDescent="0.2">
      <c r="B2156" s="12"/>
      <c r="C2156" s="12"/>
      <c r="D2156" s="17" t="str">
        <f t="shared" si="102"/>
        <v/>
      </c>
      <c r="E2156" s="18" t="str">
        <f t="shared" si="100"/>
        <v/>
      </c>
      <c r="F2156" s="17" t="str">
        <f t="shared" si="101"/>
        <v/>
      </c>
    </row>
    <row r="2157" spans="2:6" x14ac:dyDescent="0.2">
      <c r="B2157" s="12"/>
      <c r="C2157" s="12"/>
      <c r="D2157" s="17" t="str">
        <f t="shared" si="102"/>
        <v/>
      </c>
      <c r="E2157" s="18" t="str">
        <f t="shared" si="100"/>
        <v/>
      </c>
      <c r="F2157" s="17" t="str">
        <f t="shared" si="101"/>
        <v/>
      </c>
    </row>
    <row r="2158" spans="2:6" x14ac:dyDescent="0.2">
      <c r="B2158" s="12"/>
      <c r="C2158" s="12"/>
      <c r="D2158" s="17" t="str">
        <f t="shared" si="102"/>
        <v/>
      </c>
      <c r="E2158" s="18" t="str">
        <f t="shared" si="100"/>
        <v/>
      </c>
      <c r="F2158" s="17" t="str">
        <f t="shared" si="101"/>
        <v/>
      </c>
    </row>
    <row r="2159" spans="2:6" x14ac:dyDescent="0.2">
      <c r="B2159" s="12"/>
      <c r="C2159" s="12"/>
      <c r="D2159" s="17" t="str">
        <f t="shared" si="102"/>
        <v/>
      </c>
      <c r="E2159" s="18" t="str">
        <f t="shared" si="100"/>
        <v/>
      </c>
      <c r="F2159" s="17" t="str">
        <f t="shared" si="101"/>
        <v/>
      </c>
    </row>
    <row r="2160" spans="2:6" x14ac:dyDescent="0.2">
      <c r="B2160" s="12"/>
      <c r="C2160" s="12"/>
      <c r="D2160" s="17" t="str">
        <f t="shared" si="102"/>
        <v/>
      </c>
      <c r="E2160" s="18" t="str">
        <f t="shared" si="100"/>
        <v/>
      </c>
      <c r="F2160" s="17" t="str">
        <f t="shared" si="101"/>
        <v/>
      </c>
    </row>
    <row r="2161" spans="2:6" x14ac:dyDescent="0.2">
      <c r="B2161" s="12"/>
      <c r="C2161" s="12"/>
      <c r="D2161" s="17" t="str">
        <f t="shared" si="102"/>
        <v/>
      </c>
      <c r="E2161" s="18" t="str">
        <f t="shared" si="100"/>
        <v/>
      </c>
      <c r="F2161" s="17" t="str">
        <f t="shared" si="101"/>
        <v/>
      </c>
    </row>
    <row r="2162" spans="2:6" x14ac:dyDescent="0.2">
      <c r="B2162" s="12"/>
      <c r="C2162" s="12"/>
      <c r="D2162" s="17" t="str">
        <f t="shared" si="102"/>
        <v/>
      </c>
      <c r="E2162" s="18" t="str">
        <f t="shared" si="100"/>
        <v/>
      </c>
      <c r="F2162" s="17" t="str">
        <f t="shared" si="101"/>
        <v/>
      </c>
    </row>
    <row r="2163" spans="2:6" x14ac:dyDescent="0.2">
      <c r="B2163" s="12"/>
      <c r="C2163" s="12"/>
      <c r="D2163" s="17" t="str">
        <f t="shared" si="102"/>
        <v/>
      </c>
      <c r="E2163" s="18" t="str">
        <f t="shared" si="100"/>
        <v/>
      </c>
      <c r="F2163" s="17" t="str">
        <f t="shared" si="101"/>
        <v/>
      </c>
    </row>
    <row r="2164" spans="2:6" x14ac:dyDescent="0.2">
      <c r="B2164" s="12"/>
      <c r="C2164" s="12"/>
      <c r="D2164" s="17" t="str">
        <f t="shared" si="102"/>
        <v/>
      </c>
      <c r="E2164" s="18" t="str">
        <f t="shared" si="100"/>
        <v/>
      </c>
      <c r="F2164" s="17" t="str">
        <f t="shared" si="101"/>
        <v/>
      </c>
    </row>
    <row r="2165" spans="2:6" x14ac:dyDescent="0.2">
      <c r="B2165" s="12"/>
      <c r="C2165" s="12"/>
      <c r="D2165" s="17" t="str">
        <f t="shared" si="102"/>
        <v/>
      </c>
      <c r="E2165" s="18" t="str">
        <f t="shared" si="100"/>
        <v/>
      </c>
      <c r="F2165" s="17" t="str">
        <f t="shared" si="101"/>
        <v/>
      </c>
    </row>
    <row r="2166" spans="2:6" x14ac:dyDescent="0.2">
      <c r="B2166" s="12"/>
      <c r="C2166" s="12"/>
      <c r="D2166" s="17" t="str">
        <f t="shared" si="102"/>
        <v/>
      </c>
      <c r="E2166" s="18" t="str">
        <f t="shared" si="100"/>
        <v/>
      </c>
      <c r="F2166" s="17" t="str">
        <f t="shared" si="101"/>
        <v/>
      </c>
    </row>
    <row r="2167" spans="2:6" x14ac:dyDescent="0.2">
      <c r="B2167" s="12"/>
      <c r="C2167" s="12"/>
      <c r="D2167" s="17" t="str">
        <f t="shared" si="102"/>
        <v/>
      </c>
      <c r="E2167" s="18" t="str">
        <f t="shared" si="100"/>
        <v/>
      </c>
      <c r="F2167" s="17" t="str">
        <f t="shared" si="101"/>
        <v/>
      </c>
    </row>
    <row r="2168" spans="2:6" x14ac:dyDescent="0.2">
      <c r="B2168" s="12"/>
      <c r="C2168" s="12"/>
      <c r="D2168" s="17" t="str">
        <f t="shared" si="102"/>
        <v/>
      </c>
      <c r="E2168" s="18" t="str">
        <f t="shared" si="100"/>
        <v/>
      </c>
      <c r="F2168" s="17" t="str">
        <f t="shared" si="101"/>
        <v/>
      </c>
    </row>
    <row r="2169" spans="2:6" x14ac:dyDescent="0.2">
      <c r="B2169" s="12"/>
      <c r="C2169" s="12"/>
      <c r="D2169" s="17" t="str">
        <f t="shared" si="102"/>
        <v/>
      </c>
      <c r="E2169" s="18" t="str">
        <f t="shared" si="100"/>
        <v/>
      </c>
      <c r="F2169" s="17" t="str">
        <f t="shared" si="101"/>
        <v/>
      </c>
    </row>
    <row r="2170" spans="2:6" x14ac:dyDescent="0.2">
      <c r="B2170" s="12"/>
      <c r="C2170" s="12"/>
      <c r="D2170" s="17" t="str">
        <f t="shared" si="102"/>
        <v/>
      </c>
      <c r="E2170" s="18" t="str">
        <f t="shared" si="100"/>
        <v/>
      </c>
      <c r="F2170" s="17" t="str">
        <f t="shared" si="101"/>
        <v/>
      </c>
    </row>
    <row r="2171" spans="2:6" x14ac:dyDescent="0.2">
      <c r="B2171" s="12"/>
      <c r="C2171" s="12"/>
      <c r="D2171" s="17" t="str">
        <f t="shared" si="102"/>
        <v/>
      </c>
      <c r="E2171" s="18" t="str">
        <f t="shared" si="100"/>
        <v/>
      </c>
      <c r="F2171" s="17" t="str">
        <f t="shared" si="101"/>
        <v/>
      </c>
    </row>
    <row r="2172" spans="2:6" x14ac:dyDescent="0.2">
      <c r="B2172" s="12"/>
      <c r="C2172" s="12"/>
      <c r="D2172" s="17" t="str">
        <f t="shared" si="102"/>
        <v/>
      </c>
      <c r="E2172" s="18" t="str">
        <f t="shared" si="100"/>
        <v/>
      </c>
      <c r="F2172" s="17" t="str">
        <f t="shared" si="101"/>
        <v/>
      </c>
    </row>
    <row r="2173" spans="2:6" x14ac:dyDescent="0.2">
      <c r="B2173" s="12"/>
      <c r="C2173" s="12"/>
      <c r="D2173" s="17" t="str">
        <f t="shared" si="102"/>
        <v/>
      </c>
      <c r="E2173" s="18" t="str">
        <f t="shared" si="100"/>
        <v/>
      </c>
      <c r="F2173" s="17" t="str">
        <f t="shared" si="101"/>
        <v/>
      </c>
    </row>
    <row r="2174" spans="2:6" x14ac:dyDescent="0.2">
      <c r="B2174" s="12"/>
      <c r="C2174" s="12"/>
      <c r="D2174" s="17" t="str">
        <f t="shared" si="102"/>
        <v/>
      </c>
      <c r="E2174" s="18" t="str">
        <f t="shared" si="100"/>
        <v/>
      </c>
      <c r="F2174" s="17" t="str">
        <f t="shared" si="101"/>
        <v/>
      </c>
    </row>
    <row r="2175" spans="2:6" x14ac:dyDescent="0.2">
      <c r="B2175" s="12"/>
      <c r="C2175" s="12"/>
      <c r="D2175" s="17" t="str">
        <f t="shared" si="102"/>
        <v/>
      </c>
      <c r="E2175" s="18" t="str">
        <f t="shared" si="100"/>
        <v/>
      </c>
      <c r="F2175" s="17" t="str">
        <f t="shared" si="101"/>
        <v/>
      </c>
    </row>
    <row r="2176" spans="2:6" x14ac:dyDescent="0.2">
      <c r="B2176" s="12"/>
      <c r="C2176" s="12"/>
      <c r="D2176" s="17" t="str">
        <f t="shared" si="102"/>
        <v/>
      </c>
      <c r="E2176" s="18" t="str">
        <f t="shared" si="100"/>
        <v/>
      </c>
      <c r="F2176" s="17" t="str">
        <f t="shared" si="101"/>
        <v/>
      </c>
    </row>
    <row r="2177" spans="2:6" x14ac:dyDescent="0.2">
      <c r="B2177" s="12"/>
      <c r="C2177" s="12"/>
      <c r="D2177" s="17" t="str">
        <f t="shared" si="102"/>
        <v/>
      </c>
      <c r="E2177" s="18" t="str">
        <f t="shared" si="100"/>
        <v/>
      </c>
      <c r="F2177" s="17" t="str">
        <f t="shared" si="101"/>
        <v/>
      </c>
    </row>
    <row r="2178" spans="2:6" x14ac:dyDescent="0.2">
      <c r="B2178" s="12"/>
      <c r="C2178" s="12"/>
      <c r="D2178" s="17" t="str">
        <f t="shared" si="102"/>
        <v/>
      </c>
      <c r="E2178" s="18" t="str">
        <f t="shared" si="100"/>
        <v/>
      </c>
      <c r="F2178" s="17" t="str">
        <f t="shared" si="101"/>
        <v/>
      </c>
    </row>
    <row r="2179" spans="2:6" x14ac:dyDescent="0.2">
      <c r="B2179" s="12"/>
      <c r="C2179" s="12"/>
      <c r="D2179" s="17" t="str">
        <f t="shared" si="102"/>
        <v/>
      </c>
      <c r="E2179" s="18" t="str">
        <f t="shared" si="100"/>
        <v/>
      </c>
      <c r="F2179" s="17" t="str">
        <f t="shared" si="101"/>
        <v/>
      </c>
    </row>
    <row r="2180" spans="2:6" x14ac:dyDescent="0.2">
      <c r="B2180" s="12"/>
      <c r="C2180" s="12"/>
      <c r="D2180" s="17" t="str">
        <f t="shared" si="102"/>
        <v/>
      </c>
      <c r="E2180" s="18" t="str">
        <f t="shared" si="100"/>
        <v/>
      </c>
      <c r="F2180" s="17" t="str">
        <f t="shared" si="101"/>
        <v/>
      </c>
    </row>
    <row r="2181" spans="2:6" x14ac:dyDescent="0.2">
      <c r="B2181" s="12"/>
      <c r="C2181" s="12"/>
      <c r="D2181" s="17" t="str">
        <f t="shared" si="102"/>
        <v/>
      </c>
      <c r="E2181" s="18" t="str">
        <f t="shared" ref="E2181:E2244" si="103">IF(B2181="","",ABS(C2181-D2181))</f>
        <v/>
      </c>
      <c r="F2181" s="17" t="str">
        <f t="shared" ref="F2181:F2244" si="104">IF(B2181="","",E2181^2)</f>
        <v/>
      </c>
    </row>
    <row r="2182" spans="2:6" x14ac:dyDescent="0.2">
      <c r="B2182" s="12"/>
      <c r="C2182" s="12"/>
      <c r="D2182" s="17" t="str">
        <f t="shared" si="102"/>
        <v/>
      </c>
      <c r="E2182" s="18" t="str">
        <f t="shared" si="103"/>
        <v/>
      </c>
      <c r="F2182" s="17" t="str">
        <f t="shared" si="104"/>
        <v/>
      </c>
    </row>
    <row r="2183" spans="2:6" x14ac:dyDescent="0.2">
      <c r="B2183" s="12"/>
      <c r="C2183" s="12"/>
      <c r="D2183" s="17" t="str">
        <f t="shared" si="102"/>
        <v/>
      </c>
      <c r="E2183" s="18" t="str">
        <f t="shared" si="103"/>
        <v/>
      </c>
      <c r="F2183" s="17" t="str">
        <f t="shared" si="104"/>
        <v/>
      </c>
    </row>
    <row r="2184" spans="2:6" x14ac:dyDescent="0.2">
      <c r="B2184" s="12"/>
      <c r="C2184" s="12"/>
      <c r="D2184" s="17" t="str">
        <f t="shared" si="102"/>
        <v/>
      </c>
      <c r="E2184" s="18" t="str">
        <f t="shared" si="103"/>
        <v/>
      </c>
      <c r="F2184" s="17" t="str">
        <f t="shared" si="104"/>
        <v/>
      </c>
    </row>
    <row r="2185" spans="2:6" x14ac:dyDescent="0.2">
      <c r="B2185" s="12"/>
      <c r="C2185" s="12"/>
      <c r="D2185" s="17" t="str">
        <f t="shared" si="102"/>
        <v/>
      </c>
      <c r="E2185" s="18" t="str">
        <f t="shared" si="103"/>
        <v/>
      </c>
      <c r="F2185" s="17" t="str">
        <f t="shared" si="104"/>
        <v/>
      </c>
    </row>
    <row r="2186" spans="2:6" x14ac:dyDescent="0.2">
      <c r="B2186" s="12"/>
      <c r="C2186" s="12"/>
      <c r="D2186" s="17" t="str">
        <f t="shared" si="102"/>
        <v/>
      </c>
      <c r="E2186" s="18" t="str">
        <f t="shared" si="103"/>
        <v/>
      </c>
      <c r="F2186" s="17" t="str">
        <f t="shared" si="104"/>
        <v/>
      </c>
    </row>
    <row r="2187" spans="2:6" x14ac:dyDescent="0.2">
      <c r="B2187" s="12"/>
      <c r="C2187" s="12"/>
      <c r="D2187" s="17" t="str">
        <f t="shared" si="102"/>
        <v/>
      </c>
      <c r="E2187" s="18" t="str">
        <f t="shared" si="103"/>
        <v/>
      </c>
      <c r="F2187" s="17" t="str">
        <f t="shared" si="104"/>
        <v/>
      </c>
    </row>
    <row r="2188" spans="2:6" x14ac:dyDescent="0.2">
      <c r="B2188" s="12"/>
      <c r="C2188" s="12"/>
      <c r="D2188" s="17" t="str">
        <f t="shared" si="102"/>
        <v/>
      </c>
      <c r="E2188" s="18" t="str">
        <f t="shared" si="103"/>
        <v/>
      </c>
      <c r="F2188" s="17" t="str">
        <f t="shared" si="104"/>
        <v/>
      </c>
    </row>
    <row r="2189" spans="2:6" x14ac:dyDescent="0.2">
      <c r="B2189" s="12"/>
      <c r="C2189" s="12"/>
      <c r="D2189" s="17" t="str">
        <f t="shared" si="102"/>
        <v/>
      </c>
      <c r="E2189" s="18" t="str">
        <f t="shared" si="103"/>
        <v/>
      </c>
      <c r="F2189" s="17" t="str">
        <f t="shared" si="104"/>
        <v/>
      </c>
    </row>
    <row r="2190" spans="2:6" x14ac:dyDescent="0.2">
      <c r="B2190" s="12"/>
      <c r="C2190" s="12"/>
      <c r="D2190" s="17" t="str">
        <f t="shared" si="102"/>
        <v/>
      </c>
      <c r="E2190" s="18" t="str">
        <f t="shared" si="103"/>
        <v/>
      </c>
      <c r="F2190" s="17" t="str">
        <f t="shared" si="104"/>
        <v/>
      </c>
    </row>
    <row r="2191" spans="2:6" x14ac:dyDescent="0.2">
      <c r="B2191" s="12"/>
      <c r="C2191" s="12"/>
      <c r="D2191" s="17" t="str">
        <f t="shared" si="102"/>
        <v/>
      </c>
      <c r="E2191" s="18" t="str">
        <f t="shared" si="103"/>
        <v/>
      </c>
      <c r="F2191" s="17" t="str">
        <f t="shared" si="104"/>
        <v/>
      </c>
    </row>
    <row r="2192" spans="2:6" x14ac:dyDescent="0.2">
      <c r="B2192" s="12"/>
      <c r="C2192" s="12"/>
      <c r="D2192" s="17" t="str">
        <f t="shared" si="102"/>
        <v/>
      </c>
      <c r="E2192" s="18" t="str">
        <f t="shared" si="103"/>
        <v/>
      </c>
      <c r="F2192" s="17" t="str">
        <f t="shared" si="104"/>
        <v/>
      </c>
    </row>
    <row r="2193" spans="2:6" x14ac:dyDescent="0.2">
      <c r="B2193" s="12"/>
      <c r="C2193" s="12"/>
      <c r="D2193" s="17" t="str">
        <f t="shared" si="102"/>
        <v/>
      </c>
      <c r="E2193" s="18" t="str">
        <f t="shared" si="103"/>
        <v/>
      </c>
      <c r="F2193" s="17" t="str">
        <f t="shared" si="104"/>
        <v/>
      </c>
    </row>
    <row r="2194" spans="2:6" x14ac:dyDescent="0.2">
      <c r="B2194" s="12"/>
      <c r="C2194" s="12"/>
      <c r="D2194" s="17" t="str">
        <f t="shared" ref="D2194:D2257" si="105">IF(B2194="","",a+b*B2194)</f>
        <v/>
      </c>
      <c r="E2194" s="18" t="str">
        <f t="shared" si="103"/>
        <v/>
      </c>
      <c r="F2194" s="17" t="str">
        <f t="shared" si="104"/>
        <v/>
      </c>
    </row>
    <row r="2195" spans="2:6" x14ac:dyDescent="0.2">
      <c r="B2195" s="12"/>
      <c r="C2195" s="12"/>
      <c r="D2195" s="17" t="str">
        <f t="shared" si="105"/>
        <v/>
      </c>
      <c r="E2195" s="18" t="str">
        <f t="shared" si="103"/>
        <v/>
      </c>
      <c r="F2195" s="17" t="str">
        <f t="shared" si="104"/>
        <v/>
      </c>
    </row>
    <row r="2196" spans="2:6" x14ac:dyDescent="0.2">
      <c r="B2196" s="12"/>
      <c r="C2196" s="12"/>
      <c r="D2196" s="17" t="str">
        <f t="shared" si="105"/>
        <v/>
      </c>
      <c r="E2196" s="18" t="str">
        <f t="shared" si="103"/>
        <v/>
      </c>
      <c r="F2196" s="17" t="str">
        <f t="shared" si="104"/>
        <v/>
      </c>
    </row>
    <row r="2197" spans="2:6" x14ac:dyDescent="0.2">
      <c r="B2197" s="12"/>
      <c r="C2197" s="12"/>
      <c r="D2197" s="17" t="str">
        <f t="shared" si="105"/>
        <v/>
      </c>
      <c r="E2197" s="18" t="str">
        <f t="shared" si="103"/>
        <v/>
      </c>
      <c r="F2197" s="17" t="str">
        <f t="shared" si="104"/>
        <v/>
      </c>
    </row>
    <row r="2198" spans="2:6" x14ac:dyDescent="0.2">
      <c r="B2198" s="12"/>
      <c r="C2198" s="12"/>
      <c r="D2198" s="17" t="str">
        <f t="shared" si="105"/>
        <v/>
      </c>
      <c r="E2198" s="18" t="str">
        <f t="shared" si="103"/>
        <v/>
      </c>
      <c r="F2198" s="17" t="str">
        <f t="shared" si="104"/>
        <v/>
      </c>
    </row>
    <row r="2199" spans="2:6" x14ac:dyDescent="0.2">
      <c r="B2199" s="12"/>
      <c r="C2199" s="12"/>
      <c r="D2199" s="17" t="str">
        <f t="shared" si="105"/>
        <v/>
      </c>
      <c r="E2199" s="18" t="str">
        <f t="shared" si="103"/>
        <v/>
      </c>
      <c r="F2199" s="17" t="str">
        <f t="shared" si="104"/>
        <v/>
      </c>
    </row>
    <row r="2200" spans="2:6" x14ac:dyDescent="0.2">
      <c r="B2200" s="12"/>
      <c r="C2200" s="12"/>
      <c r="D2200" s="17" t="str">
        <f t="shared" si="105"/>
        <v/>
      </c>
      <c r="E2200" s="18" t="str">
        <f t="shared" si="103"/>
        <v/>
      </c>
      <c r="F2200" s="17" t="str">
        <f t="shared" si="104"/>
        <v/>
      </c>
    </row>
    <row r="2201" spans="2:6" x14ac:dyDescent="0.2">
      <c r="B2201" s="12"/>
      <c r="C2201" s="12"/>
      <c r="D2201" s="17" t="str">
        <f t="shared" si="105"/>
        <v/>
      </c>
      <c r="E2201" s="18" t="str">
        <f t="shared" si="103"/>
        <v/>
      </c>
      <c r="F2201" s="17" t="str">
        <f t="shared" si="104"/>
        <v/>
      </c>
    </row>
    <row r="2202" spans="2:6" x14ac:dyDescent="0.2">
      <c r="B2202" s="12"/>
      <c r="C2202" s="12"/>
      <c r="D2202" s="17" t="str">
        <f t="shared" si="105"/>
        <v/>
      </c>
      <c r="E2202" s="18" t="str">
        <f t="shared" si="103"/>
        <v/>
      </c>
      <c r="F2202" s="17" t="str">
        <f t="shared" si="104"/>
        <v/>
      </c>
    </row>
    <row r="2203" spans="2:6" x14ac:dyDescent="0.2">
      <c r="B2203" s="12"/>
      <c r="C2203" s="12"/>
      <c r="D2203" s="17" t="str">
        <f t="shared" si="105"/>
        <v/>
      </c>
      <c r="E2203" s="18" t="str">
        <f t="shared" si="103"/>
        <v/>
      </c>
      <c r="F2203" s="17" t="str">
        <f t="shared" si="104"/>
        <v/>
      </c>
    </row>
    <row r="2204" spans="2:6" x14ac:dyDescent="0.2">
      <c r="B2204" s="12"/>
      <c r="C2204" s="12"/>
      <c r="D2204" s="17" t="str">
        <f t="shared" si="105"/>
        <v/>
      </c>
      <c r="E2204" s="18" t="str">
        <f t="shared" si="103"/>
        <v/>
      </c>
      <c r="F2204" s="17" t="str">
        <f t="shared" si="104"/>
        <v/>
      </c>
    </row>
    <row r="2205" spans="2:6" x14ac:dyDescent="0.2">
      <c r="B2205" s="12"/>
      <c r="C2205" s="12"/>
      <c r="D2205" s="17" t="str">
        <f t="shared" si="105"/>
        <v/>
      </c>
      <c r="E2205" s="18" t="str">
        <f t="shared" si="103"/>
        <v/>
      </c>
      <c r="F2205" s="17" t="str">
        <f t="shared" si="104"/>
        <v/>
      </c>
    </row>
    <row r="2206" spans="2:6" x14ac:dyDescent="0.2">
      <c r="B2206" s="12"/>
      <c r="C2206" s="12"/>
      <c r="D2206" s="17" t="str">
        <f t="shared" si="105"/>
        <v/>
      </c>
      <c r="E2206" s="18" t="str">
        <f t="shared" si="103"/>
        <v/>
      </c>
      <c r="F2206" s="17" t="str">
        <f t="shared" si="104"/>
        <v/>
      </c>
    </row>
    <row r="2207" spans="2:6" x14ac:dyDescent="0.2">
      <c r="B2207" s="12"/>
      <c r="C2207" s="12"/>
      <c r="D2207" s="17" t="str">
        <f t="shared" si="105"/>
        <v/>
      </c>
      <c r="E2207" s="18" t="str">
        <f t="shared" si="103"/>
        <v/>
      </c>
      <c r="F2207" s="17" t="str">
        <f t="shared" si="104"/>
        <v/>
      </c>
    </row>
    <row r="2208" spans="2:6" x14ac:dyDescent="0.2">
      <c r="B2208" s="12"/>
      <c r="C2208" s="12"/>
      <c r="D2208" s="17" t="str">
        <f t="shared" si="105"/>
        <v/>
      </c>
      <c r="E2208" s="18" t="str">
        <f t="shared" si="103"/>
        <v/>
      </c>
      <c r="F2208" s="17" t="str">
        <f t="shared" si="104"/>
        <v/>
      </c>
    </row>
    <row r="2209" spans="2:6" x14ac:dyDescent="0.2">
      <c r="B2209" s="12"/>
      <c r="C2209" s="12"/>
      <c r="D2209" s="17" t="str">
        <f t="shared" si="105"/>
        <v/>
      </c>
      <c r="E2209" s="18" t="str">
        <f t="shared" si="103"/>
        <v/>
      </c>
      <c r="F2209" s="17" t="str">
        <f t="shared" si="104"/>
        <v/>
      </c>
    </row>
    <row r="2210" spans="2:6" x14ac:dyDescent="0.2">
      <c r="B2210" s="12"/>
      <c r="C2210" s="12"/>
      <c r="D2210" s="17" t="str">
        <f t="shared" si="105"/>
        <v/>
      </c>
      <c r="E2210" s="18" t="str">
        <f t="shared" si="103"/>
        <v/>
      </c>
      <c r="F2210" s="17" t="str">
        <f t="shared" si="104"/>
        <v/>
      </c>
    </row>
    <row r="2211" spans="2:6" x14ac:dyDescent="0.2">
      <c r="B2211" s="12"/>
      <c r="C2211" s="12"/>
      <c r="D2211" s="17" t="str">
        <f t="shared" si="105"/>
        <v/>
      </c>
      <c r="E2211" s="18" t="str">
        <f t="shared" si="103"/>
        <v/>
      </c>
      <c r="F2211" s="17" t="str">
        <f t="shared" si="104"/>
        <v/>
      </c>
    </row>
    <row r="2212" spans="2:6" x14ac:dyDescent="0.2">
      <c r="B2212" s="12"/>
      <c r="C2212" s="12"/>
      <c r="D2212" s="17" t="str">
        <f t="shared" si="105"/>
        <v/>
      </c>
      <c r="E2212" s="18" t="str">
        <f t="shared" si="103"/>
        <v/>
      </c>
      <c r="F2212" s="17" t="str">
        <f t="shared" si="104"/>
        <v/>
      </c>
    </row>
    <row r="2213" spans="2:6" x14ac:dyDescent="0.2">
      <c r="B2213" s="12"/>
      <c r="C2213" s="12"/>
      <c r="D2213" s="17" t="str">
        <f t="shared" si="105"/>
        <v/>
      </c>
      <c r="E2213" s="18" t="str">
        <f t="shared" si="103"/>
        <v/>
      </c>
      <c r="F2213" s="17" t="str">
        <f t="shared" si="104"/>
        <v/>
      </c>
    </row>
    <row r="2214" spans="2:6" x14ac:dyDescent="0.2">
      <c r="B2214" s="12"/>
      <c r="C2214" s="12"/>
      <c r="D2214" s="17" t="str">
        <f t="shared" si="105"/>
        <v/>
      </c>
      <c r="E2214" s="18" t="str">
        <f t="shared" si="103"/>
        <v/>
      </c>
      <c r="F2214" s="17" t="str">
        <f t="shared" si="104"/>
        <v/>
      </c>
    </row>
    <row r="2215" spans="2:6" x14ac:dyDescent="0.2">
      <c r="B2215" s="12"/>
      <c r="C2215" s="12"/>
      <c r="D2215" s="17" t="str">
        <f t="shared" si="105"/>
        <v/>
      </c>
      <c r="E2215" s="18" t="str">
        <f t="shared" si="103"/>
        <v/>
      </c>
      <c r="F2215" s="17" t="str">
        <f t="shared" si="104"/>
        <v/>
      </c>
    </row>
    <row r="2216" spans="2:6" x14ac:dyDescent="0.2">
      <c r="B2216" s="12"/>
      <c r="C2216" s="12"/>
      <c r="D2216" s="17" t="str">
        <f t="shared" si="105"/>
        <v/>
      </c>
      <c r="E2216" s="18" t="str">
        <f t="shared" si="103"/>
        <v/>
      </c>
      <c r="F2216" s="17" t="str">
        <f t="shared" si="104"/>
        <v/>
      </c>
    </row>
    <row r="2217" spans="2:6" x14ac:dyDescent="0.2">
      <c r="B2217" s="12"/>
      <c r="C2217" s="12"/>
      <c r="D2217" s="17" t="str">
        <f t="shared" si="105"/>
        <v/>
      </c>
      <c r="E2217" s="18" t="str">
        <f t="shared" si="103"/>
        <v/>
      </c>
      <c r="F2217" s="17" t="str">
        <f t="shared" si="104"/>
        <v/>
      </c>
    </row>
    <row r="2218" spans="2:6" x14ac:dyDescent="0.2">
      <c r="B2218" s="12"/>
      <c r="C2218" s="12"/>
      <c r="D2218" s="17" t="str">
        <f t="shared" si="105"/>
        <v/>
      </c>
      <c r="E2218" s="18" t="str">
        <f t="shared" si="103"/>
        <v/>
      </c>
      <c r="F2218" s="17" t="str">
        <f t="shared" si="104"/>
        <v/>
      </c>
    </row>
    <row r="2219" spans="2:6" x14ac:dyDescent="0.2">
      <c r="B2219" s="12"/>
      <c r="C2219" s="12"/>
      <c r="D2219" s="17" t="str">
        <f t="shared" si="105"/>
        <v/>
      </c>
      <c r="E2219" s="18" t="str">
        <f t="shared" si="103"/>
        <v/>
      </c>
      <c r="F2219" s="17" t="str">
        <f t="shared" si="104"/>
        <v/>
      </c>
    </row>
    <row r="2220" spans="2:6" x14ac:dyDescent="0.2">
      <c r="B2220" s="12"/>
      <c r="C2220" s="12"/>
      <c r="D2220" s="17" t="str">
        <f t="shared" si="105"/>
        <v/>
      </c>
      <c r="E2220" s="18" t="str">
        <f t="shared" si="103"/>
        <v/>
      </c>
      <c r="F2220" s="17" t="str">
        <f t="shared" si="104"/>
        <v/>
      </c>
    </row>
    <row r="2221" spans="2:6" x14ac:dyDescent="0.2">
      <c r="B2221" s="12"/>
      <c r="C2221" s="12"/>
      <c r="D2221" s="17" t="str">
        <f t="shared" si="105"/>
        <v/>
      </c>
      <c r="E2221" s="18" t="str">
        <f t="shared" si="103"/>
        <v/>
      </c>
      <c r="F2221" s="17" t="str">
        <f t="shared" si="104"/>
        <v/>
      </c>
    </row>
    <row r="2222" spans="2:6" x14ac:dyDescent="0.2">
      <c r="B2222" s="12"/>
      <c r="C2222" s="12"/>
      <c r="D2222" s="17" t="str">
        <f t="shared" si="105"/>
        <v/>
      </c>
      <c r="E2222" s="18" t="str">
        <f t="shared" si="103"/>
        <v/>
      </c>
      <c r="F2222" s="17" t="str">
        <f t="shared" si="104"/>
        <v/>
      </c>
    </row>
    <row r="2223" spans="2:6" x14ac:dyDescent="0.2">
      <c r="B2223" s="12"/>
      <c r="C2223" s="12"/>
      <c r="D2223" s="17" t="str">
        <f t="shared" si="105"/>
        <v/>
      </c>
      <c r="E2223" s="18" t="str">
        <f t="shared" si="103"/>
        <v/>
      </c>
      <c r="F2223" s="17" t="str">
        <f t="shared" si="104"/>
        <v/>
      </c>
    </row>
    <row r="2224" spans="2:6" x14ac:dyDescent="0.2">
      <c r="B2224" s="12"/>
      <c r="C2224" s="12"/>
      <c r="D2224" s="17" t="str">
        <f t="shared" si="105"/>
        <v/>
      </c>
      <c r="E2224" s="18" t="str">
        <f t="shared" si="103"/>
        <v/>
      </c>
      <c r="F2224" s="17" t="str">
        <f t="shared" si="104"/>
        <v/>
      </c>
    </row>
    <row r="2225" spans="2:6" x14ac:dyDescent="0.2">
      <c r="B2225" s="12"/>
      <c r="C2225" s="12"/>
      <c r="D2225" s="17" t="str">
        <f t="shared" si="105"/>
        <v/>
      </c>
      <c r="E2225" s="18" t="str">
        <f t="shared" si="103"/>
        <v/>
      </c>
      <c r="F2225" s="17" t="str">
        <f t="shared" si="104"/>
        <v/>
      </c>
    </row>
    <row r="2226" spans="2:6" x14ac:dyDescent="0.2">
      <c r="B2226" s="12"/>
      <c r="C2226" s="12"/>
      <c r="D2226" s="17" t="str">
        <f t="shared" si="105"/>
        <v/>
      </c>
      <c r="E2226" s="18" t="str">
        <f t="shared" si="103"/>
        <v/>
      </c>
      <c r="F2226" s="17" t="str">
        <f t="shared" si="104"/>
        <v/>
      </c>
    </row>
    <row r="2227" spans="2:6" x14ac:dyDescent="0.2">
      <c r="B2227" s="12"/>
      <c r="C2227" s="12"/>
      <c r="D2227" s="17" t="str">
        <f t="shared" si="105"/>
        <v/>
      </c>
      <c r="E2227" s="18" t="str">
        <f t="shared" si="103"/>
        <v/>
      </c>
      <c r="F2227" s="17" t="str">
        <f t="shared" si="104"/>
        <v/>
      </c>
    </row>
    <row r="2228" spans="2:6" x14ac:dyDescent="0.2">
      <c r="B2228" s="12"/>
      <c r="C2228" s="12"/>
      <c r="D2228" s="17" t="str">
        <f t="shared" si="105"/>
        <v/>
      </c>
      <c r="E2228" s="18" t="str">
        <f t="shared" si="103"/>
        <v/>
      </c>
      <c r="F2228" s="17" t="str">
        <f t="shared" si="104"/>
        <v/>
      </c>
    </row>
    <row r="2229" spans="2:6" x14ac:dyDescent="0.2">
      <c r="B2229" s="12"/>
      <c r="C2229" s="12"/>
      <c r="D2229" s="17" t="str">
        <f t="shared" si="105"/>
        <v/>
      </c>
      <c r="E2229" s="18" t="str">
        <f t="shared" si="103"/>
        <v/>
      </c>
      <c r="F2229" s="17" t="str">
        <f t="shared" si="104"/>
        <v/>
      </c>
    </row>
    <row r="2230" spans="2:6" x14ac:dyDescent="0.2">
      <c r="B2230" s="12"/>
      <c r="C2230" s="12"/>
      <c r="D2230" s="17" t="str">
        <f t="shared" si="105"/>
        <v/>
      </c>
      <c r="E2230" s="18" t="str">
        <f t="shared" si="103"/>
        <v/>
      </c>
      <c r="F2230" s="17" t="str">
        <f t="shared" si="104"/>
        <v/>
      </c>
    </row>
    <row r="2231" spans="2:6" x14ac:dyDescent="0.2">
      <c r="B2231" s="12"/>
      <c r="C2231" s="12"/>
      <c r="D2231" s="17" t="str">
        <f t="shared" si="105"/>
        <v/>
      </c>
      <c r="E2231" s="18" t="str">
        <f t="shared" si="103"/>
        <v/>
      </c>
      <c r="F2231" s="17" t="str">
        <f t="shared" si="104"/>
        <v/>
      </c>
    </row>
    <row r="2232" spans="2:6" x14ac:dyDescent="0.2">
      <c r="B2232" s="12"/>
      <c r="C2232" s="12"/>
      <c r="D2232" s="17" t="str">
        <f t="shared" si="105"/>
        <v/>
      </c>
      <c r="E2232" s="18" t="str">
        <f t="shared" si="103"/>
        <v/>
      </c>
      <c r="F2232" s="17" t="str">
        <f t="shared" si="104"/>
        <v/>
      </c>
    </row>
    <row r="2233" spans="2:6" x14ac:dyDescent="0.2">
      <c r="B2233" s="12"/>
      <c r="C2233" s="12"/>
      <c r="D2233" s="17" t="str">
        <f t="shared" si="105"/>
        <v/>
      </c>
      <c r="E2233" s="18" t="str">
        <f t="shared" si="103"/>
        <v/>
      </c>
      <c r="F2233" s="17" t="str">
        <f t="shared" si="104"/>
        <v/>
      </c>
    </row>
    <row r="2234" spans="2:6" x14ac:dyDescent="0.2">
      <c r="B2234" s="12"/>
      <c r="C2234" s="12"/>
      <c r="D2234" s="17" t="str">
        <f t="shared" si="105"/>
        <v/>
      </c>
      <c r="E2234" s="18" t="str">
        <f t="shared" si="103"/>
        <v/>
      </c>
      <c r="F2234" s="17" t="str">
        <f t="shared" si="104"/>
        <v/>
      </c>
    </row>
    <row r="2235" spans="2:6" x14ac:dyDescent="0.2">
      <c r="B2235" s="12"/>
      <c r="C2235" s="12"/>
      <c r="D2235" s="17" t="str">
        <f t="shared" si="105"/>
        <v/>
      </c>
      <c r="E2235" s="18" t="str">
        <f t="shared" si="103"/>
        <v/>
      </c>
      <c r="F2235" s="17" t="str">
        <f t="shared" si="104"/>
        <v/>
      </c>
    </row>
    <row r="2236" spans="2:6" x14ac:dyDescent="0.2">
      <c r="B2236" s="12"/>
      <c r="C2236" s="12"/>
      <c r="D2236" s="17" t="str">
        <f t="shared" si="105"/>
        <v/>
      </c>
      <c r="E2236" s="18" t="str">
        <f t="shared" si="103"/>
        <v/>
      </c>
      <c r="F2236" s="17" t="str">
        <f t="shared" si="104"/>
        <v/>
      </c>
    </row>
    <row r="2237" spans="2:6" x14ac:dyDescent="0.2">
      <c r="B2237" s="12"/>
      <c r="C2237" s="12"/>
      <c r="D2237" s="17" t="str">
        <f t="shared" si="105"/>
        <v/>
      </c>
      <c r="E2237" s="18" t="str">
        <f t="shared" si="103"/>
        <v/>
      </c>
      <c r="F2237" s="17" t="str">
        <f t="shared" si="104"/>
        <v/>
      </c>
    </row>
    <row r="2238" spans="2:6" x14ac:dyDescent="0.2">
      <c r="B2238" s="12"/>
      <c r="C2238" s="12"/>
      <c r="D2238" s="17" t="str">
        <f t="shared" si="105"/>
        <v/>
      </c>
      <c r="E2238" s="18" t="str">
        <f t="shared" si="103"/>
        <v/>
      </c>
      <c r="F2238" s="17" t="str">
        <f t="shared" si="104"/>
        <v/>
      </c>
    </row>
    <row r="2239" spans="2:6" x14ac:dyDescent="0.2">
      <c r="B2239" s="12"/>
      <c r="C2239" s="12"/>
      <c r="D2239" s="17" t="str">
        <f t="shared" si="105"/>
        <v/>
      </c>
      <c r="E2239" s="18" t="str">
        <f t="shared" si="103"/>
        <v/>
      </c>
      <c r="F2239" s="17" t="str">
        <f t="shared" si="104"/>
        <v/>
      </c>
    </row>
    <row r="2240" spans="2:6" x14ac:dyDescent="0.2">
      <c r="B2240" s="12"/>
      <c r="C2240" s="12"/>
      <c r="D2240" s="17" t="str">
        <f t="shared" si="105"/>
        <v/>
      </c>
      <c r="E2240" s="18" t="str">
        <f t="shared" si="103"/>
        <v/>
      </c>
      <c r="F2240" s="17" t="str">
        <f t="shared" si="104"/>
        <v/>
      </c>
    </row>
    <row r="2241" spans="2:6" x14ac:dyDescent="0.2">
      <c r="B2241" s="12"/>
      <c r="C2241" s="12"/>
      <c r="D2241" s="17" t="str">
        <f t="shared" si="105"/>
        <v/>
      </c>
      <c r="E2241" s="18" t="str">
        <f t="shared" si="103"/>
        <v/>
      </c>
      <c r="F2241" s="17" t="str">
        <f t="shared" si="104"/>
        <v/>
      </c>
    </row>
    <row r="2242" spans="2:6" x14ac:dyDescent="0.2">
      <c r="B2242" s="12"/>
      <c r="C2242" s="12"/>
      <c r="D2242" s="17" t="str">
        <f t="shared" si="105"/>
        <v/>
      </c>
      <c r="E2242" s="18" t="str">
        <f t="shared" si="103"/>
        <v/>
      </c>
      <c r="F2242" s="17" t="str">
        <f t="shared" si="104"/>
        <v/>
      </c>
    </row>
    <row r="2243" spans="2:6" x14ac:dyDescent="0.2">
      <c r="B2243" s="12"/>
      <c r="C2243" s="12"/>
      <c r="D2243" s="17" t="str">
        <f t="shared" si="105"/>
        <v/>
      </c>
      <c r="E2243" s="18" t="str">
        <f t="shared" si="103"/>
        <v/>
      </c>
      <c r="F2243" s="17" t="str">
        <f t="shared" si="104"/>
        <v/>
      </c>
    </row>
    <row r="2244" spans="2:6" x14ac:dyDescent="0.2">
      <c r="B2244" s="12"/>
      <c r="C2244" s="12"/>
      <c r="D2244" s="17" t="str">
        <f t="shared" si="105"/>
        <v/>
      </c>
      <c r="E2244" s="18" t="str">
        <f t="shared" si="103"/>
        <v/>
      </c>
      <c r="F2244" s="17" t="str">
        <f t="shared" si="104"/>
        <v/>
      </c>
    </row>
    <row r="2245" spans="2:6" x14ac:dyDescent="0.2">
      <c r="B2245" s="12"/>
      <c r="C2245" s="12"/>
      <c r="D2245" s="17" t="str">
        <f t="shared" si="105"/>
        <v/>
      </c>
      <c r="E2245" s="18" t="str">
        <f t="shared" ref="E2245:E2308" si="106">IF(B2245="","",ABS(C2245-D2245))</f>
        <v/>
      </c>
      <c r="F2245" s="17" t="str">
        <f t="shared" ref="F2245:F2308" si="107">IF(B2245="","",E2245^2)</f>
        <v/>
      </c>
    </row>
    <row r="2246" spans="2:6" x14ac:dyDescent="0.2">
      <c r="B2246" s="12"/>
      <c r="C2246" s="12"/>
      <c r="D2246" s="17" t="str">
        <f t="shared" si="105"/>
        <v/>
      </c>
      <c r="E2246" s="18" t="str">
        <f t="shared" si="106"/>
        <v/>
      </c>
      <c r="F2246" s="17" t="str">
        <f t="shared" si="107"/>
        <v/>
      </c>
    </row>
    <row r="2247" spans="2:6" x14ac:dyDescent="0.2">
      <c r="B2247" s="12"/>
      <c r="C2247" s="12"/>
      <c r="D2247" s="17" t="str">
        <f t="shared" si="105"/>
        <v/>
      </c>
      <c r="E2247" s="18" t="str">
        <f t="shared" si="106"/>
        <v/>
      </c>
      <c r="F2247" s="17" t="str">
        <f t="shared" si="107"/>
        <v/>
      </c>
    </row>
    <row r="2248" spans="2:6" x14ac:dyDescent="0.2">
      <c r="B2248" s="12"/>
      <c r="C2248" s="12"/>
      <c r="D2248" s="17" t="str">
        <f t="shared" si="105"/>
        <v/>
      </c>
      <c r="E2248" s="18" t="str">
        <f t="shared" si="106"/>
        <v/>
      </c>
      <c r="F2248" s="17" t="str">
        <f t="shared" si="107"/>
        <v/>
      </c>
    </row>
    <row r="2249" spans="2:6" x14ac:dyDescent="0.2">
      <c r="B2249" s="12"/>
      <c r="C2249" s="12"/>
      <c r="D2249" s="17" t="str">
        <f t="shared" si="105"/>
        <v/>
      </c>
      <c r="E2249" s="18" t="str">
        <f t="shared" si="106"/>
        <v/>
      </c>
      <c r="F2249" s="17" t="str">
        <f t="shared" si="107"/>
        <v/>
      </c>
    </row>
    <row r="2250" spans="2:6" x14ac:dyDescent="0.2">
      <c r="B2250" s="12"/>
      <c r="C2250" s="12"/>
      <c r="D2250" s="17" t="str">
        <f t="shared" si="105"/>
        <v/>
      </c>
      <c r="E2250" s="18" t="str">
        <f t="shared" si="106"/>
        <v/>
      </c>
      <c r="F2250" s="17" t="str">
        <f t="shared" si="107"/>
        <v/>
      </c>
    </row>
    <row r="2251" spans="2:6" x14ac:dyDescent="0.2">
      <c r="B2251" s="12"/>
      <c r="C2251" s="12"/>
      <c r="D2251" s="17" t="str">
        <f t="shared" si="105"/>
        <v/>
      </c>
      <c r="E2251" s="18" t="str">
        <f t="shared" si="106"/>
        <v/>
      </c>
      <c r="F2251" s="17" t="str">
        <f t="shared" si="107"/>
        <v/>
      </c>
    </row>
    <row r="2252" spans="2:6" x14ac:dyDescent="0.2">
      <c r="B2252" s="12"/>
      <c r="C2252" s="12"/>
      <c r="D2252" s="17" t="str">
        <f t="shared" si="105"/>
        <v/>
      </c>
      <c r="E2252" s="18" t="str">
        <f t="shared" si="106"/>
        <v/>
      </c>
      <c r="F2252" s="17" t="str">
        <f t="shared" si="107"/>
        <v/>
      </c>
    </row>
    <row r="2253" spans="2:6" x14ac:dyDescent="0.2">
      <c r="B2253" s="12"/>
      <c r="C2253" s="12"/>
      <c r="D2253" s="17" t="str">
        <f t="shared" si="105"/>
        <v/>
      </c>
      <c r="E2253" s="18" t="str">
        <f t="shared" si="106"/>
        <v/>
      </c>
      <c r="F2253" s="17" t="str">
        <f t="shared" si="107"/>
        <v/>
      </c>
    </row>
    <row r="2254" spans="2:6" x14ac:dyDescent="0.2">
      <c r="B2254" s="12"/>
      <c r="C2254" s="12"/>
      <c r="D2254" s="17" t="str">
        <f t="shared" si="105"/>
        <v/>
      </c>
      <c r="E2254" s="18" t="str">
        <f t="shared" si="106"/>
        <v/>
      </c>
      <c r="F2254" s="17" t="str">
        <f t="shared" si="107"/>
        <v/>
      </c>
    </row>
    <row r="2255" spans="2:6" x14ac:dyDescent="0.2">
      <c r="B2255" s="12"/>
      <c r="C2255" s="12"/>
      <c r="D2255" s="17" t="str">
        <f t="shared" si="105"/>
        <v/>
      </c>
      <c r="E2255" s="18" t="str">
        <f t="shared" si="106"/>
        <v/>
      </c>
      <c r="F2255" s="17" t="str">
        <f t="shared" si="107"/>
        <v/>
      </c>
    </row>
    <row r="2256" spans="2:6" x14ac:dyDescent="0.2">
      <c r="B2256" s="12"/>
      <c r="C2256" s="12"/>
      <c r="D2256" s="17" t="str">
        <f t="shared" si="105"/>
        <v/>
      </c>
      <c r="E2256" s="18" t="str">
        <f t="shared" si="106"/>
        <v/>
      </c>
      <c r="F2256" s="17" t="str">
        <f t="shared" si="107"/>
        <v/>
      </c>
    </row>
    <row r="2257" spans="2:6" x14ac:dyDescent="0.2">
      <c r="B2257" s="12"/>
      <c r="C2257" s="12"/>
      <c r="D2257" s="17" t="str">
        <f t="shared" si="105"/>
        <v/>
      </c>
      <c r="E2257" s="18" t="str">
        <f t="shared" si="106"/>
        <v/>
      </c>
      <c r="F2257" s="17" t="str">
        <f t="shared" si="107"/>
        <v/>
      </c>
    </row>
    <row r="2258" spans="2:6" x14ac:dyDescent="0.2">
      <c r="B2258" s="12"/>
      <c r="C2258" s="12"/>
      <c r="D2258" s="17" t="str">
        <f t="shared" ref="D2258:D2321" si="108">IF(B2258="","",a+b*B2258)</f>
        <v/>
      </c>
      <c r="E2258" s="18" t="str">
        <f t="shared" si="106"/>
        <v/>
      </c>
      <c r="F2258" s="17" t="str">
        <f t="shared" si="107"/>
        <v/>
      </c>
    </row>
    <row r="2259" spans="2:6" x14ac:dyDescent="0.2">
      <c r="B2259" s="12"/>
      <c r="C2259" s="12"/>
      <c r="D2259" s="17" t="str">
        <f t="shared" si="108"/>
        <v/>
      </c>
      <c r="E2259" s="18" t="str">
        <f t="shared" si="106"/>
        <v/>
      </c>
      <c r="F2259" s="17" t="str">
        <f t="shared" si="107"/>
        <v/>
      </c>
    </row>
    <row r="2260" spans="2:6" x14ac:dyDescent="0.2">
      <c r="B2260" s="12"/>
      <c r="C2260" s="12"/>
      <c r="D2260" s="17" t="str">
        <f t="shared" si="108"/>
        <v/>
      </c>
      <c r="E2260" s="18" t="str">
        <f t="shared" si="106"/>
        <v/>
      </c>
      <c r="F2260" s="17" t="str">
        <f t="shared" si="107"/>
        <v/>
      </c>
    </row>
    <row r="2261" spans="2:6" x14ac:dyDescent="0.2">
      <c r="B2261" s="12"/>
      <c r="C2261" s="12"/>
      <c r="D2261" s="17" t="str">
        <f t="shared" si="108"/>
        <v/>
      </c>
      <c r="E2261" s="18" t="str">
        <f t="shared" si="106"/>
        <v/>
      </c>
      <c r="F2261" s="17" t="str">
        <f t="shared" si="107"/>
        <v/>
      </c>
    </row>
    <row r="2262" spans="2:6" x14ac:dyDescent="0.2">
      <c r="B2262" s="12"/>
      <c r="C2262" s="12"/>
      <c r="D2262" s="17" t="str">
        <f t="shared" si="108"/>
        <v/>
      </c>
      <c r="E2262" s="18" t="str">
        <f t="shared" si="106"/>
        <v/>
      </c>
      <c r="F2262" s="17" t="str">
        <f t="shared" si="107"/>
        <v/>
      </c>
    </row>
    <row r="2263" spans="2:6" x14ac:dyDescent="0.2">
      <c r="B2263" s="12"/>
      <c r="C2263" s="12"/>
      <c r="D2263" s="17" t="str">
        <f t="shared" si="108"/>
        <v/>
      </c>
      <c r="E2263" s="18" t="str">
        <f t="shared" si="106"/>
        <v/>
      </c>
      <c r="F2263" s="17" t="str">
        <f t="shared" si="107"/>
        <v/>
      </c>
    </row>
    <row r="2264" spans="2:6" x14ac:dyDescent="0.2">
      <c r="B2264" s="12"/>
      <c r="C2264" s="12"/>
      <c r="D2264" s="17" t="str">
        <f t="shared" si="108"/>
        <v/>
      </c>
      <c r="E2264" s="18" t="str">
        <f t="shared" si="106"/>
        <v/>
      </c>
      <c r="F2264" s="17" t="str">
        <f t="shared" si="107"/>
        <v/>
      </c>
    </row>
    <row r="2265" spans="2:6" x14ac:dyDescent="0.2">
      <c r="B2265" s="12"/>
      <c r="C2265" s="12"/>
      <c r="D2265" s="17" t="str">
        <f t="shared" si="108"/>
        <v/>
      </c>
      <c r="E2265" s="18" t="str">
        <f t="shared" si="106"/>
        <v/>
      </c>
      <c r="F2265" s="17" t="str">
        <f t="shared" si="107"/>
        <v/>
      </c>
    </row>
    <row r="2266" spans="2:6" x14ac:dyDescent="0.2">
      <c r="B2266" s="12"/>
      <c r="C2266" s="12"/>
      <c r="D2266" s="17" t="str">
        <f t="shared" si="108"/>
        <v/>
      </c>
      <c r="E2266" s="18" t="str">
        <f t="shared" si="106"/>
        <v/>
      </c>
      <c r="F2266" s="17" t="str">
        <f t="shared" si="107"/>
        <v/>
      </c>
    </row>
    <row r="2267" spans="2:6" x14ac:dyDescent="0.2">
      <c r="B2267" s="12"/>
      <c r="C2267" s="12"/>
      <c r="D2267" s="17" t="str">
        <f t="shared" si="108"/>
        <v/>
      </c>
      <c r="E2267" s="18" t="str">
        <f t="shared" si="106"/>
        <v/>
      </c>
      <c r="F2267" s="17" t="str">
        <f t="shared" si="107"/>
        <v/>
      </c>
    </row>
    <row r="2268" spans="2:6" x14ac:dyDescent="0.2">
      <c r="B2268" s="12"/>
      <c r="C2268" s="12"/>
      <c r="D2268" s="17" t="str">
        <f t="shared" si="108"/>
        <v/>
      </c>
      <c r="E2268" s="18" t="str">
        <f t="shared" si="106"/>
        <v/>
      </c>
      <c r="F2268" s="17" t="str">
        <f t="shared" si="107"/>
        <v/>
      </c>
    </row>
    <row r="2269" spans="2:6" x14ac:dyDescent="0.2">
      <c r="B2269" s="12"/>
      <c r="C2269" s="12"/>
      <c r="D2269" s="17" t="str">
        <f t="shared" si="108"/>
        <v/>
      </c>
      <c r="E2269" s="18" t="str">
        <f t="shared" si="106"/>
        <v/>
      </c>
      <c r="F2269" s="17" t="str">
        <f t="shared" si="107"/>
        <v/>
      </c>
    </row>
    <row r="2270" spans="2:6" x14ac:dyDescent="0.2">
      <c r="B2270" s="12"/>
      <c r="C2270" s="12"/>
      <c r="D2270" s="17" t="str">
        <f t="shared" si="108"/>
        <v/>
      </c>
      <c r="E2270" s="18" t="str">
        <f t="shared" si="106"/>
        <v/>
      </c>
      <c r="F2270" s="17" t="str">
        <f t="shared" si="107"/>
        <v/>
      </c>
    </row>
    <row r="2271" spans="2:6" x14ac:dyDescent="0.2">
      <c r="B2271" s="12"/>
      <c r="C2271" s="12"/>
      <c r="D2271" s="17" t="str">
        <f t="shared" si="108"/>
        <v/>
      </c>
      <c r="E2271" s="18" t="str">
        <f t="shared" si="106"/>
        <v/>
      </c>
      <c r="F2271" s="17" t="str">
        <f t="shared" si="107"/>
        <v/>
      </c>
    </row>
    <row r="2272" spans="2:6" x14ac:dyDescent="0.2">
      <c r="B2272" s="12"/>
      <c r="C2272" s="12"/>
      <c r="D2272" s="17" t="str">
        <f t="shared" si="108"/>
        <v/>
      </c>
      <c r="E2272" s="18" t="str">
        <f t="shared" si="106"/>
        <v/>
      </c>
      <c r="F2272" s="17" t="str">
        <f t="shared" si="107"/>
        <v/>
      </c>
    </row>
    <row r="2273" spans="2:6" x14ac:dyDescent="0.2">
      <c r="B2273" s="12"/>
      <c r="C2273" s="12"/>
      <c r="D2273" s="17" t="str">
        <f t="shared" si="108"/>
        <v/>
      </c>
      <c r="E2273" s="18" t="str">
        <f t="shared" si="106"/>
        <v/>
      </c>
      <c r="F2273" s="17" t="str">
        <f t="shared" si="107"/>
        <v/>
      </c>
    </row>
    <row r="2274" spans="2:6" x14ac:dyDescent="0.2">
      <c r="B2274" s="12"/>
      <c r="C2274" s="12"/>
      <c r="D2274" s="17" t="str">
        <f t="shared" si="108"/>
        <v/>
      </c>
      <c r="E2274" s="18" t="str">
        <f t="shared" si="106"/>
        <v/>
      </c>
      <c r="F2274" s="17" t="str">
        <f t="shared" si="107"/>
        <v/>
      </c>
    </row>
    <row r="2275" spans="2:6" x14ac:dyDescent="0.2">
      <c r="B2275" s="12"/>
      <c r="C2275" s="12"/>
      <c r="D2275" s="17" t="str">
        <f t="shared" si="108"/>
        <v/>
      </c>
      <c r="E2275" s="18" t="str">
        <f t="shared" si="106"/>
        <v/>
      </c>
      <c r="F2275" s="17" t="str">
        <f t="shared" si="107"/>
        <v/>
      </c>
    </row>
    <row r="2276" spans="2:6" x14ac:dyDescent="0.2">
      <c r="B2276" s="12"/>
      <c r="C2276" s="12"/>
      <c r="D2276" s="17" t="str">
        <f t="shared" si="108"/>
        <v/>
      </c>
      <c r="E2276" s="18" t="str">
        <f t="shared" si="106"/>
        <v/>
      </c>
      <c r="F2276" s="17" t="str">
        <f t="shared" si="107"/>
        <v/>
      </c>
    </row>
    <row r="2277" spans="2:6" x14ac:dyDescent="0.2">
      <c r="B2277" s="12"/>
      <c r="C2277" s="12"/>
      <c r="D2277" s="17" t="str">
        <f t="shared" si="108"/>
        <v/>
      </c>
      <c r="E2277" s="18" t="str">
        <f t="shared" si="106"/>
        <v/>
      </c>
      <c r="F2277" s="17" t="str">
        <f t="shared" si="107"/>
        <v/>
      </c>
    </row>
    <row r="2278" spans="2:6" x14ac:dyDescent="0.2">
      <c r="B2278" s="12"/>
      <c r="C2278" s="12"/>
      <c r="D2278" s="17" t="str">
        <f t="shared" si="108"/>
        <v/>
      </c>
      <c r="E2278" s="18" t="str">
        <f t="shared" si="106"/>
        <v/>
      </c>
      <c r="F2278" s="17" t="str">
        <f t="shared" si="107"/>
        <v/>
      </c>
    </row>
    <row r="2279" spans="2:6" x14ac:dyDescent="0.2">
      <c r="B2279" s="12"/>
      <c r="C2279" s="12"/>
      <c r="D2279" s="17" t="str">
        <f t="shared" si="108"/>
        <v/>
      </c>
      <c r="E2279" s="18" t="str">
        <f t="shared" si="106"/>
        <v/>
      </c>
      <c r="F2279" s="17" t="str">
        <f t="shared" si="107"/>
        <v/>
      </c>
    </row>
    <row r="2280" spans="2:6" x14ac:dyDescent="0.2">
      <c r="B2280" s="12"/>
      <c r="C2280" s="12"/>
      <c r="D2280" s="17" t="str">
        <f t="shared" si="108"/>
        <v/>
      </c>
      <c r="E2280" s="18" t="str">
        <f t="shared" si="106"/>
        <v/>
      </c>
      <c r="F2280" s="17" t="str">
        <f t="shared" si="107"/>
        <v/>
      </c>
    </row>
    <row r="2281" spans="2:6" x14ac:dyDescent="0.2">
      <c r="B2281" s="12"/>
      <c r="C2281" s="12"/>
      <c r="D2281" s="17" t="str">
        <f t="shared" si="108"/>
        <v/>
      </c>
      <c r="E2281" s="18" t="str">
        <f t="shared" si="106"/>
        <v/>
      </c>
      <c r="F2281" s="17" t="str">
        <f t="shared" si="107"/>
        <v/>
      </c>
    </row>
    <row r="2282" spans="2:6" x14ac:dyDescent="0.2">
      <c r="B2282" s="12"/>
      <c r="C2282" s="12"/>
      <c r="D2282" s="17" t="str">
        <f t="shared" si="108"/>
        <v/>
      </c>
      <c r="E2282" s="18" t="str">
        <f t="shared" si="106"/>
        <v/>
      </c>
      <c r="F2282" s="17" t="str">
        <f t="shared" si="107"/>
        <v/>
      </c>
    </row>
    <row r="2283" spans="2:6" x14ac:dyDescent="0.2">
      <c r="B2283" s="12"/>
      <c r="C2283" s="12"/>
      <c r="D2283" s="17" t="str">
        <f t="shared" si="108"/>
        <v/>
      </c>
      <c r="E2283" s="18" t="str">
        <f t="shared" si="106"/>
        <v/>
      </c>
      <c r="F2283" s="17" t="str">
        <f t="shared" si="107"/>
        <v/>
      </c>
    </row>
    <row r="2284" spans="2:6" x14ac:dyDescent="0.2">
      <c r="B2284" s="12"/>
      <c r="C2284" s="12"/>
      <c r="D2284" s="17" t="str">
        <f t="shared" si="108"/>
        <v/>
      </c>
      <c r="E2284" s="18" t="str">
        <f t="shared" si="106"/>
        <v/>
      </c>
      <c r="F2284" s="17" t="str">
        <f t="shared" si="107"/>
        <v/>
      </c>
    </row>
    <row r="2285" spans="2:6" x14ac:dyDescent="0.2">
      <c r="B2285" s="12"/>
      <c r="C2285" s="12"/>
      <c r="D2285" s="17" t="str">
        <f t="shared" si="108"/>
        <v/>
      </c>
      <c r="E2285" s="18" t="str">
        <f t="shared" si="106"/>
        <v/>
      </c>
      <c r="F2285" s="17" t="str">
        <f t="shared" si="107"/>
        <v/>
      </c>
    </row>
    <row r="2286" spans="2:6" x14ac:dyDescent="0.2">
      <c r="B2286" s="12"/>
      <c r="C2286" s="12"/>
      <c r="D2286" s="17" t="str">
        <f t="shared" si="108"/>
        <v/>
      </c>
      <c r="E2286" s="18" t="str">
        <f t="shared" si="106"/>
        <v/>
      </c>
      <c r="F2286" s="17" t="str">
        <f t="shared" si="107"/>
        <v/>
      </c>
    </row>
    <row r="2287" spans="2:6" x14ac:dyDescent="0.2">
      <c r="B2287" s="12"/>
      <c r="C2287" s="12"/>
      <c r="D2287" s="17" t="str">
        <f t="shared" si="108"/>
        <v/>
      </c>
      <c r="E2287" s="18" t="str">
        <f t="shared" si="106"/>
        <v/>
      </c>
      <c r="F2287" s="17" t="str">
        <f t="shared" si="107"/>
        <v/>
      </c>
    </row>
    <row r="2288" spans="2:6" x14ac:dyDescent="0.2">
      <c r="B2288" s="12"/>
      <c r="C2288" s="12"/>
      <c r="D2288" s="17" t="str">
        <f t="shared" si="108"/>
        <v/>
      </c>
      <c r="E2288" s="18" t="str">
        <f t="shared" si="106"/>
        <v/>
      </c>
      <c r="F2288" s="17" t="str">
        <f t="shared" si="107"/>
        <v/>
      </c>
    </row>
    <row r="2289" spans="2:6" x14ac:dyDescent="0.2">
      <c r="B2289" s="12"/>
      <c r="C2289" s="12"/>
      <c r="D2289" s="17" t="str">
        <f t="shared" si="108"/>
        <v/>
      </c>
      <c r="E2289" s="18" t="str">
        <f t="shared" si="106"/>
        <v/>
      </c>
      <c r="F2289" s="17" t="str">
        <f t="shared" si="107"/>
        <v/>
      </c>
    </row>
    <row r="2290" spans="2:6" x14ac:dyDescent="0.2">
      <c r="B2290" s="12"/>
      <c r="C2290" s="12"/>
      <c r="D2290" s="17" t="str">
        <f t="shared" si="108"/>
        <v/>
      </c>
      <c r="E2290" s="18" t="str">
        <f t="shared" si="106"/>
        <v/>
      </c>
      <c r="F2290" s="17" t="str">
        <f t="shared" si="107"/>
        <v/>
      </c>
    </row>
    <row r="2291" spans="2:6" x14ac:dyDescent="0.2">
      <c r="B2291" s="12"/>
      <c r="C2291" s="12"/>
      <c r="D2291" s="17" t="str">
        <f t="shared" si="108"/>
        <v/>
      </c>
      <c r="E2291" s="18" t="str">
        <f t="shared" si="106"/>
        <v/>
      </c>
      <c r="F2291" s="17" t="str">
        <f t="shared" si="107"/>
        <v/>
      </c>
    </row>
    <row r="2292" spans="2:6" x14ac:dyDescent="0.2">
      <c r="B2292" s="12"/>
      <c r="C2292" s="12"/>
      <c r="D2292" s="17" t="str">
        <f t="shared" si="108"/>
        <v/>
      </c>
      <c r="E2292" s="18" t="str">
        <f t="shared" si="106"/>
        <v/>
      </c>
      <c r="F2292" s="17" t="str">
        <f t="shared" si="107"/>
        <v/>
      </c>
    </row>
    <row r="2293" spans="2:6" x14ac:dyDescent="0.2">
      <c r="B2293" s="12"/>
      <c r="C2293" s="12"/>
      <c r="D2293" s="17" t="str">
        <f t="shared" si="108"/>
        <v/>
      </c>
      <c r="E2293" s="18" t="str">
        <f t="shared" si="106"/>
        <v/>
      </c>
      <c r="F2293" s="17" t="str">
        <f t="shared" si="107"/>
        <v/>
      </c>
    </row>
    <row r="2294" spans="2:6" x14ac:dyDescent="0.2">
      <c r="B2294" s="12"/>
      <c r="C2294" s="12"/>
      <c r="D2294" s="17" t="str">
        <f t="shared" si="108"/>
        <v/>
      </c>
      <c r="E2294" s="18" t="str">
        <f t="shared" si="106"/>
        <v/>
      </c>
      <c r="F2294" s="17" t="str">
        <f t="shared" si="107"/>
        <v/>
      </c>
    </row>
    <row r="2295" spans="2:6" x14ac:dyDescent="0.2">
      <c r="B2295" s="12"/>
      <c r="C2295" s="12"/>
      <c r="D2295" s="17" t="str">
        <f t="shared" si="108"/>
        <v/>
      </c>
      <c r="E2295" s="18" t="str">
        <f t="shared" si="106"/>
        <v/>
      </c>
      <c r="F2295" s="17" t="str">
        <f t="shared" si="107"/>
        <v/>
      </c>
    </row>
    <row r="2296" spans="2:6" x14ac:dyDescent="0.2">
      <c r="B2296" s="12"/>
      <c r="C2296" s="12"/>
      <c r="D2296" s="17" t="str">
        <f t="shared" si="108"/>
        <v/>
      </c>
      <c r="E2296" s="18" t="str">
        <f t="shared" si="106"/>
        <v/>
      </c>
      <c r="F2296" s="17" t="str">
        <f t="shared" si="107"/>
        <v/>
      </c>
    </row>
    <row r="2297" spans="2:6" x14ac:dyDescent="0.2">
      <c r="B2297" s="12"/>
      <c r="C2297" s="12"/>
      <c r="D2297" s="17" t="str">
        <f t="shared" si="108"/>
        <v/>
      </c>
      <c r="E2297" s="18" t="str">
        <f t="shared" si="106"/>
        <v/>
      </c>
      <c r="F2297" s="17" t="str">
        <f t="shared" si="107"/>
        <v/>
      </c>
    </row>
    <row r="2298" spans="2:6" x14ac:dyDescent="0.2">
      <c r="B2298" s="12"/>
      <c r="C2298" s="12"/>
      <c r="D2298" s="17" t="str">
        <f t="shared" si="108"/>
        <v/>
      </c>
      <c r="E2298" s="18" t="str">
        <f t="shared" si="106"/>
        <v/>
      </c>
      <c r="F2298" s="17" t="str">
        <f t="shared" si="107"/>
        <v/>
      </c>
    </row>
    <row r="2299" spans="2:6" x14ac:dyDescent="0.2">
      <c r="B2299" s="12"/>
      <c r="C2299" s="12"/>
      <c r="D2299" s="17" t="str">
        <f t="shared" si="108"/>
        <v/>
      </c>
      <c r="E2299" s="18" t="str">
        <f t="shared" si="106"/>
        <v/>
      </c>
      <c r="F2299" s="17" t="str">
        <f t="shared" si="107"/>
        <v/>
      </c>
    </row>
    <row r="2300" spans="2:6" x14ac:dyDescent="0.2">
      <c r="B2300" s="12"/>
      <c r="C2300" s="12"/>
      <c r="D2300" s="17" t="str">
        <f t="shared" si="108"/>
        <v/>
      </c>
      <c r="E2300" s="18" t="str">
        <f t="shared" si="106"/>
        <v/>
      </c>
      <c r="F2300" s="17" t="str">
        <f t="shared" si="107"/>
        <v/>
      </c>
    </row>
    <row r="2301" spans="2:6" x14ac:dyDescent="0.2">
      <c r="B2301" s="12"/>
      <c r="C2301" s="12"/>
      <c r="D2301" s="17" t="str">
        <f t="shared" si="108"/>
        <v/>
      </c>
      <c r="E2301" s="18" t="str">
        <f t="shared" si="106"/>
        <v/>
      </c>
      <c r="F2301" s="17" t="str">
        <f t="shared" si="107"/>
        <v/>
      </c>
    </row>
    <row r="2302" spans="2:6" x14ac:dyDescent="0.2">
      <c r="B2302" s="12"/>
      <c r="C2302" s="12"/>
      <c r="D2302" s="17" t="str">
        <f t="shared" si="108"/>
        <v/>
      </c>
      <c r="E2302" s="18" t="str">
        <f t="shared" si="106"/>
        <v/>
      </c>
      <c r="F2302" s="17" t="str">
        <f t="shared" si="107"/>
        <v/>
      </c>
    </row>
    <row r="2303" spans="2:6" x14ac:dyDescent="0.2">
      <c r="B2303" s="12"/>
      <c r="C2303" s="12"/>
      <c r="D2303" s="17" t="str">
        <f t="shared" si="108"/>
        <v/>
      </c>
      <c r="E2303" s="18" t="str">
        <f t="shared" si="106"/>
        <v/>
      </c>
      <c r="F2303" s="17" t="str">
        <f t="shared" si="107"/>
        <v/>
      </c>
    </row>
    <row r="2304" spans="2:6" x14ac:dyDescent="0.2">
      <c r="B2304" s="12"/>
      <c r="C2304" s="12"/>
      <c r="D2304" s="17" t="str">
        <f t="shared" si="108"/>
        <v/>
      </c>
      <c r="E2304" s="18" t="str">
        <f t="shared" si="106"/>
        <v/>
      </c>
      <c r="F2304" s="17" t="str">
        <f t="shared" si="107"/>
        <v/>
      </c>
    </row>
    <row r="2305" spans="2:6" x14ac:dyDescent="0.2">
      <c r="B2305" s="12"/>
      <c r="C2305" s="12"/>
      <c r="D2305" s="17" t="str">
        <f t="shared" si="108"/>
        <v/>
      </c>
      <c r="E2305" s="18" t="str">
        <f t="shared" si="106"/>
        <v/>
      </c>
      <c r="F2305" s="17" t="str">
        <f t="shared" si="107"/>
        <v/>
      </c>
    </row>
    <row r="2306" spans="2:6" x14ac:dyDescent="0.2">
      <c r="B2306" s="12"/>
      <c r="C2306" s="12"/>
      <c r="D2306" s="17" t="str">
        <f t="shared" si="108"/>
        <v/>
      </c>
      <c r="E2306" s="18" t="str">
        <f t="shared" si="106"/>
        <v/>
      </c>
      <c r="F2306" s="17" t="str">
        <f t="shared" si="107"/>
        <v/>
      </c>
    </row>
    <row r="2307" spans="2:6" x14ac:dyDescent="0.2">
      <c r="B2307" s="12"/>
      <c r="C2307" s="12"/>
      <c r="D2307" s="17" t="str">
        <f t="shared" si="108"/>
        <v/>
      </c>
      <c r="E2307" s="18" t="str">
        <f t="shared" si="106"/>
        <v/>
      </c>
      <c r="F2307" s="17" t="str">
        <f t="shared" si="107"/>
        <v/>
      </c>
    </row>
    <row r="2308" spans="2:6" x14ac:dyDescent="0.2">
      <c r="B2308" s="12"/>
      <c r="C2308" s="12"/>
      <c r="D2308" s="17" t="str">
        <f t="shared" si="108"/>
        <v/>
      </c>
      <c r="E2308" s="18" t="str">
        <f t="shared" si="106"/>
        <v/>
      </c>
      <c r="F2308" s="17" t="str">
        <f t="shared" si="107"/>
        <v/>
      </c>
    </row>
    <row r="2309" spans="2:6" x14ac:dyDescent="0.2">
      <c r="B2309" s="12"/>
      <c r="C2309" s="12"/>
      <c r="D2309" s="17" t="str">
        <f t="shared" si="108"/>
        <v/>
      </c>
      <c r="E2309" s="18" t="str">
        <f t="shared" ref="E2309:E2372" si="109">IF(B2309="","",ABS(C2309-D2309))</f>
        <v/>
      </c>
      <c r="F2309" s="17" t="str">
        <f t="shared" ref="F2309:F2372" si="110">IF(B2309="","",E2309^2)</f>
        <v/>
      </c>
    </row>
    <row r="2310" spans="2:6" x14ac:dyDescent="0.2">
      <c r="B2310" s="12"/>
      <c r="C2310" s="12"/>
      <c r="D2310" s="17" t="str">
        <f t="shared" si="108"/>
        <v/>
      </c>
      <c r="E2310" s="18" t="str">
        <f t="shared" si="109"/>
        <v/>
      </c>
      <c r="F2310" s="17" t="str">
        <f t="shared" si="110"/>
        <v/>
      </c>
    </row>
    <row r="2311" spans="2:6" x14ac:dyDescent="0.2">
      <c r="B2311" s="12"/>
      <c r="C2311" s="12"/>
      <c r="D2311" s="17" t="str">
        <f t="shared" si="108"/>
        <v/>
      </c>
      <c r="E2311" s="18" t="str">
        <f t="shared" si="109"/>
        <v/>
      </c>
      <c r="F2311" s="17" t="str">
        <f t="shared" si="110"/>
        <v/>
      </c>
    </row>
    <row r="2312" spans="2:6" x14ac:dyDescent="0.2">
      <c r="B2312" s="12"/>
      <c r="C2312" s="12"/>
      <c r="D2312" s="17" t="str">
        <f t="shared" si="108"/>
        <v/>
      </c>
      <c r="E2312" s="18" t="str">
        <f t="shared" si="109"/>
        <v/>
      </c>
      <c r="F2312" s="17" t="str">
        <f t="shared" si="110"/>
        <v/>
      </c>
    </row>
    <row r="2313" spans="2:6" x14ac:dyDescent="0.2">
      <c r="B2313" s="12"/>
      <c r="C2313" s="12"/>
      <c r="D2313" s="17" t="str">
        <f t="shared" si="108"/>
        <v/>
      </c>
      <c r="E2313" s="18" t="str">
        <f t="shared" si="109"/>
        <v/>
      </c>
      <c r="F2313" s="17" t="str">
        <f t="shared" si="110"/>
        <v/>
      </c>
    </row>
    <row r="2314" spans="2:6" x14ac:dyDescent="0.2">
      <c r="B2314" s="12"/>
      <c r="C2314" s="12"/>
      <c r="D2314" s="17" t="str">
        <f t="shared" si="108"/>
        <v/>
      </c>
      <c r="E2314" s="18" t="str">
        <f t="shared" si="109"/>
        <v/>
      </c>
      <c r="F2314" s="17" t="str">
        <f t="shared" si="110"/>
        <v/>
      </c>
    </row>
    <row r="2315" spans="2:6" x14ac:dyDescent="0.2">
      <c r="B2315" s="12"/>
      <c r="C2315" s="12"/>
      <c r="D2315" s="17" t="str">
        <f t="shared" si="108"/>
        <v/>
      </c>
      <c r="E2315" s="18" t="str">
        <f t="shared" si="109"/>
        <v/>
      </c>
      <c r="F2315" s="17" t="str">
        <f t="shared" si="110"/>
        <v/>
      </c>
    </row>
    <row r="2316" spans="2:6" x14ac:dyDescent="0.2">
      <c r="B2316" s="12"/>
      <c r="C2316" s="12"/>
      <c r="D2316" s="17" t="str">
        <f t="shared" si="108"/>
        <v/>
      </c>
      <c r="E2316" s="18" t="str">
        <f t="shared" si="109"/>
        <v/>
      </c>
      <c r="F2316" s="17" t="str">
        <f t="shared" si="110"/>
        <v/>
      </c>
    </row>
    <row r="2317" spans="2:6" x14ac:dyDescent="0.2">
      <c r="B2317" s="12"/>
      <c r="C2317" s="12"/>
      <c r="D2317" s="17" t="str">
        <f t="shared" si="108"/>
        <v/>
      </c>
      <c r="E2317" s="18" t="str">
        <f t="shared" si="109"/>
        <v/>
      </c>
      <c r="F2317" s="17" t="str">
        <f t="shared" si="110"/>
        <v/>
      </c>
    </row>
    <row r="2318" spans="2:6" x14ac:dyDescent="0.2">
      <c r="B2318" s="12"/>
      <c r="C2318" s="12"/>
      <c r="D2318" s="17" t="str">
        <f t="shared" si="108"/>
        <v/>
      </c>
      <c r="E2318" s="18" t="str">
        <f t="shared" si="109"/>
        <v/>
      </c>
      <c r="F2318" s="17" t="str">
        <f t="shared" si="110"/>
        <v/>
      </c>
    </row>
    <row r="2319" spans="2:6" x14ac:dyDescent="0.2">
      <c r="B2319" s="12"/>
      <c r="C2319" s="12"/>
      <c r="D2319" s="17" t="str">
        <f t="shared" si="108"/>
        <v/>
      </c>
      <c r="E2319" s="18" t="str">
        <f t="shared" si="109"/>
        <v/>
      </c>
      <c r="F2319" s="17" t="str">
        <f t="shared" si="110"/>
        <v/>
      </c>
    </row>
    <row r="2320" spans="2:6" x14ac:dyDescent="0.2">
      <c r="B2320" s="12"/>
      <c r="C2320" s="12"/>
      <c r="D2320" s="17" t="str">
        <f t="shared" si="108"/>
        <v/>
      </c>
      <c r="E2320" s="18" t="str">
        <f t="shared" si="109"/>
        <v/>
      </c>
      <c r="F2320" s="17" t="str">
        <f t="shared" si="110"/>
        <v/>
      </c>
    </row>
    <row r="2321" spans="2:6" x14ac:dyDescent="0.2">
      <c r="B2321" s="12"/>
      <c r="C2321" s="12"/>
      <c r="D2321" s="17" t="str">
        <f t="shared" si="108"/>
        <v/>
      </c>
      <c r="E2321" s="18" t="str">
        <f t="shared" si="109"/>
        <v/>
      </c>
      <c r="F2321" s="17" t="str">
        <f t="shared" si="110"/>
        <v/>
      </c>
    </row>
    <row r="2322" spans="2:6" x14ac:dyDescent="0.2">
      <c r="B2322" s="12"/>
      <c r="C2322" s="12"/>
      <c r="D2322" s="17" t="str">
        <f t="shared" ref="D2322:D2385" si="111">IF(B2322="","",a+b*B2322)</f>
        <v/>
      </c>
      <c r="E2322" s="18" t="str">
        <f t="shared" si="109"/>
        <v/>
      </c>
      <c r="F2322" s="17" t="str">
        <f t="shared" si="110"/>
        <v/>
      </c>
    </row>
    <row r="2323" spans="2:6" x14ac:dyDescent="0.2">
      <c r="B2323" s="12"/>
      <c r="C2323" s="12"/>
      <c r="D2323" s="17" t="str">
        <f t="shared" si="111"/>
        <v/>
      </c>
      <c r="E2323" s="18" t="str">
        <f t="shared" si="109"/>
        <v/>
      </c>
      <c r="F2323" s="17" t="str">
        <f t="shared" si="110"/>
        <v/>
      </c>
    </row>
    <row r="2324" spans="2:6" x14ac:dyDescent="0.2">
      <c r="B2324" s="12"/>
      <c r="C2324" s="12"/>
      <c r="D2324" s="17" t="str">
        <f t="shared" si="111"/>
        <v/>
      </c>
      <c r="E2324" s="18" t="str">
        <f t="shared" si="109"/>
        <v/>
      </c>
      <c r="F2324" s="17" t="str">
        <f t="shared" si="110"/>
        <v/>
      </c>
    </row>
    <row r="2325" spans="2:6" x14ac:dyDescent="0.2">
      <c r="B2325" s="12"/>
      <c r="C2325" s="12"/>
      <c r="D2325" s="17" t="str">
        <f t="shared" si="111"/>
        <v/>
      </c>
      <c r="E2325" s="18" t="str">
        <f t="shared" si="109"/>
        <v/>
      </c>
      <c r="F2325" s="17" t="str">
        <f t="shared" si="110"/>
        <v/>
      </c>
    </row>
    <row r="2326" spans="2:6" x14ac:dyDescent="0.2">
      <c r="B2326" s="12"/>
      <c r="C2326" s="12"/>
      <c r="D2326" s="17" t="str">
        <f t="shared" si="111"/>
        <v/>
      </c>
      <c r="E2326" s="18" t="str">
        <f t="shared" si="109"/>
        <v/>
      </c>
      <c r="F2326" s="17" t="str">
        <f t="shared" si="110"/>
        <v/>
      </c>
    </row>
    <row r="2327" spans="2:6" x14ac:dyDescent="0.2">
      <c r="B2327" s="12"/>
      <c r="C2327" s="12"/>
      <c r="D2327" s="17" t="str">
        <f t="shared" si="111"/>
        <v/>
      </c>
      <c r="E2327" s="18" t="str">
        <f t="shared" si="109"/>
        <v/>
      </c>
      <c r="F2327" s="17" t="str">
        <f t="shared" si="110"/>
        <v/>
      </c>
    </row>
    <row r="2328" spans="2:6" x14ac:dyDescent="0.2">
      <c r="B2328" s="12"/>
      <c r="C2328" s="12"/>
      <c r="D2328" s="17" t="str">
        <f t="shared" si="111"/>
        <v/>
      </c>
      <c r="E2328" s="18" t="str">
        <f t="shared" si="109"/>
        <v/>
      </c>
      <c r="F2328" s="17" t="str">
        <f t="shared" si="110"/>
        <v/>
      </c>
    </row>
    <row r="2329" spans="2:6" x14ac:dyDescent="0.2">
      <c r="B2329" s="12"/>
      <c r="C2329" s="12"/>
      <c r="D2329" s="17" t="str">
        <f t="shared" si="111"/>
        <v/>
      </c>
      <c r="E2329" s="18" t="str">
        <f t="shared" si="109"/>
        <v/>
      </c>
      <c r="F2329" s="17" t="str">
        <f t="shared" si="110"/>
        <v/>
      </c>
    </row>
    <row r="2330" spans="2:6" x14ac:dyDescent="0.2">
      <c r="B2330" s="12"/>
      <c r="C2330" s="12"/>
      <c r="D2330" s="17" t="str">
        <f t="shared" si="111"/>
        <v/>
      </c>
      <c r="E2330" s="18" t="str">
        <f t="shared" si="109"/>
        <v/>
      </c>
      <c r="F2330" s="17" t="str">
        <f t="shared" si="110"/>
        <v/>
      </c>
    </row>
    <row r="2331" spans="2:6" x14ac:dyDescent="0.2">
      <c r="B2331" s="12"/>
      <c r="C2331" s="12"/>
      <c r="D2331" s="17" t="str">
        <f t="shared" si="111"/>
        <v/>
      </c>
      <c r="E2331" s="18" t="str">
        <f t="shared" si="109"/>
        <v/>
      </c>
      <c r="F2331" s="17" t="str">
        <f t="shared" si="110"/>
        <v/>
      </c>
    </row>
    <row r="2332" spans="2:6" x14ac:dyDescent="0.2">
      <c r="B2332" s="12"/>
      <c r="C2332" s="12"/>
      <c r="D2332" s="17" t="str">
        <f t="shared" si="111"/>
        <v/>
      </c>
      <c r="E2332" s="18" t="str">
        <f t="shared" si="109"/>
        <v/>
      </c>
      <c r="F2332" s="17" t="str">
        <f t="shared" si="110"/>
        <v/>
      </c>
    </row>
    <row r="2333" spans="2:6" x14ac:dyDescent="0.2">
      <c r="B2333" s="12"/>
      <c r="C2333" s="12"/>
      <c r="D2333" s="17" t="str">
        <f t="shared" si="111"/>
        <v/>
      </c>
      <c r="E2333" s="18" t="str">
        <f t="shared" si="109"/>
        <v/>
      </c>
      <c r="F2333" s="17" t="str">
        <f t="shared" si="110"/>
        <v/>
      </c>
    </row>
    <row r="2334" spans="2:6" x14ac:dyDescent="0.2">
      <c r="B2334" s="12"/>
      <c r="C2334" s="12"/>
      <c r="D2334" s="17" t="str">
        <f t="shared" si="111"/>
        <v/>
      </c>
      <c r="E2334" s="18" t="str">
        <f t="shared" si="109"/>
        <v/>
      </c>
      <c r="F2334" s="17" t="str">
        <f t="shared" si="110"/>
        <v/>
      </c>
    </row>
    <row r="2335" spans="2:6" x14ac:dyDescent="0.2">
      <c r="B2335" s="12"/>
      <c r="C2335" s="12"/>
      <c r="D2335" s="17" t="str">
        <f t="shared" si="111"/>
        <v/>
      </c>
      <c r="E2335" s="18" t="str">
        <f t="shared" si="109"/>
        <v/>
      </c>
      <c r="F2335" s="17" t="str">
        <f t="shared" si="110"/>
        <v/>
      </c>
    </row>
    <row r="2336" spans="2:6" x14ac:dyDescent="0.2">
      <c r="B2336" s="12"/>
      <c r="C2336" s="12"/>
      <c r="D2336" s="17" t="str">
        <f t="shared" si="111"/>
        <v/>
      </c>
      <c r="E2336" s="18" t="str">
        <f t="shared" si="109"/>
        <v/>
      </c>
      <c r="F2336" s="17" t="str">
        <f t="shared" si="110"/>
        <v/>
      </c>
    </row>
    <row r="2337" spans="2:6" x14ac:dyDescent="0.2">
      <c r="B2337" s="12"/>
      <c r="C2337" s="12"/>
      <c r="D2337" s="17" t="str">
        <f t="shared" si="111"/>
        <v/>
      </c>
      <c r="E2337" s="18" t="str">
        <f t="shared" si="109"/>
        <v/>
      </c>
      <c r="F2337" s="17" t="str">
        <f t="shared" si="110"/>
        <v/>
      </c>
    </row>
    <row r="2338" spans="2:6" x14ac:dyDescent="0.2">
      <c r="B2338" s="12"/>
      <c r="C2338" s="12"/>
      <c r="D2338" s="17" t="str">
        <f t="shared" si="111"/>
        <v/>
      </c>
      <c r="E2338" s="18" t="str">
        <f t="shared" si="109"/>
        <v/>
      </c>
      <c r="F2338" s="17" t="str">
        <f t="shared" si="110"/>
        <v/>
      </c>
    </row>
    <row r="2339" spans="2:6" x14ac:dyDescent="0.2">
      <c r="B2339" s="12"/>
      <c r="C2339" s="12"/>
      <c r="D2339" s="17" t="str">
        <f t="shared" si="111"/>
        <v/>
      </c>
      <c r="E2339" s="18" t="str">
        <f t="shared" si="109"/>
        <v/>
      </c>
      <c r="F2339" s="17" t="str">
        <f t="shared" si="110"/>
        <v/>
      </c>
    </row>
    <row r="2340" spans="2:6" x14ac:dyDescent="0.2">
      <c r="B2340" s="12"/>
      <c r="C2340" s="12"/>
      <c r="D2340" s="17" t="str">
        <f t="shared" si="111"/>
        <v/>
      </c>
      <c r="E2340" s="18" t="str">
        <f t="shared" si="109"/>
        <v/>
      </c>
      <c r="F2340" s="17" t="str">
        <f t="shared" si="110"/>
        <v/>
      </c>
    </row>
    <row r="2341" spans="2:6" x14ac:dyDescent="0.2">
      <c r="B2341" s="12"/>
      <c r="C2341" s="12"/>
      <c r="D2341" s="17" t="str">
        <f t="shared" si="111"/>
        <v/>
      </c>
      <c r="E2341" s="18" t="str">
        <f t="shared" si="109"/>
        <v/>
      </c>
      <c r="F2341" s="17" t="str">
        <f t="shared" si="110"/>
        <v/>
      </c>
    </row>
    <row r="2342" spans="2:6" x14ac:dyDescent="0.2">
      <c r="B2342" s="12"/>
      <c r="C2342" s="12"/>
      <c r="D2342" s="17" t="str">
        <f t="shared" si="111"/>
        <v/>
      </c>
      <c r="E2342" s="18" t="str">
        <f t="shared" si="109"/>
        <v/>
      </c>
      <c r="F2342" s="17" t="str">
        <f t="shared" si="110"/>
        <v/>
      </c>
    </row>
    <row r="2343" spans="2:6" x14ac:dyDescent="0.2">
      <c r="B2343" s="12"/>
      <c r="C2343" s="12"/>
      <c r="D2343" s="17" t="str">
        <f t="shared" si="111"/>
        <v/>
      </c>
      <c r="E2343" s="18" t="str">
        <f t="shared" si="109"/>
        <v/>
      </c>
      <c r="F2343" s="17" t="str">
        <f t="shared" si="110"/>
        <v/>
      </c>
    </row>
    <row r="2344" spans="2:6" x14ac:dyDescent="0.2">
      <c r="B2344" s="12"/>
      <c r="C2344" s="12"/>
      <c r="D2344" s="17" t="str">
        <f t="shared" si="111"/>
        <v/>
      </c>
      <c r="E2344" s="18" t="str">
        <f t="shared" si="109"/>
        <v/>
      </c>
      <c r="F2344" s="17" t="str">
        <f t="shared" si="110"/>
        <v/>
      </c>
    </row>
    <row r="2345" spans="2:6" x14ac:dyDescent="0.2">
      <c r="B2345" s="12"/>
      <c r="C2345" s="12"/>
      <c r="D2345" s="17" t="str">
        <f t="shared" si="111"/>
        <v/>
      </c>
      <c r="E2345" s="18" t="str">
        <f t="shared" si="109"/>
        <v/>
      </c>
      <c r="F2345" s="17" t="str">
        <f t="shared" si="110"/>
        <v/>
      </c>
    </row>
    <row r="2346" spans="2:6" x14ac:dyDescent="0.2">
      <c r="B2346" s="12"/>
      <c r="C2346" s="12"/>
      <c r="D2346" s="17" t="str">
        <f t="shared" si="111"/>
        <v/>
      </c>
      <c r="E2346" s="18" t="str">
        <f t="shared" si="109"/>
        <v/>
      </c>
      <c r="F2346" s="17" t="str">
        <f t="shared" si="110"/>
        <v/>
      </c>
    </row>
    <row r="2347" spans="2:6" x14ac:dyDescent="0.2">
      <c r="B2347" s="12"/>
      <c r="C2347" s="12"/>
      <c r="D2347" s="17" t="str">
        <f t="shared" si="111"/>
        <v/>
      </c>
      <c r="E2347" s="18" t="str">
        <f t="shared" si="109"/>
        <v/>
      </c>
      <c r="F2347" s="17" t="str">
        <f t="shared" si="110"/>
        <v/>
      </c>
    </row>
    <row r="2348" spans="2:6" x14ac:dyDescent="0.2">
      <c r="B2348" s="12"/>
      <c r="C2348" s="12"/>
      <c r="D2348" s="17" t="str">
        <f t="shared" si="111"/>
        <v/>
      </c>
      <c r="E2348" s="18" t="str">
        <f t="shared" si="109"/>
        <v/>
      </c>
      <c r="F2348" s="17" t="str">
        <f t="shared" si="110"/>
        <v/>
      </c>
    </row>
    <row r="2349" spans="2:6" x14ac:dyDescent="0.2">
      <c r="B2349" s="12"/>
      <c r="C2349" s="12"/>
      <c r="D2349" s="17" t="str">
        <f t="shared" si="111"/>
        <v/>
      </c>
      <c r="E2349" s="18" t="str">
        <f t="shared" si="109"/>
        <v/>
      </c>
      <c r="F2349" s="17" t="str">
        <f t="shared" si="110"/>
        <v/>
      </c>
    </row>
    <row r="2350" spans="2:6" x14ac:dyDescent="0.2">
      <c r="B2350" s="12"/>
      <c r="C2350" s="12"/>
      <c r="D2350" s="17" t="str">
        <f t="shared" si="111"/>
        <v/>
      </c>
      <c r="E2350" s="18" t="str">
        <f t="shared" si="109"/>
        <v/>
      </c>
      <c r="F2350" s="17" t="str">
        <f t="shared" si="110"/>
        <v/>
      </c>
    </row>
    <row r="2351" spans="2:6" x14ac:dyDescent="0.2">
      <c r="B2351" s="12"/>
      <c r="C2351" s="12"/>
      <c r="D2351" s="17" t="str">
        <f t="shared" si="111"/>
        <v/>
      </c>
      <c r="E2351" s="18" t="str">
        <f t="shared" si="109"/>
        <v/>
      </c>
      <c r="F2351" s="17" t="str">
        <f t="shared" si="110"/>
        <v/>
      </c>
    </row>
    <row r="2352" spans="2:6" x14ac:dyDescent="0.2">
      <c r="B2352" s="12"/>
      <c r="C2352" s="12"/>
      <c r="D2352" s="17" t="str">
        <f t="shared" si="111"/>
        <v/>
      </c>
      <c r="E2352" s="18" t="str">
        <f t="shared" si="109"/>
        <v/>
      </c>
      <c r="F2352" s="17" t="str">
        <f t="shared" si="110"/>
        <v/>
      </c>
    </row>
    <row r="2353" spans="2:6" x14ac:dyDescent="0.2">
      <c r="B2353" s="12"/>
      <c r="C2353" s="12"/>
      <c r="D2353" s="17" t="str">
        <f t="shared" si="111"/>
        <v/>
      </c>
      <c r="E2353" s="18" t="str">
        <f t="shared" si="109"/>
        <v/>
      </c>
      <c r="F2353" s="17" t="str">
        <f t="shared" si="110"/>
        <v/>
      </c>
    </row>
    <row r="2354" spans="2:6" x14ac:dyDescent="0.2">
      <c r="B2354" s="12"/>
      <c r="C2354" s="12"/>
      <c r="D2354" s="17" t="str">
        <f t="shared" si="111"/>
        <v/>
      </c>
      <c r="E2354" s="18" t="str">
        <f t="shared" si="109"/>
        <v/>
      </c>
      <c r="F2354" s="17" t="str">
        <f t="shared" si="110"/>
        <v/>
      </c>
    </row>
    <row r="2355" spans="2:6" x14ac:dyDescent="0.2">
      <c r="B2355" s="12"/>
      <c r="C2355" s="12"/>
      <c r="D2355" s="17" t="str">
        <f t="shared" si="111"/>
        <v/>
      </c>
      <c r="E2355" s="18" t="str">
        <f t="shared" si="109"/>
        <v/>
      </c>
      <c r="F2355" s="17" t="str">
        <f t="shared" si="110"/>
        <v/>
      </c>
    </row>
    <row r="2356" spans="2:6" x14ac:dyDescent="0.2">
      <c r="B2356" s="12"/>
      <c r="C2356" s="12"/>
      <c r="D2356" s="17" t="str">
        <f t="shared" si="111"/>
        <v/>
      </c>
      <c r="E2356" s="18" t="str">
        <f t="shared" si="109"/>
        <v/>
      </c>
      <c r="F2356" s="17" t="str">
        <f t="shared" si="110"/>
        <v/>
      </c>
    </row>
    <row r="2357" spans="2:6" x14ac:dyDescent="0.2">
      <c r="B2357" s="12"/>
      <c r="C2357" s="12"/>
      <c r="D2357" s="17" t="str">
        <f t="shared" si="111"/>
        <v/>
      </c>
      <c r="E2357" s="18" t="str">
        <f t="shared" si="109"/>
        <v/>
      </c>
      <c r="F2357" s="17" t="str">
        <f t="shared" si="110"/>
        <v/>
      </c>
    </row>
    <row r="2358" spans="2:6" x14ac:dyDescent="0.2">
      <c r="B2358" s="12"/>
      <c r="C2358" s="12"/>
      <c r="D2358" s="17" t="str">
        <f t="shared" si="111"/>
        <v/>
      </c>
      <c r="E2358" s="18" t="str">
        <f t="shared" si="109"/>
        <v/>
      </c>
      <c r="F2358" s="17" t="str">
        <f t="shared" si="110"/>
        <v/>
      </c>
    </row>
    <row r="2359" spans="2:6" x14ac:dyDescent="0.2">
      <c r="B2359" s="12"/>
      <c r="C2359" s="12"/>
      <c r="D2359" s="17" t="str">
        <f t="shared" si="111"/>
        <v/>
      </c>
      <c r="E2359" s="18" t="str">
        <f t="shared" si="109"/>
        <v/>
      </c>
      <c r="F2359" s="17" t="str">
        <f t="shared" si="110"/>
        <v/>
      </c>
    </row>
    <row r="2360" spans="2:6" x14ac:dyDescent="0.2">
      <c r="B2360" s="12"/>
      <c r="C2360" s="12"/>
      <c r="D2360" s="17" t="str">
        <f t="shared" si="111"/>
        <v/>
      </c>
      <c r="E2360" s="18" t="str">
        <f t="shared" si="109"/>
        <v/>
      </c>
      <c r="F2360" s="17" t="str">
        <f t="shared" si="110"/>
        <v/>
      </c>
    </row>
    <row r="2361" spans="2:6" x14ac:dyDescent="0.2">
      <c r="B2361" s="12"/>
      <c r="C2361" s="12"/>
      <c r="D2361" s="17" t="str">
        <f t="shared" si="111"/>
        <v/>
      </c>
      <c r="E2361" s="18" t="str">
        <f t="shared" si="109"/>
        <v/>
      </c>
      <c r="F2361" s="17" t="str">
        <f t="shared" si="110"/>
        <v/>
      </c>
    </row>
    <row r="2362" spans="2:6" x14ac:dyDescent="0.2">
      <c r="B2362" s="12"/>
      <c r="C2362" s="12"/>
      <c r="D2362" s="17" t="str">
        <f t="shared" si="111"/>
        <v/>
      </c>
      <c r="E2362" s="18" t="str">
        <f t="shared" si="109"/>
        <v/>
      </c>
      <c r="F2362" s="17" t="str">
        <f t="shared" si="110"/>
        <v/>
      </c>
    </row>
    <row r="2363" spans="2:6" x14ac:dyDescent="0.2">
      <c r="B2363" s="12"/>
      <c r="C2363" s="12"/>
      <c r="D2363" s="17" t="str">
        <f t="shared" si="111"/>
        <v/>
      </c>
      <c r="E2363" s="18" t="str">
        <f t="shared" si="109"/>
        <v/>
      </c>
      <c r="F2363" s="17" t="str">
        <f t="shared" si="110"/>
        <v/>
      </c>
    </row>
    <row r="2364" spans="2:6" x14ac:dyDescent="0.2">
      <c r="B2364" s="12"/>
      <c r="C2364" s="12"/>
      <c r="D2364" s="17" t="str">
        <f t="shared" si="111"/>
        <v/>
      </c>
      <c r="E2364" s="18" t="str">
        <f t="shared" si="109"/>
        <v/>
      </c>
      <c r="F2364" s="17" t="str">
        <f t="shared" si="110"/>
        <v/>
      </c>
    </row>
    <row r="2365" spans="2:6" x14ac:dyDescent="0.2">
      <c r="B2365" s="12"/>
      <c r="C2365" s="12"/>
      <c r="D2365" s="17" t="str">
        <f t="shared" si="111"/>
        <v/>
      </c>
      <c r="E2365" s="18" t="str">
        <f t="shared" si="109"/>
        <v/>
      </c>
      <c r="F2365" s="17" t="str">
        <f t="shared" si="110"/>
        <v/>
      </c>
    </row>
    <row r="2366" spans="2:6" x14ac:dyDescent="0.2">
      <c r="B2366" s="12"/>
      <c r="C2366" s="12"/>
      <c r="D2366" s="17" t="str">
        <f t="shared" si="111"/>
        <v/>
      </c>
      <c r="E2366" s="18" t="str">
        <f t="shared" si="109"/>
        <v/>
      </c>
      <c r="F2366" s="17" t="str">
        <f t="shared" si="110"/>
        <v/>
      </c>
    </row>
    <row r="2367" spans="2:6" x14ac:dyDescent="0.2">
      <c r="B2367" s="12"/>
      <c r="C2367" s="12"/>
      <c r="D2367" s="17" t="str">
        <f t="shared" si="111"/>
        <v/>
      </c>
      <c r="E2367" s="18" t="str">
        <f t="shared" si="109"/>
        <v/>
      </c>
      <c r="F2367" s="17" t="str">
        <f t="shared" si="110"/>
        <v/>
      </c>
    </row>
    <row r="2368" spans="2:6" x14ac:dyDescent="0.2">
      <c r="B2368" s="12"/>
      <c r="C2368" s="12"/>
      <c r="D2368" s="17" t="str">
        <f t="shared" si="111"/>
        <v/>
      </c>
      <c r="E2368" s="18" t="str">
        <f t="shared" si="109"/>
        <v/>
      </c>
      <c r="F2368" s="17" t="str">
        <f t="shared" si="110"/>
        <v/>
      </c>
    </row>
    <row r="2369" spans="2:6" x14ac:dyDescent="0.2">
      <c r="B2369" s="12"/>
      <c r="C2369" s="12"/>
      <c r="D2369" s="17" t="str">
        <f t="shared" si="111"/>
        <v/>
      </c>
      <c r="E2369" s="18" t="str">
        <f t="shared" si="109"/>
        <v/>
      </c>
      <c r="F2369" s="17" t="str">
        <f t="shared" si="110"/>
        <v/>
      </c>
    </row>
    <row r="2370" spans="2:6" x14ac:dyDescent="0.2">
      <c r="B2370" s="12"/>
      <c r="C2370" s="12"/>
      <c r="D2370" s="17" t="str">
        <f t="shared" si="111"/>
        <v/>
      </c>
      <c r="E2370" s="18" t="str">
        <f t="shared" si="109"/>
        <v/>
      </c>
      <c r="F2370" s="17" t="str">
        <f t="shared" si="110"/>
        <v/>
      </c>
    </row>
    <row r="2371" spans="2:6" x14ac:dyDescent="0.2">
      <c r="B2371" s="12"/>
      <c r="C2371" s="12"/>
      <c r="D2371" s="17" t="str">
        <f t="shared" si="111"/>
        <v/>
      </c>
      <c r="E2371" s="18" t="str">
        <f t="shared" si="109"/>
        <v/>
      </c>
      <c r="F2371" s="17" t="str">
        <f t="shared" si="110"/>
        <v/>
      </c>
    </row>
    <row r="2372" spans="2:6" x14ac:dyDescent="0.2">
      <c r="B2372" s="12"/>
      <c r="C2372" s="12"/>
      <c r="D2372" s="17" t="str">
        <f t="shared" si="111"/>
        <v/>
      </c>
      <c r="E2372" s="18" t="str">
        <f t="shared" si="109"/>
        <v/>
      </c>
      <c r="F2372" s="17" t="str">
        <f t="shared" si="110"/>
        <v/>
      </c>
    </row>
    <row r="2373" spans="2:6" x14ac:dyDescent="0.2">
      <c r="B2373" s="12"/>
      <c r="C2373" s="12"/>
      <c r="D2373" s="17" t="str">
        <f t="shared" si="111"/>
        <v/>
      </c>
      <c r="E2373" s="18" t="str">
        <f t="shared" ref="E2373:E2436" si="112">IF(B2373="","",ABS(C2373-D2373))</f>
        <v/>
      </c>
      <c r="F2373" s="17" t="str">
        <f t="shared" ref="F2373:F2436" si="113">IF(B2373="","",E2373^2)</f>
        <v/>
      </c>
    </row>
    <row r="2374" spans="2:6" x14ac:dyDescent="0.2">
      <c r="B2374" s="12"/>
      <c r="C2374" s="12"/>
      <c r="D2374" s="17" t="str">
        <f t="shared" si="111"/>
        <v/>
      </c>
      <c r="E2374" s="18" t="str">
        <f t="shared" si="112"/>
        <v/>
      </c>
      <c r="F2374" s="17" t="str">
        <f t="shared" si="113"/>
        <v/>
      </c>
    </row>
    <row r="2375" spans="2:6" x14ac:dyDescent="0.2">
      <c r="B2375" s="12"/>
      <c r="C2375" s="12"/>
      <c r="D2375" s="17" t="str">
        <f t="shared" si="111"/>
        <v/>
      </c>
      <c r="E2375" s="18" t="str">
        <f t="shared" si="112"/>
        <v/>
      </c>
      <c r="F2375" s="17" t="str">
        <f t="shared" si="113"/>
        <v/>
      </c>
    </row>
    <row r="2376" spans="2:6" x14ac:dyDescent="0.2">
      <c r="B2376" s="12"/>
      <c r="C2376" s="12"/>
      <c r="D2376" s="17" t="str">
        <f t="shared" si="111"/>
        <v/>
      </c>
      <c r="E2376" s="18" t="str">
        <f t="shared" si="112"/>
        <v/>
      </c>
      <c r="F2376" s="17" t="str">
        <f t="shared" si="113"/>
        <v/>
      </c>
    </row>
    <row r="2377" spans="2:6" x14ac:dyDescent="0.2">
      <c r="B2377" s="12"/>
      <c r="C2377" s="12"/>
      <c r="D2377" s="17" t="str">
        <f t="shared" si="111"/>
        <v/>
      </c>
      <c r="E2377" s="18" t="str">
        <f t="shared" si="112"/>
        <v/>
      </c>
      <c r="F2377" s="17" t="str">
        <f t="shared" si="113"/>
        <v/>
      </c>
    </row>
    <row r="2378" spans="2:6" x14ac:dyDescent="0.2">
      <c r="B2378" s="12"/>
      <c r="C2378" s="12"/>
      <c r="D2378" s="17" t="str">
        <f t="shared" si="111"/>
        <v/>
      </c>
      <c r="E2378" s="18" t="str">
        <f t="shared" si="112"/>
        <v/>
      </c>
      <c r="F2378" s="17" t="str">
        <f t="shared" si="113"/>
        <v/>
      </c>
    </row>
    <row r="2379" spans="2:6" x14ac:dyDescent="0.2">
      <c r="B2379" s="12"/>
      <c r="C2379" s="12"/>
      <c r="D2379" s="17" t="str">
        <f t="shared" si="111"/>
        <v/>
      </c>
      <c r="E2379" s="18" t="str">
        <f t="shared" si="112"/>
        <v/>
      </c>
      <c r="F2379" s="17" t="str">
        <f t="shared" si="113"/>
        <v/>
      </c>
    </row>
    <row r="2380" spans="2:6" x14ac:dyDescent="0.2">
      <c r="B2380" s="12"/>
      <c r="C2380" s="12"/>
      <c r="D2380" s="17" t="str">
        <f t="shared" si="111"/>
        <v/>
      </c>
      <c r="E2380" s="18" t="str">
        <f t="shared" si="112"/>
        <v/>
      </c>
      <c r="F2380" s="17" t="str">
        <f t="shared" si="113"/>
        <v/>
      </c>
    </row>
    <row r="2381" spans="2:6" x14ac:dyDescent="0.2">
      <c r="B2381" s="12"/>
      <c r="C2381" s="12"/>
      <c r="D2381" s="17" t="str">
        <f t="shared" si="111"/>
        <v/>
      </c>
      <c r="E2381" s="18" t="str">
        <f t="shared" si="112"/>
        <v/>
      </c>
      <c r="F2381" s="17" t="str">
        <f t="shared" si="113"/>
        <v/>
      </c>
    </row>
    <row r="2382" spans="2:6" x14ac:dyDescent="0.2">
      <c r="B2382" s="12"/>
      <c r="C2382" s="12"/>
      <c r="D2382" s="17" t="str">
        <f t="shared" si="111"/>
        <v/>
      </c>
      <c r="E2382" s="18" t="str">
        <f t="shared" si="112"/>
        <v/>
      </c>
      <c r="F2382" s="17" t="str">
        <f t="shared" si="113"/>
        <v/>
      </c>
    </row>
    <row r="2383" spans="2:6" x14ac:dyDescent="0.2">
      <c r="B2383" s="12"/>
      <c r="C2383" s="12"/>
      <c r="D2383" s="17" t="str">
        <f t="shared" si="111"/>
        <v/>
      </c>
      <c r="E2383" s="18" t="str">
        <f t="shared" si="112"/>
        <v/>
      </c>
      <c r="F2383" s="17" t="str">
        <f t="shared" si="113"/>
        <v/>
      </c>
    </row>
    <row r="2384" spans="2:6" x14ac:dyDescent="0.2">
      <c r="B2384" s="12"/>
      <c r="C2384" s="12"/>
      <c r="D2384" s="17" t="str">
        <f t="shared" si="111"/>
        <v/>
      </c>
      <c r="E2384" s="18" t="str">
        <f t="shared" si="112"/>
        <v/>
      </c>
      <c r="F2384" s="17" t="str">
        <f t="shared" si="113"/>
        <v/>
      </c>
    </row>
    <row r="2385" spans="2:6" x14ac:dyDescent="0.2">
      <c r="B2385" s="12"/>
      <c r="C2385" s="12"/>
      <c r="D2385" s="17" t="str">
        <f t="shared" si="111"/>
        <v/>
      </c>
      <c r="E2385" s="18" t="str">
        <f t="shared" si="112"/>
        <v/>
      </c>
      <c r="F2385" s="17" t="str">
        <f t="shared" si="113"/>
        <v/>
      </c>
    </row>
    <row r="2386" spans="2:6" x14ac:dyDescent="0.2">
      <c r="B2386" s="12"/>
      <c r="C2386" s="12"/>
      <c r="D2386" s="17" t="str">
        <f t="shared" ref="D2386:D2449" si="114">IF(B2386="","",a+b*B2386)</f>
        <v/>
      </c>
      <c r="E2386" s="18" t="str">
        <f t="shared" si="112"/>
        <v/>
      </c>
      <c r="F2386" s="17" t="str">
        <f t="shared" si="113"/>
        <v/>
      </c>
    </row>
    <row r="2387" spans="2:6" x14ac:dyDescent="0.2">
      <c r="B2387" s="12"/>
      <c r="C2387" s="12"/>
      <c r="D2387" s="17" t="str">
        <f t="shared" si="114"/>
        <v/>
      </c>
      <c r="E2387" s="18" t="str">
        <f t="shared" si="112"/>
        <v/>
      </c>
      <c r="F2387" s="17" t="str">
        <f t="shared" si="113"/>
        <v/>
      </c>
    </row>
    <row r="2388" spans="2:6" x14ac:dyDescent="0.2">
      <c r="B2388" s="12"/>
      <c r="C2388" s="12"/>
      <c r="D2388" s="17" t="str">
        <f t="shared" si="114"/>
        <v/>
      </c>
      <c r="E2388" s="18" t="str">
        <f t="shared" si="112"/>
        <v/>
      </c>
      <c r="F2388" s="17" t="str">
        <f t="shared" si="113"/>
        <v/>
      </c>
    </row>
    <row r="2389" spans="2:6" x14ac:dyDescent="0.2">
      <c r="B2389" s="12"/>
      <c r="C2389" s="12"/>
      <c r="D2389" s="17" t="str">
        <f t="shared" si="114"/>
        <v/>
      </c>
      <c r="E2389" s="18" t="str">
        <f t="shared" si="112"/>
        <v/>
      </c>
      <c r="F2389" s="17" t="str">
        <f t="shared" si="113"/>
        <v/>
      </c>
    </row>
    <row r="2390" spans="2:6" x14ac:dyDescent="0.2">
      <c r="B2390" s="12"/>
      <c r="C2390" s="12"/>
      <c r="D2390" s="17" t="str">
        <f t="shared" si="114"/>
        <v/>
      </c>
      <c r="E2390" s="18" t="str">
        <f t="shared" si="112"/>
        <v/>
      </c>
      <c r="F2390" s="17" t="str">
        <f t="shared" si="113"/>
        <v/>
      </c>
    </row>
    <row r="2391" spans="2:6" x14ac:dyDescent="0.2">
      <c r="B2391" s="12"/>
      <c r="C2391" s="12"/>
      <c r="D2391" s="17" t="str">
        <f t="shared" si="114"/>
        <v/>
      </c>
      <c r="E2391" s="18" t="str">
        <f t="shared" si="112"/>
        <v/>
      </c>
      <c r="F2391" s="17" t="str">
        <f t="shared" si="113"/>
        <v/>
      </c>
    </row>
    <row r="2392" spans="2:6" x14ac:dyDescent="0.2">
      <c r="B2392" s="12"/>
      <c r="C2392" s="12"/>
      <c r="D2392" s="17" t="str">
        <f t="shared" si="114"/>
        <v/>
      </c>
      <c r="E2392" s="18" t="str">
        <f t="shared" si="112"/>
        <v/>
      </c>
      <c r="F2392" s="17" t="str">
        <f t="shared" si="113"/>
        <v/>
      </c>
    </row>
    <row r="2393" spans="2:6" x14ac:dyDescent="0.2">
      <c r="B2393" s="12"/>
      <c r="C2393" s="12"/>
      <c r="D2393" s="17" t="str">
        <f t="shared" si="114"/>
        <v/>
      </c>
      <c r="E2393" s="18" t="str">
        <f t="shared" si="112"/>
        <v/>
      </c>
      <c r="F2393" s="17" t="str">
        <f t="shared" si="113"/>
        <v/>
      </c>
    </row>
    <row r="2394" spans="2:6" x14ac:dyDescent="0.2">
      <c r="B2394" s="12"/>
      <c r="C2394" s="12"/>
      <c r="D2394" s="17" t="str">
        <f t="shared" si="114"/>
        <v/>
      </c>
      <c r="E2394" s="18" t="str">
        <f t="shared" si="112"/>
        <v/>
      </c>
      <c r="F2394" s="17" t="str">
        <f t="shared" si="113"/>
        <v/>
      </c>
    </row>
    <row r="2395" spans="2:6" x14ac:dyDescent="0.2">
      <c r="B2395" s="12"/>
      <c r="C2395" s="12"/>
      <c r="D2395" s="17" t="str">
        <f t="shared" si="114"/>
        <v/>
      </c>
      <c r="E2395" s="18" t="str">
        <f t="shared" si="112"/>
        <v/>
      </c>
      <c r="F2395" s="17" t="str">
        <f t="shared" si="113"/>
        <v/>
      </c>
    </row>
    <row r="2396" spans="2:6" x14ac:dyDescent="0.2">
      <c r="B2396" s="12"/>
      <c r="C2396" s="12"/>
      <c r="D2396" s="17" t="str">
        <f t="shared" si="114"/>
        <v/>
      </c>
      <c r="E2396" s="18" t="str">
        <f t="shared" si="112"/>
        <v/>
      </c>
      <c r="F2396" s="17" t="str">
        <f t="shared" si="113"/>
        <v/>
      </c>
    </row>
    <row r="2397" spans="2:6" x14ac:dyDescent="0.2">
      <c r="B2397" s="12"/>
      <c r="C2397" s="12"/>
      <c r="D2397" s="17" t="str">
        <f t="shared" si="114"/>
        <v/>
      </c>
      <c r="E2397" s="18" t="str">
        <f t="shared" si="112"/>
        <v/>
      </c>
      <c r="F2397" s="17" t="str">
        <f t="shared" si="113"/>
        <v/>
      </c>
    </row>
    <row r="2398" spans="2:6" x14ac:dyDescent="0.2">
      <c r="B2398" s="12"/>
      <c r="C2398" s="12"/>
      <c r="D2398" s="17" t="str">
        <f t="shared" si="114"/>
        <v/>
      </c>
      <c r="E2398" s="18" t="str">
        <f t="shared" si="112"/>
        <v/>
      </c>
      <c r="F2398" s="17" t="str">
        <f t="shared" si="113"/>
        <v/>
      </c>
    </row>
    <row r="2399" spans="2:6" x14ac:dyDescent="0.2">
      <c r="B2399" s="12"/>
      <c r="C2399" s="12"/>
      <c r="D2399" s="17" t="str">
        <f t="shared" si="114"/>
        <v/>
      </c>
      <c r="E2399" s="18" t="str">
        <f t="shared" si="112"/>
        <v/>
      </c>
      <c r="F2399" s="17" t="str">
        <f t="shared" si="113"/>
        <v/>
      </c>
    </row>
    <row r="2400" spans="2:6" x14ac:dyDescent="0.2">
      <c r="B2400" s="12"/>
      <c r="C2400" s="12"/>
      <c r="D2400" s="17" t="str">
        <f t="shared" si="114"/>
        <v/>
      </c>
      <c r="E2400" s="18" t="str">
        <f t="shared" si="112"/>
        <v/>
      </c>
      <c r="F2400" s="17" t="str">
        <f t="shared" si="113"/>
        <v/>
      </c>
    </row>
    <row r="2401" spans="2:6" x14ac:dyDescent="0.2">
      <c r="B2401" s="12"/>
      <c r="C2401" s="12"/>
      <c r="D2401" s="17" t="str">
        <f t="shared" si="114"/>
        <v/>
      </c>
      <c r="E2401" s="18" t="str">
        <f t="shared" si="112"/>
        <v/>
      </c>
      <c r="F2401" s="17" t="str">
        <f t="shared" si="113"/>
        <v/>
      </c>
    </row>
    <row r="2402" spans="2:6" x14ac:dyDescent="0.2">
      <c r="B2402" s="12"/>
      <c r="C2402" s="12"/>
      <c r="D2402" s="17" t="str">
        <f t="shared" si="114"/>
        <v/>
      </c>
      <c r="E2402" s="18" t="str">
        <f t="shared" si="112"/>
        <v/>
      </c>
      <c r="F2402" s="17" t="str">
        <f t="shared" si="113"/>
        <v/>
      </c>
    </row>
    <row r="2403" spans="2:6" x14ac:dyDescent="0.2">
      <c r="B2403" s="12"/>
      <c r="C2403" s="12"/>
      <c r="D2403" s="17" t="str">
        <f t="shared" si="114"/>
        <v/>
      </c>
      <c r="E2403" s="18" t="str">
        <f t="shared" si="112"/>
        <v/>
      </c>
      <c r="F2403" s="17" t="str">
        <f t="shared" si="113"/>
        <v/>
      </c>
    </row>
    <row r="2404" spans="2:6" x14ac:dyDescent="0.2">
      <c r="B2404" s="12"/>
      <c r="C2404" s="12"/>
      <c r="D2404" s="17" t="str">
        <f t="shared" si="114"/>
        <v/>
      </c>
      <c r="E2404" s="18" t="str">
        <f t="shared" si="112"/>
        <v/>
      </c>
      <c r="F2404" s="17" t="str">
        <f t="shared" si="113"/>
        <v/>
      </c>
    </row>
    <row r="2405" spans="2:6" x14ac:dyDescent="0.2">
      <c r="B2405" s="12"/>
      <c r="C2405" s="12"/>
      <c r="D2405" s="17" t="str">
        <f t="shared" si="114"/>
        <v/>
      </c>
      <c r="E2405" s="18" t="str">
        <f t="shared" si="112"/>
        <v/>
      </c>
      <c r="F2405" s="17" t="str">
        <f t="shared" si="113"/>
        <v/>
      </c>
    </row>
    <row r="2406" spans="2:6" x14ac:dyDescent="0.2">
      <c r="B2406" s="12"/>
      <c r="C2406" s="12"/>
      <c r="D2406" s="17" t="str">
        <f t="shared" si="114"/>
        <v/>
      </c>
      <c r="E2406" s="18" t="str">
        <f t="shared" si="112"/>
        <v/>
      </c>
      <c r="F2406" s="17" t="str">
        <f t="shared" si="113"/>
        <v/>
      </c>
    </row>
    <row r="2407" spans="2:6" x14ac:dyDescent="0.2">
      <c r="B2407" s="12"/>
      <c r="C2407" s="12"/>
      <c r="D2407" s="17" t="str">
        <f t="shared" si="114"/>
        <v/>
      </c>
      <c r="E2407" s="18" t="str">
        <f t="shared" si="112"/>
        <v/>
      </c>
      <c r="F2407" s="17" t="str">
        <f t="shared" si="113"/>
        <v/>
      </c>
    </row>
    <row r="2408" spans="2:6" x14ac:dyDescent="0.2">
      <c r="B2408" s="12"/>
      <c r="C2408" s="12"/>
      <c r="D2408" s="17" t="str">
        <f t="shared" si="114"/>
        <v/>
      </c>
      <c r="E2408" s="18" t="str">
        <f t="shared" si="112"/>
        <v/>
      </c>
      <c r="F2408" s="17" t="str">
        <f t="shared" si="113"/>
        <v/>
      </c>
    </row>
    <row r="2409" spans="2:6" x14ac:dyDescent="0.2">
      <c r="B2409" s="12"/>
      <c r="C2409" s="12"/>
      <c r="D2409" s="17" t="str">
        <f t="shared" si="114"/>
        <v/>
      </c>
      <c r="E2409" s="18" t="str">
        <f t="shared" si="112"/>
        <v/>
      </c>
      <c r="F2409" s="17" t="str">
        <f t="shared" si="113"/>
        <v/>
      </c>
    </row>
    <row r="2410" spans="2:6" x14ac:dyDescent="0.2">
      <c r="B2410" s="12"/>
      <c r="C2410" s="12"/>
      <c r="D2410" s="17" t="str">
        <f t="shared" si="114"/>
        <v/>
      </c>
      <c r="E2410" s="18" t="str">
        <f t="shared" si="112"/>
        <v/>
      </c>
      <c r="F2410" s="17" t="str">
        <f t="shared" si="113"/>
        <v/>
      </c>
    </row>
    <row r="2411" spans="2:6" x14ac:dyDescent="0.2">
      <c r="B2411" s="12"/>
      <c r="C2411" s="12"/>
      <c r="D2411" s="17" t="str">
        <f t="shared" si="114"/>
        <v/>
      </c>
      <c r="E2411" s="18" t="str">
        <f t="shared" si="112"/>
        <v/>
      </c>
      <c r="F2411" s="17" t="str">
        <f t="shared" si="113"/>
        <v/>
      </c>
    </row>
    <row r="2412" spans="2:6" x14ac:dyDescent="0.2">
      <c r="B2412" s="12"/>
      <c r="C2412" s="12"/>
      <c r="D2412" s="17" t="str">
        <f t="shared" si="114"/>
        <v/>
      </c>
      <c r="E2412" s="18" t="str">
        <f t="shared" si="112"/>
        <v/>
      </c>
      <c r="F2412" s="17" t="str">
        <f t="shared" si="113"/>
        <v/>
      </c>
    </row>
    <row r="2413" spans="2:6" x14ac:dyDescent="0.2">
      <c r="B2413" s="12"/>
      <c r="C2413" s="12"/>
      <c r="D2413" s="17" t="str">
        <f t="shared" si="114"/>
        <v/>
      </c>
      <c r="E2413" s="18" t="str">
        <f t="shared" si="112"/>
        <v/>
      </c>
      <c r="F2413" s="17" t="str">
        <f t="shared" si="113"/>
        <v/>
      </c>
    </row>
    <row r="2414" spans="2:6" x14ac:dyDescent="0.2">
      <c r="B2414" s="12"/>
      <c r="C2414" s="12"/>
      <c r="D2414" s="17" t="str">
        <f t="shared" si="114"/>
        <v/>
      </c>
      <c r="E2414" s="18" t="str">
        <f t="shared" si="112"/>
        <v/>
      </c>
      <c r="F2414" s="17" t="str">
        <f t="shared" si="113"/>
        <v/>
      </c>
    </row>
    <row r="2415" spans="2:6" x14ac:dyDescent="0.2">
      <c r="B2415" s="12"/>
      <c r="C2415" s="12"/>
      <c r="D2415" s="17" t="str">
        <f t="shared" si="114"/>
        <v/>
      </c>
      <c r="E2415" s="18" t="str">
        <f t="shared" si="112"/>
        <v/>
      </c>
      <c r="F2415" s="17" t="str">
        <f t="shared" si="113"/>
        <v/>
      </c>
    </row>
    <row r="2416" spans="2:6" x14ac:dyDescent="0.2">
      <c r="B2416" s="12"/>
      <c r="C2416" s="12"/>
      <c r="D2416" s="17" t="str">
        <f t="shared" si="114"/>
        <v/>
      </c>
      <c r="E2416" s="18" t="str">
        <f t="shared" si="112"/>
        <v/>
      </c>
      <c r="F2416" s="17" t="str">
        <f t="shared" si="113"/>
        <v/>
      </c>
    </row>
    <row r="2417" spans="2:6" x14ac:dyDescent="0.2">
      <c r="B2417" s="12"/>
      <c r="C2417" s="12"/>
      <c r="D2417" s="17" t="str">
        <f t="shared" si="114"/>
        <v/>
      </c>
      <c r="E2417" s="18" t="str">
        <f t="shared" si="112"/>
        <v/>
      </c>
      <c r="F2417" s="17" t="str">
        <f t="shared" si="113"/>
        <v/>
      </c>
    </row>
    <row r="2418" spans="2:6" x14ac:dyDescent="0.2">
      <c r="B2418" s="12"/>
      <c r="C2418" s="12"/>
      <c r="D2418" s="17" t="str">
        <f t="shared" si="114"/>
        <v/>
      </c>
      <c r="E2418" s="18" t="str">
        <f t="shared" si="112"/>
        <v/>
      </c>
      <c r="F2418" s="17" t="str">
        <f t="shared" si="113"/>
        <v/>
      </c>
    </row>
    <row r="2419" spans="2:6" x14ac:dyDescent="0.2">
      <c r="B2419" s="12"/>
      <c r="C2419" s="12"/>
      <c r="D2419" s="17" t="str">
        <f t="shared" si="114"/>
        <v/>
      </c>
      <c r="E2419" s="18" t="str">
        <f t="shared" si="112"/>
        <v/>
      </c>
      <c r="F2419" s="17" t="str">
        <f t="shared" si="113"/>
        <v/>
      </c>
    </row>
    <row r="2420" spans="2:6" x14ac:dyDescent="0.2">
      <c r="B2420" s="12"/>
      <c r="C2420" s="12"/>
      <c r="D2420" s="17" t="str">
        <f t="shared" si="114"/>
        <v/>
      </c>
      <c r="E2420" s="18" t="str">
        <f t="shared" si="112"/>
        <v/>
      </c>
      <c r="F2420" s="17" t="str">
        <f t="shared" si="113"/>
        <v/>
      </c>
    </row>
    <row r="2421" spans="2:6" x14ac:dyDescent="0.2">
      <c r="B2421" s="12"/>
      <c r="C2421" s="12"/>
      <c r="D2421" s="17" t="str">
        <f t="shared" si="114"/>
        <v/>
      </c>
      <c r="E2421" s="18" t="str">
        <f t="shared" si="112"/>
        <v/>
      </c>
      <c r="F2421" s="17" t="str">
        <f t="shared" si="113"/>
        <v/>
      </c>
    </row>
    <row r="2422" spans="2:6" x14ac:dyDescent="0.2">
      <c r="B2422" s="12"/>
      <c r="C2422" s="12"/>
      <c r="D2422" s="17" t="str">
        <f t="shared" si="114"/>
        <v/>
      </c>
      <c r="E2422" s="18" t="str">
        <f t="shared" si="112"/>
        <v/>
      </c>
      <c r="F2422" s="17" t="str">
        <f t="shared" si="113"/>
        <v/>
      </c>
    </row>
    <row r="2423" spans="2:6" x14ac:dyDescent="0.2">
      <c r="B2423" s="12"/>
      <c r="C2423" s="12"/>
      <c r="D2423" s="17" t="str">
        <f t="shared" si="114"/>
        <v/>
      </c>
      <c r="E2423" s="18" t="str">
        <f t="shared" si="112"/>
        <v/>
      </c>
      <c r="F2423" s="17" t="str">
        <f t="shared" si="113"/>
        <v/>
      </c>
    </row>
    <row r="2424" spans="2:6" x14ac:dyDescent="0.2">
      <c r="B2424" s="12"/>
      <c r="C2424" s="12"/>
      <c r="D2424" s="17" t="str">
        <f t="shared" si="114"/>
        <v/>
      </c>
      <c r="E2424" s="18" t="str">
        <f t="shared" si="112"/>
        <v/>
      </c>
      <c r="F2424" s="17" t="str">
        <f t="shared" si="113"/>
        <v/>
      </c>
    </row>
    <row r="2425" spans="2:6" x14ac:dyDescent="0.2">
      <c r="B2425" s="12"/>
      <c r="C2425" s="12"/>
      <c r="D2425" s="17" t="str">
        <f t="shared" si="114"/>
        <v/>
      </c>
      <c r="E2425" s="18" t="str">
        <f t="shared" si="112"/>
        <v/>
      </c>
      <c r="F2425" s="17" t="str">
        <f t="shared" si="113"/>
        <v/>
      </c>
    </row>
    <row r="2426" spans="2:6" x14ac:dyDescent="0.2">
      <c r="B2426" s="12"/>
      <c r="C2426" s="12"/>
      <c r="D2426" s="17" t="str">
        <f t="shared" si="114"/>
        <v/>
      </c>
      <c r="E2426" s="18" t="str">
        <f t="shared" si="112"/>
        <v/>
      </c>
      <c r="F2426" s="17" t="str">
        <f t="shared" si="113"/>
        <v/>
      </c>
    </row>
    <row r="2427" spans="2:6" x14ac:dyDescent="0.2">
      <c r="B2427" s="12"/>
      <c r="C2427" s="12"/>
      <c r="D2427" s="17" t="str">
        <f t="shared" si="114"/>
        <v/>
      </c>
      <c r="E2427" s="18" t="str">
        <f t="shared" si="112"/>
        <v/>
      </c>
      <c r="F2427" s="17" t="str">
        <f t="shared" si="113"/>
        <v/>
      </c>
    </row>
    <row r="2428" spans="2:6" x14ac:dyDescent="0.2">
      <c r="B2428" s="12"/>
      <c r="C2428" s="12"/>
      <c r="D2428" s="17" t="str">
        <f t="shared" si="114"/>
        <v/>
      </c>
      <c r="E2428" s="18" t="str">
        <f t="shared" si="112"/>
        <v/>
      </c>
      <c r="F2428" s="17" t="str">
        <f t="shared" si="113"/>
        <v/>
      </c>
    </row>
    <row r="2429" spans="2:6" x14ac:dyDescent="0.2">
      <c r="B2429" s="12"/>
      <c r="C2429" s="12"/>
      <c r="D2429" s="17" t="str">
        <f t="shared" si="114"/>
        <v/>
      </c>
      <c r="E2429" s="18" t="str">
        <f t="shared" si="112"/>
        <v/>
      </c>
      <c r="F2429" s="17" t="str">
        <f t="shared" si="113"/>
        <v/>
      </c>
    </row>
    <row r="2430" spans="2:6" x14ac:dyDescent="0.2">
      <c r="B2430" s="12"/>
      <c r="C2430" s="12"/>
      <c r="D2430" s="17" t="str">
        <f t="shared" si="114"/>
        <v/>
      </c>
      <c r="E2430" s="18" t="str">
        <f t="shared" si="112"/>
        <v/>
      </c>
      <c r="F2430" s="17" t="str">
        <f t="shared" si="113"/>
        <v/>
      </c>
    </row>
    <row r="2431" spans="2:6" x14ac:dyDescent="0.2">
      <c r="B2431" s="12"/>
      <c r="C2431" s="12"/>
      <c r="D2431" s="17" t="str">
        <f t="shared" si="114"/>
        <v/>
      </c>
      <c r="E2431" s="18" t="str">
        <f t="shared" si="112"/>
        <v/>
      </c>
      <c r="F2431" s="17" t="str">
        <f t="shared" si="113"/>
        <v/>
      </c>
    </row>
    <row r="2432" spans="2:6" x14ac:dyDescent="0.2">
      <c r="B2432" s="12"/>
      <c r="C2432" s="12"/>
      <c r="D2432" s="17" t="str">
        <f t="shared" si="114"/>
        <v/>
      </c>
      <c r="E2432" s="18" t="str">
        <f t="shared" si="112"/>
        <v/>
      </c>
      <c r="F2432" s="17" t="str">
        <f t="shared" si="113"/>
        <v/>
      </c>
    </row>
    <row r="2433" spans="2:6" x14ac:dyDescent="0.2">
      <c r="B2433" s="12"/>
      <c r="C2433" s="12"/>
      <c r="D2433" s="17" t="str">
        <f t="shared" si="114"/>
        <v/>
      </c>
      <c r="E2433" s="18" t="str">
        <f t="shared" si="112"/>
        <v/>
      </c>
      <c r="F2433" s="17" t="str">
        <f t="shared" si="113"/>
        <v/>
      </c>
    </row>
    <row r="2434" spans="2:6" x14ac:dyDescent="0.2">
      <c r="B2434" s="12"/>
      <c r="C2434" s="12"/>
      <c r="D2434" s="17" t="str">
        <f t="shared" si="114"/>
        <v/>
      </c>
      <c r="E2434" s="18" t="str">
        <f t="shared" si="112"/>
        <v/>
      </c>
      <c r="F2434" s="17" t="str">
        <f t="shared" si="113"/>
        <v/>
      </c>
    </row>
    <row r="2435" spans="2:6" x14ac:dyDescent="0.2">
      <c r="B2435" s="12"/>
      <c r="C2435" s="12"/>
      <c r="D2435" s="17" t="str">
        <f t="shared" si="114"/>
        <v/>
      </c>
      <c r="E2435" s="18" t="str">
        <f t="shared" si="112"/>
        <v/>
      </c>
      <c r="F2435" s="17" t="str">
        <f t="shared" si="113"/>
        <v/>
      </c>
    </row>
    <row r="2436" spans="2:6" x14ac:dyDescent="0.2">
      <c r="B2436" s="12"/>
      <c r="C2436" s="12"/>
      <c r="D2436" s="17" t="str">
        <f t="shared" si="114"/>
        <v/>
      </c>
      <c r="E2436" s="18" t="str">
        <f t="shared" si="112"/>
        <v/>
      </c>
      <c r="F2436" s="17" t="str">
        <f t="shared" si="113"/>
        <v/>
      </c>
    </row>
    <row r="2437" spans="2:6" x14ac:dyDescent="0.2">
      <c r="B2437" s="12"/>
      <c r="C2437" s="12"/>
      <c r="D2437" s="17" t="str">
        <f t="shared" si="114"/>
        <v/>
      </c>
      <c r="E2437" s="18" t="str">
        <f t="shared" ref="E2437:E2500" si="115">IF(B2437="","",ABS(C2437-D2437))</f>
        <v/>
      </c>
      <c r="F2437" s="17" t="str">
        <f t="shared" ref="F2437:F2500" si="116">IF(B2437="","",E2437^2)</f>
        <v/>
      </c>
    </row>
    <row r="2438" spans="2:6" x14ac:dyDescent="0.2">
      <c r="B2438" s="12"/>
      <c r="C2438" s="12"/>
      <c r="D2438" s="17" t="str">
        <f t="shared" si="114"/>
        <v/>
      </c>
      <c r="E2438" s="18" t="str">
        <f t="shared" si="115"/>
        <v/>
      </c>
      <c r="F2438" s="17" t="str">
        <f t="shared" si="116"/>
        <v/>
      </c>
    </row>
    <row r="2439" spans="2:6" x14ac:dyDescent="0.2">
      <c r="B2439" s="12"/>
      <c r="C2439" s="12"/>
      <c r="D2439" s="17" t="str">
        <f t="shared" si="114"/>
        <v/>
      </c>
      <c r="E2439" s="18" t="str">
        <f t="shared" si="115"/>
        <v/>
      </c>
      <c r="F2439" s="17" t="str">
        <f t="shared" si="116"/>
        <v/>
      </c>
    </row>
    <row r="2440" spans="2:6" x14ac:dyDescent="0.2">
      <c r="B2440" s="12"/>
      <c r="C2440" s="12"/>
      <c r="D2440" s="17" t="str">
        <f t="shared" si="114"/>
        <v/>
      </c>
      <c r="E2440" s="18" t="str">
        <f t="shared" si="115"/>
        <v/>
      </c>
      <c r="F2440" s="17" t="str">
        <f t="shared" si="116"/>
        <v/>
      </c>
    </row>
    <row r="2441" spans="2:6" x14ac:dyDescent="0.2">
      <c r="B2441" s="12"/>
      <c r="C2441" s="12"/>
      <c r="D2441" s="17" t="str">
        <f t="shared" si="114"/>
        <v/>
      </c>
      <c r="E2441" s="18" t="str">
        <f t="shared" si="115"/>
        <v/>
      </c>
      <c r="F2441" s="17" t="str">
        <f t="shared" si="116"/>
        <v/>
      </c>
    </row>
    <row r="2442" spans="2:6" x14ac:dyDescent="0.2">
      <c r="B2442" s="12"/>
      <c r="C2442" s="12"/>
      <c r="D2442" s="17" t="str">
        <f t="shared" si="114"/>
        <v/>
      </c>
      <c r="E2442" s="18" t="str">
        <f t="shared" si="115"/>
        <v/>
      </c>
      <c r="F2442" s="17" t="str">
        <f t="shared" si="116"/>
        <v/>
      </c>
    </row>
    <row r="2443" spans="2:6" x14ac:dyDescent="0.2">
      <c r="B2443" s="12"/>
      <c r="C2443" s="12"/>
      <c r="D2443" s="17" t="str">
        <f t="shared" si="114"/>
        <v/>
      </c>
      <c r="E2443" s="18" t="str">
        <f t="shared" si="115"/>
        <v/>
      </c>
      <c r="F2443" s="17" t="str">
        <f t="shared" si="116"/>
        <v/>
      </c>
    </row>
    <row r="2444" spans="2:6" x14ac:dyDescent="0.2">
      <c r="B2444" s="12"/>
      <c r="C2444" s="12"/>
      <c r="D2444" s="17" t="str">
        <f t="shared" si="114"/>
        <v/>
      </c>
      <c r="E2444" s="18" t="str">
        <f t="shared" si="115"/>
        <v/>
      </c>
      <c r="F2444" s="17" t="str">
        <f t="shared" si="116"/>
        <v/>
      </c>
    </row>
    <row r="2445" spans="2:6" x14ac:dyDescent="0.2">
      <c r="B2445" s="12"/>
      <c r="C2445" s="12"/>
      <c r="D2445" s="17" t="str">
        <f t="shared" si="114"/>
        <v/>
      </c>
      <c r="E2445" s="18" t="str">
        <f t="shared" si="115"/>
        <v/>
      </c>
      <c r="F2445" s="17" t="str">
        <f t="shared" si="116"/>
        <v/>
      </c>
    </row>
    <row r="2446" spans="2:6" x14ac:dyDescent="0.2">
      <c r="B2446" s="12"/>
      <c r="C2446" s="12"/>
      <c r="D2446" s="17" t="str">
        <f t="shared" si="114"/>
        <v/>
      </c>
      <c r="E2446" s="18" t="str">
        <f t="shared" si="115"/>
        <v/>
      </c>
      <c r="F2446" s="17" t="str">
        <f t="shared" si="116"/>
        <v/>
      </c>
    </row>
    <row r="2447" spans="2:6" x14ac:dyDescent="0.2">
      <c r="B2447" s="12"/>
      <c r="C2447" s="12"/>
      <c r="D2447" s="17" t="str">
        <f t="shared" si="114"/>
        <v/>
      </c>
      <c r="E2447" s="18" t="str">
        <f t="shared" si="115"/>
        <v/>
      </c>
      <c r="F2447" s="17" t="str">
        <f t="shared" si="116"/>
        <v/>
      </c>
    </row>
    <row r="2448" spans="2:6" x14ac:dyDescent="0.2">
      <c r="B2448" s="12"/>
      <c r="C2448" s="12"/>
      <c r="D2448" s="17" t="str">
        <f t="shared" si="114"/>
        <v/>
      </c>
      <c r="E2448" s="18" t="str">
        <f t="shared" si="115"/>
        <v/>
      </c>
      <c r="F2448" s="17" t="str">
        <f t="shared" si="116"/>
        <v/>
      </c>
    </row>
    <row r="2449" spans="2:6" x14ac:dyDescent="0.2">
      <c r="B2449" s="12"/>
      <c r="C2449" s="12"/>
      <c r="D2449" s="17" t="str">
        <f t="shared" si="114"/>
        <v/>
      </c>
      <c r="E2449" s="18" t="str">
        <f t="shared" si="115"/>
        <v/>
      </c>
      <c r="F2449" s="17" t="str">
        <f t="shared" si="116"/>
        <v/>
      </c>
    </row>
    <row r="2450" spans="2:6" x14ac:dyDescent="0.2">
      <c r="B2450" s="12"/>
      <c r="C2450" s="12"/>
      <c r="D2450" s="17" t="str">
        <f t="shared" ref="D2450:D2513" si="117">IF(B2450="","",a+b*B2450)</f>
        <v/>
      </c>
      <c r="E2450" s="18" t="str">
        <f t="shared" si="115"/>
        <v/>
      </c>
      <c r="F2450" s="17" t="str">
        <f t="shared" si="116"/>
        <v/>
      </c>
    </row>
    <row r="2451" spans="2:6" x14ac:dyDescent="0.2">
      <c r="B2451" s="12"/>
      <c r="C2451" s="12"/>
      <c r="D2451" s="17" t="str">
        <f t="shared" si="117"/>
        <v/>
      </c>
      <c r="E2451" s="18" t="str">
        <f t="shared" si="115"/>
        <v/>
      </c>
      <c r="F2451" s="17" t="str">
        <f t="shared" si="116"/>
        <v/>
      </c>
    </row>
    <row r="2452" spans="2:6" x14ac:dyDescent="0.2">
      <c r="B2452" s="12"/>
      <c r="C2452" s="12"/>
      <c r="D2452" s="17" t="str">
        <f t="shared" si="117"/>
        <v/>
      </c>
      <c r="E2452" s="18" t="str">
        <f t="shared" si="115"/>
        <v/>
      </c>
      <c r="F2452" s="17" t="str">
        <f t="shared" si="116"/>
        <v/>
      </c>
    </row>
    <row r="2453" spans="2:6" x14ac:dyDescent="0.2">
      <c r="B2453" s="12"/>
      <c r="C2453" s="12"/>
      <c r="D2453" s="17" t="str">
        <f t="shared" si="117"/>
        <v/>
      </c>
      <c r="E2453" s="18" t="str">
        <f t="shared" si="115"/>
        <v/>
      </c>
      <c r="F2453" s="17" t="str">
        <f t="shared" si="116"/>
        <v/>
      </c>
    </row>
    <row r="2454" spans="2:6" x14ac:dyDescent="0.2">
      <c r="B2454" s="12"/>
      <c r="C2454" s="12"/>
      <c r="D2454" s="17" t="str">
        <f t="shared" si="117"/>
        <v/>
      </c>
      <c r="E2454" s="18" t="str">
        <f t="shared" si="115"/>
        <v/>
      </c>
      <c r="F2454" s="17" t="str">
        <f t="shared" si="116"/>
        <v/>
      </c>
    </row>
    <row r="2455" spans="2:6" x14ac:dyDescent="0.2">
      <c r="B2455" s="12"/>
      <c r="C2455" s="12"/>
      <c r="D2455" s="17" t="str">
        <f t="shared" si="117"/>
        <v/>
      </c>
      <c r="E2455" s="18" t="str">
        <f t="shared" si="115"/>
        <v/>
      </c>
      <c r="F2455" s="17" t="str">
        <f t="shared" si="116"/>
        <v/>
      </c>
    </row>
    <row r="2456" spans="2:6" x14ac:dyDescent="0.2">
      <c r="B2456" s="12"/>
      <c r="C2456" s="12"/>
      <c r="D2456" s="17" t="str">
        <f t="shared" si="117"/>
        <v/>
      </c>
      <c r="E2456" s="18" t="str">
        <f t="shared" si="115"/>
        <v/>
      </c>
      <c r="F2456" s="17" t="str">
        <f t="shared" si="116"/>
        <v/>
      </c>
    </row>
    <row r="2457" spans="2:6" x14ac:dyDescent="0.2">
      <c r="B2457" s="12"/>
      <c r="C2457" s="12"/>
      <c r="D2457" s="17" t="str">
        <f t="shared" si="117"/>
        <v/>
      </c>
      <c r="E2457" s="18" t="str">
        <f t="shared" si="115"/>
        <v/>
      </c>
      <c r="F2457" s="17" t="str">
        <f t="shared" si="116"/>
        <v/>
      </c>
    </row>
    <row r="2458" spans="2:6" x14ac:dyDescent="0.2">
      <c r="B2458" s="12"/>
      <c r="C2458" s="12"/>
      <c r="D2458" s="17" t="str">
        <f t="shared" si="117"/>
        <v/>
      </c>
      <c r="E2458" s="18" t="str">
        <f t="shared" si="115"/>
        <v/>
      </c>
      <c r="F2458" s="17" t="str">
        <f t="shared" si="116"/>
        <v/>
      </c>
    </row>
    <row r="2459" spans="2:6" x14ac:dyDescent="0.2">
      <c r="B2459" s="12"/>
      <c r="C2459" s="12"/>
      <c r="D2459" s="17" t="str">
        <f t="shared" si="117"/>
        <v/>
      </c>
      <c r="E2459" s="18" t="str">
        <f t="shared" si="115"/>
        <v/>
      </c>
      <c r="F2459" s="17" t="str">
        <f t="shared" si="116"/>
        <v/>
      </c>
    </row>
    <row r="2460" spans="2:6" x14ac:dyDescent="0.2">
      <c r="B2460" s="12"/>
      <c r="C2460" s="12"/>
      <c r="D2460" s="17" t="str">
        <f t="shared" si="117"/>
        <v/>
      </c>
      <c r="E2460" s="18" t="str">
        <f t="shared" si="115"/>
        <v/>
      </c>
      <c r="F2460" s="17" t="str">
        <f t="shared" si="116"/>
        <v/>
      </c>
    </row>
    <row r="2461" spans="2:6" x14ac:dyDescent="0.2">
      <c r="B2461" s="12"/>
      <c r="C2461" s="12"/>
      <c r="D2461" s="17" t="str">
        <f t="shared" si="117"/>
        <v/>
      </c>
      <c r="E2461" s="18" t="str">
        <f t="shared" si="115"/>
        <v/>
      </c>
      <c r="F2461" s="17" t="str">
        <f t="shared" si="116"/>
        <v/>
      </c>
    </row>
    <row r="2462" spans="2:6" x14ac:dyDescent="0.2">
      <c r="B2462" s="12"/>
      <c r="C2462" s="12"/>
      <c r="D2462" s="17" t="str">
        <f t="shared" si="117"/>
        <v/>
      </c>
      <c r="E2462" s="18" t="str">
        <f t="shared" si="115"/>
        <v/>
      </c>
      <c r="F2462" s="17" t="str">
        <f t="shared" si="116"/>
        <v/>
      </c>
    </row>
    <row r="2463" spans="2:6" x14ac:dyDescent="0.2">
      <c r="B2463" s="12"/>
      <c r="C2463" s="12"/>
      <c r="D2463" s="17" t="str">
        <f t="shared" si="117"/>
        <v/>
      </c>
      <c r="E2463" s="18" t="str">
        <f t="shared" si="115"/>
        <v/>
      </c>
      <c r="F2463" s="17" t="str">
        <f t="shared" si="116"/>
        <v/>
      </c>
    </row>
    <row r="2464" spans="2:6" x14ac:dyDescent="0.2">
      <c r="B2464" s="12"/>
      <c r="C2464" s="12"/>
      <c r="D2464" s="17" t="str">
        <f t="shared" si="117"/>
        <v/>
      </c>
      <c r="E2464" s="18" t="str">
        <f t="shared" si="115"/>
        <v/>
      </c>
      <c r="F2464" s="17" t="str">
        <f t="shared" si="116"/>
        <v/>
      </c>
    </row>
    <row r="2465" spans="2:6" x14ac:dyDescent="0.2">
      <c r="B2465" s="12"/>
      <c r="C2465" s="12"/>
      <c r="D2465" s="17" t="str">
        <f t="shared" si="117"/>
        <v/>
      </c>
      <c r="E2465" s="18" t="str">
        <f t="shared" si="115"/>
        <v/>
      </c>
      <c r="F2465" s="17" t="str">
        <f t="shared" si="116"/>
        <v/>
      </c>
    </row>
    <row r="2466" spans="2:6" x14ac:dyDescent="0.2">
      <c r="B2466" s="12"/>
      <c r="C2466" s="12"/>
      <c r="D2466" s="17" t="str">
        <f t="shared" si="117"/>
        <v/>
      </c>
      <c r="E2466" s="18" t="str">
        <f t="shared" si="115"/>
        <v/>
      </c>
      <c r="F2466" s="17" t="str">
        <f t="shared" si="116"/>
        <v/>
      </c>
    </row>
    <row r="2467" spans="2:6" x14ac:dyDescent="0.2">
      <c r="B2467" s="12"/>
      <c r="C2467" s="12"/>
      <c r="D2467" s="17" t="str">
        <f t="shared" si="117"/>
        <v/>
      </c>
      <c r="E2467" s="18" t="str">
        <f t="shared" si="115"/>
        <v/>
      </c>
      <c r="F2467" s="17" t="str">
        <f t="shared" si="116"/>
        <v/>
      </c>
    </row>
    <row r="2468" spans="2:6" x14ac:dyDescent="0.2">
      <c r="B2468" s="12"/>
      <c r="C2468" s="12"/>
      <c r="D2468" s="17" t="str">
        <f t="shared" si="117"/>
        <v/>
      </c>
      <c r="E2468" s="18" t="str">
        <f t="shared" si="115"/>
        <v/>
      </c>
      <c r="F2468" s="17" t="str">
        <f t="shared" si="116"/>
        <v/>
      </c>
    </row>
    <row r="2469" spans="2:6" x14ac:dyDescent="0.2">
      <c r="B2469" s="12"/>
      <c r="C2469" s="12"/>
      <c r="D2469" s="17" t="str">
        <f t="shared" si="117"/>
        <v/>
      </c>
      <c r="E2469" s="18" t="str">
        <f t="shared" si="115"/>
        <v/>
      </c>
      <c r="F2469" s="17" t="str">
        <f t="shared" si="116"/>
        <v/>
      </c>
    </row>
    <row r="2470" spans="2:6" x14ac:dyDescent="0.2">
      <c r="B2470" s="12"/>
      <c r="C2470" s="12"/>
      <c r="D2470" s="17" t="str">
        <f t="shared" si="117"/>
        <v/>
      </c>
      <c r="E2470" s="18" t="str">
        <f t="shared" si="115"/>
        <v/>
      </c>
      <c r="F2470" s="17" t="str">
        <f t="shared" si="116"/>
        <v/>
      </c>
    </row>
    <row r="2471" spans="2:6" x14ac:dyDescent="0.2">
      <c r="B2471" s="12"/>
      <c r="C2471" s="12"/>
      <c r="D2471" s="17" t="str">
        <f t="shared" si="117"/>
        <v/>
      </c>
      <c r="E2471" s="18" t="str">
        <f t="shared" si="115"/>
        <v/>
      </c>
      <c r="F2471" s="17" t="str">
        <f t="shared" si="116"/>
        <v/>
      </c>
    </row>
    <row r="2472" spans="2:6" x14ac:dyDescent="0.2">
      <c r="B2472" s="12"/>
      <c r="C2472" s="12"/>
      <c r="D2472" s="17" t="str">
        <f t="shared" si="117"/>
        <v/>
      </c>
      <c r="E2472" s="18" t="str">
        <f t="shared" si="115"/>
        <v/>
      </c>
      <c r="F2472" s="17" t="str">
        <f t="shared" si="116"/>
        <v/>
      </c>
    </row>
    <row r="2473" spans="2:6" x14ac:dyDescent="0.2">
      <c r="B2473" s="12"/>
      <c r="C2473" s="12"/>
      <c r="D2473" s="17" t="str">
        <f t="shared" si="117"/>
        <v/>
      </c>
      <c r="E2473" s="18" t="str">
        <f t="shared" si="115"/>
        <v/>
      </c>
      <c r="F2473" s="17" t="str">
        <f t="shared" si="116"/>
        <v/>
      </c>
    </row>
    <row r="2474" spans="2:6" x14ac:dyDescent="0.2">
      <c r="B2474" s="12"/>
      <c r="C2474" s="12"/>
      <c r="D2474" s="17" t="str">
        <f t="shared" si="117"/>
        <v/>
      </c>
      <c r="E2474" s="18" t="str">
        <f t="shared" si="115"/>
        <v/>
      </c>
      <c r="F2474" s="17" t="str">
        <f t="shared" si="116"/>
        <v/>
      </c>
    </row>
    <row r="2475" spans="2:6" x14ac:dyDescent="0.2">
      <c r="B2475" s="12"/>
      <c r="C2475" s="12"/>
      <c r="D2475" s="17" t="str">
        <f t="shared" si="117"/>
        <v/>
      </c>
      <c r="E2475" s="18" t="str">
        <f t="shared" si="115"/>
        <v/>
      </c>
      <c r="F2475" s="17" t="str">
        <f t="shared" si="116"/>
        <v/>
      </c>
    </row>
    <row r="2476" spans="2:6" x14ac:dyDescent="0.2">
      <c r="B2476" s="12"/>
      <c r="C2476" s="12"/>
      <c r="D2476" s="17" t="str">
        <f t="shared" si="117"/>
        <v/>
      </c>
      <c r="E2476" s="18" t="str">
        <f t="shared" si="115"/>
        <v/>
      </c>
      <c r="F2476" s="17" t="str">
        <f t="shared" si="116"/>
        <v/>
      </c>
    </row>
    <row r="2477" spans="2:6" x14ac:dyDescent="0.2">
      <c r="B2477" s="12"/>
      <c r="C2477" s="12"/>
      <c r="D2477" s="17" t="str">
        <f t="shared" si="117"/>
        <v/>
      </c>
      <c r="E2477" s="18" t="str">
        <f t="shared" si="115"/>
        <v/>
      </c>
      <c r="F2477" s="17" t="str">
        <f t="shared" si="116"/>
        <v/>
      </c>
    </row>
    <row r="2478" spans="2:6" x14ac:dyDescent="0.2">
      <c r="B2478" s="12"/>
      <c r="C2478" s="12"/>
      <c r="D2478" s="17" t="str">
        <f t="shared" si="117"/>
        <v/>
      </c>
      <c r="E2478" s="18" t="str">
        <f t="shared" si="115"/>
        <v/>
      </c>
      <c r="F2478" s="17" t="str">
        <f t="shared" si="116"/>
        <v/>
      </c>
    </row>
    <row r="2479" spans="2:6" x14ac:dyDescent="0.2">
      <c r="B2479" s="12"/>
      <c r="C2479" s="12"/>
      <c r="D2479" s="17" t="str">
        <f t="shared" si="117"/>
        <v/>
      </c>
      <c r="E2479" s="18" t="str">
        <f t="shared" si="115"/>
        <v/>
      </c>
      <c r="F2479" s="17" t="str">
        <f t="shared" si="116"/>
        <v/>
      </c>
    </row>
    <row r="2480" spans="2:6" x14ac:dyDescent="0.2">
      <c r="B2480" s="12"/>
      <c r="C2480" s="12"/>
      <c r="D2480" s="17" t="str">
        <f t="shared" si="117"/>
        <v/>
      </c>
      <c r="E2480" s="18" t="str">
        <f t="shared" si="115"/>
        <v/>
      </c>
      <c r="F2480" s="17" t="str">
        <f t="shared" si="116"/>
        <v/>
      </c>
    </row>
    <row r="2481" spans="2:6" x14ac:dyDescent="0.2">
      <c r="B2481" s="12"/>
      <c r="C2481" s="12"/>
      <c r="D2481" s="17" t="str">
        <f t="shared" si="117"/>
        <v/>
      </c>
      <c r="E2481" s="18" t="str">
        <f t="shared" si="115"/>
        <v/>
      </c>
      <c r="F2481" s="17" t="str">
        <f t="shared" si="116"/>
        <v/>
      </c>
    </row>
    <row r="2482" spans="2:6" x14ac:dyDescent="0.2">
      <c r="B2482" s="12"/>
      <c r="C2482" s="12"/>
      <c r="D2482" s="17" t="str">
        <f t="shared" si="117"/>
        <v/>
      </c>
      <c r="E2482" s="18" t="str">
        <f t="shared" si="115"/>
        <v/>
      </c>
      <c r="F2482" s="17" t="str">
        <f t="shared" si="116"/>
        <v/>
      </c>
    </row>
    <row r="2483" spans="2:6" x14ac:dyDescent="0.2">
      <c r="B2483" s="12"/>
      <c r="C2483" s="12"/>
      <c r="D2483" s="17" t="str">
        <f t="shared" si="117"/>
        <v/>
      </c>
      <c r="E2483" s="18" t="str">
        <f t="shared" si="115"/>
        <v/>
      </c>
      <c r="F2483" s="17" t="str">
        <f t="shared" si="116"/>
        <v/>
      </c>
    </row>
    <row r="2484" spans="2:6" x14ac:dyDescent="0.2">
      <c r="B2484" s="12"/>
      <c r="C2484" s="12"/>
      <c r="D2484" s="17" t="str">
        <f t="shared" si="117"/>
        <v/>
      </c>
      <c r="E2484" s="18" t="str">
        <f t="shared" si="115"/>
        <v/>
      </c>
      <c r="F2484" s="17" t="str">
        <f t="shared" si="116"/>
        <v/>
      </c>
    </row>
    <row r="2485" spans="2:6" x14ac:dyDescent="0.2">
      <c r="B2485" s="12"/>
      <c r="C2485" s="12"/>
      <c r="D2485" s="17" t="str">
        <f t="shared" si="117"/>
        <v/>
      </c>
      <c r="E2485" s="18" t="str">
        <f t="shared" si="115"/>
        <v/>
      </c>
      <c r="F2485" s="17" t="str">
        <f t="shared" si="116"/>
        <v/>
      </c>
    </row>
    <row r="2486" spans="2:6" x14ac:dyDescent="0.2">
      <c r="B2486" s="12"/>
      <c r="C2486" s="12"/>
      <c r="D2486" s="17" t="str">
        <f t="shared" si="117"/>
        <v/>
      </c>
      <c r="E2486" s="18" t="str">
        <f t="shared" si="115"/>
        <v/>
      </c>
      <c r="F2486" s="17" t="str">
        <f t="shared" si="116"/>
        <v/>
      </c>
    </row>
    <row r="2487" spans="2:6" x14ac:dyDescent="0.2">
      <c r="B2487" s="12"/>
      <c r="C2487" s="12"/>
      <c r="D2487" s="17" t="str">
        <f t="shared" si="117"/>
        <v/>
      </c>
      <c r="E2487" s="18" t="str">
        <f t="shared" si="115"/>
        <v/>
      </c>
      <c r="F2487" s="17" t="str">
        <f t="shared" si="116"/>
        <v/>
      </c>
    </row>
    <row r="2488" spans="2:6" x14ac:dyDescent="0.2">
      <c r="B2488" s="12"/>
      <c r="C2488" s="12"/>
      <c r="D2488" s="17" t="str">
        <f t="shared" si="117"/>
        <v/>
      </c>
      <c r="E2488" s="18" t="str">
        <f t="shared" si="115"/>
        <v/>
      </c>
      <c r="F2488" s="17" t="str">
        <f t="shared" si="116"/>
        <v/>
      </c>
    </row>
    <row r="2489" spans="2:6" x14ac:dyDescent="0.2">
      <c r="B2489" s="12"/>
      <c r="C2489" s="12"/>
      <c r="D2489" s="17" t="str">
        <f t="shared" si="117"/>
        <v/>
      </c>
      <c r="E2489" s="18" t="str">
        <f t="shared" si="115"/>
        <v/>
      </c>
      <c r="F2489" s="17" t="str">
        <f t="shared" si="116"/>
        <v/>
      </c>
    </row>
    <row r="2490" spans="2:6" x14ac:dyDescent="0.2">
      <c r="B2490" s="12"/>
      <c r="C2490" s="12"/>
      <c r="D2490" s="17" t="str">
        <f t="shared" si="117"/>
        <v/>
      </c>
      <c r="E2490" s="18" t="str">
        <f t="shared" si="115"/>
        <v/>
      </c>
      <c r="F2490" s="17" t="str">
        <f t="shared" si="116"/>
        <v/>
      </c>
    </row>
    <row r="2491" spans="2:6" x14ac:dyDescent="0.2">
      <c r="B2491" s="12"/>
      <c r="C2491" s="12"/>
      <c r="D2491" s="17" t="str">
        <f t="shared" si="117"/>
        <v/>
      </c>
      <c r="E2491" s="18" t="str">
        <f t="shared" si="115"/>
        <v/>
      </c>
      <c r="F2491" s="17" t="str">
        <f t="shared" si="116"/>
        <v/>
      </c>
    </row>
    <row r="2492" spans="2:6" x14ac:dyDescent="0.2">
      <c r="B2492" s="12"/>
      <c r="C2492" s="12"/>
      <c r="D2492" s="17" t="str">
        <f t="shared" si="117"/>
        <v/>
      </c>
      <c r="E2492" s="18" t="str">
        <f t="shared" si="115"/>
        <v/>
      </c>
      <c r="F2492" s="17" t="str">
        <f t="shared" si="116"/>
        <v/>
      </c>
    </row>
    <row r="2493" spans="2:6" x14ac:dyDescent="0.2">
      <c r="B2493" s="12"/>
      <c r="C2493" s="12"/>
      <c r="D2493" s="17" t="str">
        <f t="shared" si="117"/>
        <v/>
      </c>
      <c r="E2493" s="18" t="str">
        <f t="shared" si="115"/>
        <v/>
      </c>
      <c r="F2493" s="17" t="str">
        <f t="shared" si="116"/>
        <v/>
      </c>
    </row>
    <row r="2494" spans="2:6" x14ac:dyDescent="0.2">
      <c r="B2494" s="12"/>
      <c r="C2494" s="12"/>
      <c r="D2494" s="17" t="str">
        <f t="shared" si="117"/>
        <v/>
      </c>
      <c r="E2494" s="18" t="str">
        <f t="shared" si="115"/>
        <v/>
      </c>
      <c r="F2494" s="17" t="str">
        <f t="shared" si="116"/>
        <v/>
      </c>
    </row>
    <row r="2495" spans="2:6" x14ac:dyDescent="0.2">
      <c r="B2495" s="12"/>
      <c r="C2495" s="12"/>
      <c r="D2495" s="17" t="str">
        <f t="shared" si="117"/>
        <v/>
      </c>
      <c r="E2495" s="18" t="str">
        <f t="shared" si="115"/>
        <v/>
      </c>
      <c r="F2495" s="17" t="str">
        <f t="shared" si="116"/>
        <v/>
      </c>
    </row>
    <row r="2496" spans="2:6" x14ac:dyDescent="0.2">
      <c r="B2496" s="12"/>
      <c r="C2496" s="12"/>
      <c r="D2496" s="17" t="str">
        <f t="shared" si="117"/>
        <v/>
      </c>
      <c r="E2496" s="18" t="str">
        <f t="shared" si="115"/>
        <v/>
      </c>
      <c r="F2496" s="17" t="str">
        <f t="shared" si="116"/>
        <v/>
      </c>
    </row>
    <row r="2497" spans="2:6" x14ac:dyDescent="0.2">
      <c r="B2497" s="12"/>
      <c r="C2497" s="12"/>
      <c r="D2497" s="17" t="str">
        <f t="shared" si="117"/>
        <v/>
      </c>
      <c r="E2497" s="18" t="str">
        <f t="shared" si="115"/>
        <v/>
      </c>
      <c r="F2497" s="17" t="str">
        <f t="shared" si="116"/>
        <v/>
      </c>
    </row>
    <row r="2498" spans="2:6" x14ac:dyDescent="0.2">
      <c r="B2498" s="12"/>
      <c r="C2498" s="12"/>
      <c r="D2498" s="17" t="str">
        <f t="shared" si="117"/>
        <v/>
      </c>
      <c r="E2498" s="18" t="str">
        <f t="shared" si="115"/>
        <v/>
      </c>
      <c r="F2498" s="17" t="str">
        <f t="shared" si="116"/>
        <v/>
      </c>
    </row>
    <row r="2499" spans="2:6" x14ac:dyDescent="0.2">
      <c r="B2499" s="12"/>
      <c r="C2499" s="12"/>
      <c r="D2499" s="17" t="str">
        <f t="shared" si="117"/>
        <v/>
      </c>
      <c r="E2499" s="18" t="str">
        <f t="shared" si="115"/>
        <v/>
      </c>
      <c r="F2499" s="17" t="str">
        <f t="shared" si="116"/>
        <v/>
      </c>
    </row>
    <row r="2500" spans="2:6" x14ac:dyDescent="0.2">
      <c r="B2500" s="12"/>
      <c r="C2500" s="12"/>
      <c r="D2500" s="17" t="str">
        <f t="shared" si="117"/>
        <v/>
      </c>
      <c r="E2500" s="18" t="str">
        <f t="shared" si="115"/>
        <v/>
      </c>
      <c r="F2500" s="17" t="str">
        <f t="shared" si="116"/>
        <v/>
      </c>
    </row>
    <row r="2501" spans="2:6" x14ac:dyDescent="0.2">
      <c r="B2501" s="12"/>
      <c r="C2501" s="12"/>
      <c r="D2501" s="17" t="str">
        <f t="shared" si="117"/>
        <v/>
      </c>
      <c r="E2501" s="18" t="str">
        <f t="shared" ref="E2501:E2564" si="118">IF(B2501="","",ABS(C2501-D2501))</f>
        <v/>
      </c>
      <c r="F2501" s="17" t="str">
        <f t="shared" ref="F2501:F2564" si="119">IF(B2501="","",E2501^2)</f>
        <v/>
      </c>
    </row>
    <row r="2502" spans="2:6" x14ac:dyDescent="0.2">
      <c r="B2502" s="12"/>
      <c r="C2502" s="12"/>
      <c r="D2502" s="17" t="str">
        <f t="shared" si="117"/>
        <v/>
      </c>
      <c r="E2502" s="18" t="str">
        <f t="shared" si="118"/>
        <v/>
      </c>
      <c r="F2502" s="17" t="str">
        <f t="shared" si="119"/>
        <v/>
      </c>
    </row>
    <row r="2503" spans="2:6" x14ac:dyDescent="0.2">
      <c r="B2503" s="12"/>
      <c r="C2503" s="12"/>
      <c r="D2503" s="17" t="str">
        <f t="shared" si="117"/>
        <v/>
      </c>
      <c r="E2503" s="18" t="str">
        <f t="shared" si="118"/>
        <v/>
      </c>
      <c r="F2503" s="17" t="str">
        <f t="shared" si="119"/>
        <v/>
      </c>
    </row>
    <row r="2504" spans="2:6" x14ac:dyDescent="0.2">
      <c r="B2504" s="12"/>
      <c r="C2504" s="12"/>
      <c r="D2504" s="17" t="str">
        <f t="shared" si="117"/>
        <v/>
      </c>
      <c r="E2504" s="18" t="str">
        <f t="shared" si="118"/>
        <v/>
      </c>
      <c r="F2504" s="17" t="str">
        <f t="shared" si="119"/>
        <v/>
      </c>
    </row>
    <row r="2505" spans="2:6" x14ac:dyDescent="0.2">
      <c r="B2505" s="12"/>
      <c r="C2505" s="12"/>
      <c r="D2505" s="17" t="str">
        <f t="shared" si="117"/>
        <v/>
      </c>
      <c r="E2505" s="18" t="str">
        <f t="shared" si="118"/>
        <v/>
      </c>
      <c r="F2505" s="17" t="str">
        <f t="shared" si="119"/>
        <v/>
      </c>
    </row>
    <row r="2506" spans="2:6" x14ac:dyDescent="0.2">
      <c r="B2506" s="12"/>
      <c r="C2506" s="12"/>
      <c r="D2506" s="17" t="str">
        <f t="shared" si="117"/>
        <v/>
      </c>
      <c r="E2506" s="18" t="str">
        <f t="shared" si="118"/>
        <v/>
      </c>
      <c r="F2506" s="17" t="str">
        <f t="shared" si="119"/>
        <v/>
      </c>
    </row>
    <row r="2507" spans="2:6" x14ac:dyDescent="0.2">
      <c r="B2507" s="12"/>
      <c r="C2507" s="12"/>
      <c r="D2507" s="17" t="str">
        <f t="shared" si="117"/>
        <v/>
      </c>
      <c r="E2507" s="18" t="str">
        <f t="shared" si="118"/>
        <v/>
      </c>
      <c r="F2507" s="17" t="str">
        <f t="shared" si="119"/>
        <v/>
      </c>
    </row>
    <row r="2508" spans="2:6" x14ac:dyDescent="0.2">
      <c r="B2508" s="12"/>
      <c r="C2508" s="12"/>
      <c r="D2508" s="17" t="str">
        <f t="shared" si="117"/>
        <v/>
      </c>
      <c r="E2508" s="18" t="str">
        <f t="shared" si="118"/>
        <v/>
      </c>
      <c r="F2508" s="17" t="str">
        <f t="shared" si="119"/>
        <v/>
      </c>
    </row>
    <row r="2509" spans="2:6" x14ac:dyDescent="0.2">
      <c r="B2509" s="12"/>
      <c r="C2509" s="12"/>
      <c r="D2509" s="17" t="str">
        <f t="shared" si="117"/>
        <v/>
      </c>
      <c r="E2509" s="18" t="str">
        <f t="shared" si="118"/>
        <v/>
      </c>
      <c r="F2509" s="17" t="str">
        <f t="shared" si="119"/>
        <v/>
      </c>
    </row>
    <row r="2510" spans="2:6" x14ac:dyDescent="0.2">
      <c r="B2510" s="12"/>
      <c r="C2510" s="12"/>
      <c r="D2510" s="17" t="str">
        <f t="shared" si="117"/>
        <v/>
      </c>
      <c r="E2510" s="18" t="str">
        <f t="shared" si="118"/>
        <v/>
      </c>
      <c r="F2510" s="17" t="str">
        <f t="shared" si="119"/>
        <v/>
      </c>
    </row>
    <row r="2511" spans="2:6" x14ac:dyDescent="0.2">
      <c r="B2511" s="12"/>
      <c r="C2511" s="12"/>
      <c r="D2511" s="17" t="str">
        <f t="shared" si="117"/>
        <v/>
      </c>
      <c r="E2511" s="18" t="str">
        <f t="shared" si="118"/>
        <v/>
      </c>
      <c r="F2511" s="17" t="str">
        <f t="shared" si="119"/>
        <v/>
      </c>
    </row>
    <row r="2512" spans="2:6" x14ac:dyDescent="0.2">
      <c r="B2512" s="12"/>
      <c r="C2512" s="12"/>
      <c r="D2512" s="17" t="str">
        <f t="shared" si="117"/>
        <v/>
      </c>
      <c r="E2512" s="18" t="str">
        <f t="shared" si="118"/>
        <v/>
      </c>
      <c r="F2512" s="17" t="str">
        <f t="shared" si="119"/>
        <v/>
      </c>
    </row>
    <row r="2513" spans="2:6" x14ac:dyDescent="0.2">
      <c r="B2513" s="12"/>
      <c r="C2513" s="12"/>
      <c r="D2513" s="17" t="str">
        <f t="shared" si="117"/>
        <v/>
      </c>
      <c r="E2513" s="18" t="str">
        <f t="shared" si="118"/>
        <v/>
      </c>
      <c r="F2513" s="17" t="str">
        <f t="shared" si="119"/>
        <v/>
      </c>
    </row>
    <row r="2514" spans="2:6" x14ac:dyDescent="0.2">
      <c r="B2514" s="12"/>
      <c r="C2514" s="12"/>
      <c r="D2514" s="17" t="str">
        <f t="shared" ref="D2514:D2577" si="120">IF(B2514="","",a+b*B2514)</f>
        <v/>
      </c>
      <c r="E2514" s="18" t="str">
        <f t="shared" si="118"/>
        <v/>
      </c>
      <c r="F2514" s="17" t="str">
        <f t="shared" si="119"/>
        <v/>
      </c>
    </row>
    <row r="2515" spans="2:6" x14ac:dyDescent="0.2">
      <c r="B2515" s="12"/>
      <c r="C2515" s="12"/>
      <c r="D2515" s="17" t="str">
        <f t="shared" si="120"/>
        <v/>
      </c>
      <c r="E2515" s="18" t="str">
        <f t="shared" si="118"/>
        <v/>
      </c>
      <c r="F2515" s="17" t="str">
        <f t="shared" si="119"/>
        <v/>
      </c>
    </row>
    <row r="2516" spans="2:6" x14ac:dyDescent="0.2">
      <c r="B2516" s="12"/>
      <c r="C2516" s="12"/>
      <c r="D2516" s="17" t="str">
        <f t="shared" si="120"/>
        <v/>
      </c>
      <c r="E2516" s="18" t="str">
        <f t="shared" si="118"/>
        <v/>
      </c>
      <c r="F2516" s="17" t="str">
        <f t="shared" si="119"/>
        <v/>
      </c>
    </row>
    <row r="2517" spans="2:6" x14ac:dyDescent="0.2">
      <c r="B2517" s="12"/>
      <c r="C2517" s="12"/>
      <c r="D2517" s="17" t="str">
        <f t="shared" si="120"/>
        <v/>
      </c>
      <c r="E2517" s="18" t="str">
        <f t="shared" si="118"/>
        <v/>
      </c>
      <c r="F2517" s="17" t="str">
        <f t="shared" si="119"/>
        <v/>
      </c>
    </row>
    <row r="2518" spans="2:6" x14ac:dyDescent="0.2">
      <c r="B2518" s="12"/>
      <c r="C2518" s="12"/>
      <c r="D2518" s="17" t="str">
        <f t="shared" si="120"/>
        <v/>
      </c>
      <c r="E2518" s="18" t="str">
        <f t="shared" si="118"/>
        <v/>
      </c>
      <c r="F2518" s="17" t="str">
        <f t="shared" si="119"/>
        <v/>
      </c>
    </row>
    <row r="2519" spans="2:6" x14ac:dyDescent="0.2">
      <c r="B2519" s="12"/>
      <c r="C2519" s="12"/>
      <c r="D2519" s="17" t="str">
        <f t="shared" si="120"/>
        <v/>
      </c>
      <c r="E2519" s="18" t="str">
        <f t="shared" si="118"/>
        <v/>
      </c>
      <c r="F2519" s="17" t="str">
        <f t="shared" si="119"/>
        <v/>
      </c>
    </row>
    <row r="2520" spans="2:6" x14ac:dyDescent="0.2">
      <c r="B2520" s="12"/>
      <c r="C2520" s="12"/>
      <c r="D2520" s="17" t="str">
        <f t="shared" si="120"/>
        <v/>
      </c>
      <c r="E2520" s="18" t="str">
        <f t="shared" si="118"/>
        <v/>
      </c>
      <c r="F2520" s="17" t="str">
        <f t="shared" si="119"/>
        <v/>
      </c>
    </row>
    <row r="2521" spans="2:6" x14ac:dyDescent="0.2">
      <c r="B2521" s="12"/>
      <c r="C2521" s="12"/>
      <c r="D2521" s="17" t="str">
        <f t="shared" si="120"/>
        <v/>
      </c>
      <c r="E2521" s="18" t="str">
        <f t="shared" si="118"/>
        <v/>
      </c>
      <c r="F2521" s="17" t="str">
        <f t="shared" si="119"/>
        <v/>
      </c>
    </row>
    <row r="2522" spans="2:6" x14ac:dyDescent="0.2">
      <c r="B2522" s="12"/>
      <c r="C2522" s="12"/>
      <c r="D2522" s="17" t="str">
        <f t="shared" si="120"/>
        <v/>
      </c>
      <c r="E2522" s="18" t="str">
        <f t="shared" si="118"/>
        <v/>
      </c>
      <c r="F2522" s="17" t="str">
        <f t="shared" si="119"/>
        <v/>
      </c>
    </row>
    <row r="2523" spans="2:6" x14ac:dyDescent="0.2">
      <c r="B2523" s="12"/>
      <c r="C2523" s="12"/>
      <c r="D2523" s="17" t="str">
        <f t="shared" si="120"/>
        <v/>
      </c>
      <c r="E2523" s="18" t="str">
        <f t="shared" si="118"/>
        <v/>
      </c>
      <c r="F2523" s="17" t="str">
        <f t="shared" si="119"/>
        <v/>
      </c>
    </row>
    <row r="2524" spans="2:6" x14ac:dyDescent="0.2">
      <c r="B2524" s="12"/>
      <c r="C2524" s="12"/>
      <c r="D2524" s="17" t="str">
        <f t="shared" si="120"/>
        <v/>
      </c>
      <c r="E2524" s="18" t="str">
        <f t="shared" si="118"/>
        <v/>
      </c>
      <c r="F2524" s="17" t="str">
        <f t="shared" si="119"/>
        <v/>
      </c>
    </row>
    <row r="2525" spans="2:6" x14ac:dyDescent="0.2">
      <c r="B2525" s="12"/>
      <c r="C2525" s="12"/>
      <c r="D2525" s="17" t="str">
        <f t="shared" si="120"/>
        <v/>
      </c>
      <c r="E2525" s="18" t="str">
        <f t="shared" si="118"/>
        <v/>
      </c>
      <c r="F2525" s="17" t="str">
        <f t="shared" si="119"/>
        <v/>
      </c>
    </row>
    <row r="2526" spans="2:6" x14ac:dyDescent="0.2">
      <c r="B2526" s="12"/>
      <c r="C2526" s="12"/>
      <c r="D2526" s="17" t="str">
        <f t="shared" si="120"/>
        <v/>
      </c>
      <c r="E2526" s="18" t="str">
        <f t="shared" si="118"/>
        <v/>
      </c>
      <c r="F2526" s="17" t="str">
        <f t="shared" si="119"/>
        <v/>
      </c>
    </row>
    <row r="2527" spans="2:6" x14ac:dyDescent="0.2">
      <c r="B2527" s="12"/>
      <c r="C2527" s="12"/>
      <c r="D2527" s="17" t="str">
        <f t="shared" si="120"/>
        <v/>
      </c>
      <c r="E2527" s="18" t="str">
        <f t="shared" si="118"/>
        <v/>
      </c>
      <c r="F2527" s="17" t="str">
        <f t="shared" si="119"/>
        <v/>
      </c>
    </row>
    <row r="2528" spans="2:6" x14ac:dyDescent="0.2">
      <c r="B2528" s="12"/>
      <c r="C2528" s="12"/>
      <c r="D2528" s="17" t="str">
        <f t="shared" si="120"/>
        <v/>
      </c>
      <c r="E2528" s="18" t="str">
        <f t="shared" si="118"/>
        <v/>
      </c>
      <c r="F2528" s="17" t="str">
        <f t="shared" si="119"/>
        <v/>
      </c>
    </row>
    <row r="2529" spans="2:6" x14ac:dyDescent="0.2">
      <c r="B2529" s="12"/>
      <c r="C2529" s="12"/>
      <c r="D2529" s="17" t="str">
        <f t="shared" si="120"/>
        <v/>
      </c>
      <c r="E2529" s="18" t="str">
        <f t="shared" si="118"/>
        <v/>
      </c>
      <c r="F2529" s="17" t="str">
        <f t="shared" si="119"/>
        <v/>
      </c>
    </row>
    <row r="2530" spans="2:6" x14ac:dyDescent="0.2">
      <c r="B2530" s="12"/>
      <c r="C2530" s="12"/>
      <c r="D2530" s="17" t="str">
        <f t="shared" si="120"/>
        <v/>
      </c>
      <c r="E2530" s="18" t="str">
        <f t="shared" si="118"/>
        <v/>
      </c>
      <c r="F2530" s="17" t="str">
        <f t="shared" si="119"/>
        <v/>
      </c>
    </row>
    <row r="2531" spans="2:6" x14ac:dyDescent="0.2">
      <c r="B2531" s="12"/>
      <c r="C2531" s="12"/>
      <c r="D2531" s="17" t="str">
        <f t="shared" si="120"/>
        <v/>
      </c>
      <c r="E2531" s="18" t="str">
        <f t="shared" si="118"/>
        <v/>
      </c>
      <c r="F2531" s="17" t="str">
        <f t="shared" si="119"/>
        <v/>
      </c>
    </row>
    <row r="2532" spans="2:6" x14ac:dyDescent="0.2">
      <c r="B2532" s="12"/>
      <c r="C2532" s="12"/>
      <c r="D2532" s="17" t="str">
        <f t="shared" si="120"/>
        <v/>
      </c>
      <c r="E2532" s="18" t="str">
        <f t="shared" si="118"/>
        <v/>
      </c>
      <c r="F2532" s="17" t="str">
        <f t="shared" si="119"/>
        <v/>
      </c>
    </row>
    <row r="2533" spans="2:6" x14ac:dyDescent="0.2">
      <c r="B2533" s="12"/>
      <c r="C2533" s="12"/>
      <c r="D2533" s="17" t="str">
        <f t="shared" si="120"/>
        <v/>
      </c>
      <c r="E2533" s="18" t="str">
        <f t="shared" si="118"/>
        <v/>
      </c>
      <c r="F2533" s="17" t="str">
        <f t="shared" si="119"/>
        <v/>
      </c>
    </row>
    <row r="2534" spans="2:6" x14ac:dyDescent="0.2">
      <c r="B2534" s="12"/>
      <c r="C2534" s="12"/>
      <c r="D2534" s="17" t="str">
        <f t="shared" si="120"/>
        <v/>
      </c>
      <c r="E2534" s="18" t="str">
        <f t="shared" si="118"/>
        <v/>
      </c>
      <c r="F2534" s="17" t="str">
        <f t="shared" si="119"/>
        <v/>
      </c>
    </row>
    <row r="2535" spans="2:6" x14ac:dyDescent="0.2">
      <c r="B2535" s="12"/>
      <c r="C2535" s="12"/>
      <c r="D2535" s="17" t="str">
        <f t="shared" si="120"/>
        <v/>
      </c>
      <c r="E2535" s="18" t="str">
        <f t="shared" si="118"/>
        <v/>
      </c>
      <c r="F2535" s="17" t="str">
        <f t="shared" si="119"/>
        <v/>
      </c>
    </row>
    <row r="2536" spans="2:6" x14ac:dyDescent="0.2">
      <c r="B2536" s="12"/>
      <c r="C2536" s="12"/>
      <c r="D2536" s="17" t="str">
        <f t="shared" si="120"/>
        <v/>
      </c>
      <c r="E2536" s="18" t="str">
        <f t="shared" si="118"/>
        <v/>
      </c>
      <c r="F2536" s="17" t="str">
        <f t="shared" si="119"/>
        <v/>
      </c>
    </row>
    <row r="2537" spans="2:6" x14ac:dyDescent="0.2">
      <c r="B2537" s="12"/>
      <c r="C2537" s="12"/>
      <c r="D2537" s="17" t="str">
        <f t="shared" si="120"/>
        <v/>
      </c>
      <c r="E2537" s="18" t="str">
        <f t="shared" si="118"/>
        <v/>
      </c>
      <c r="F2537" s="17" t="str">
        <f t="shared" si="119"/>
        <v/>
      </c>
    </row>
    <row r="2538" spans="2:6" x14ac:dyDescent="0.2">
      <c r="B2538" s="12"/>
      <c r="C2538" s="12"/>
      <c r="D2538" s="17" t="str">
        <f t="shared" si="120"/>
        <v/>
      </c>
      <c r="E2538" s="18" t="str">
        <f t="shared" si="118"/>
        <v/>
      </c>
      <c r="F2538" s="17" t="str">
        <f t="shared" si="119"/>
        <v/>
      </c>
    </row>
    <row r="2539" spans="2:6" x14ac:dyDescent="0.2">
      <c r="B2539" s="12"/>
      <c r="C2539" s="12"/>
      <c r="D2539" s="17" t="str">
        <f t="shared" si="120"/>
        <v/>
      </c>
      <c r="E2539" s="18" t="str">
        <f t="shared" si="118"/>
        <v/>
      </c>
      <c r="F2539" s="17" t="str">
        <f t="shared" si="119"/>
        <v/>
      </c>
    </row>
    <row r="2540" spans="2:6" x14ac:dyDescent="0.2">
      <c r="B2540" s="12"/>
      <c r="C2540" s="12"/>
      <c r="D2540" s="17" t="str">
        <f t="shared" si="120"/>
        <v/>
      </c>
      <c r="E2540" s="18" t="str">
        <f t="shared" si="118"/>
        <v/>
      </c>
      <c r="F2540" s="17" t="str">
        <f t="shared" si="119"/>
        <v/>
      </c>
    </row>
    <row r="2541" spans="2:6" x14ac:dyDescent="0.2">
      <c r="B2541" s="12"/>
      <c r="C2541" s="12"/>
      <c r="D2541" s="17" t="str">
        <f t="shared" si="120"/>
        <v/>
      </c>
      <c r="E2541" s="18" t="str">
        <f t="shared" si="118"/>
        <v/>
      </c>
      <c r="F2541" s="17" t="str">
        <f t="shared" si="119"/>
        <v/>
      </c>
    </row>
    <row r="2542" spans="2:6" x14ac:dyDescent="0.2">
      <c r="B2542" s="12"/>
      <c r="C2542" s="12"/>
      <c r="D2542" s="17" t="str">
        <f t="shared" si="120"/>
        <v/>
      </c>
      <c r="E2542" s="18" t="str">
        <f t="shared" si="118"/>
        <v/>
      </c>
      <c r="F2542" s="17" t="str">
        <f t="shared" si="119"/>
        <v/>
      </c>
    </row>
    <row r="2543" spans="2:6" x14ac:dyDescent="0.2">
      <c r="B2543" s="12"/>
      <c r="C2543" s="12"/>
      <c r="D2543" s="17" t="str">
        <f t="shared" si="120"/>
        <v/>
      </c>
      <c r="E2543" s="18" t="str">
        <f t="shared" si="118"/>
        <v/>
      </c>
      <c r="F2543" s="17" t="str">
        <f t="shared" si="119"/>
        <v/>
      </c>
    </row>
    <row r="2544" spans="2:6" x14ac:dyDescent="0.2">
      <c r="B2544" s="12"/>
      <c r="C2544" s="12"/>
      <c r="D2544" s="17" t="str">
        <f t="shared" si="120"/>
        <v/>
      </c>
      <c r="E2544" s="18" t="str">
        <f t="shared" si="118"/>
        <v/>
      </c>
      <c r="F2544" s="17" t="str">
        <f t="shared" si="119"/>
        <v/>
      </c>
    </row>
    <row r="2545" spans="2:6" x14ac:dyDescent="0.2">
      <c r="B2545" s="12"/>
      <c r="C2545" s="12"/>
      <c r="D2545" s="17" t="str">
        <f t="shared" si="120"/>
        <v/>
      </c>
      <c r="E2545" s="18" t="str">
        <f t="shared" si="118"/>
        <v/>
      </c>
      <c r="F2545" s="17" t="str">
        <f t="shared" si="119"/>
        <v/>
      </c>
    </row>
    <row r="2546" spans="2:6" x14ac:dyDescent="0.2">
      <c r="B2546" s="12"/>
      <c r="C2546" s="12"/>
      <c r="D2546" s="17" t="str">
        <f t="shared" si="120"/>
        <v/>
      </c>
      <c r="E2546" s="18" t="str">
        <f t="shared" si="118"/>
        <v/>
      </c>
      <c r="F2546" s="17" t="str">
        <f t="shared" si="119"/>
        <v/>
      </c>
    </row>
    <row r="2547" spans="2:6" x14ac:dyDescent="0.2">
      <c r="B2547" s="12"/>
      <c r="C2547" s="12"/>
      <c r="D2547" s="17" t="str">
        <f t="shared" si="120"/>
        <v/>
      </c>
      <c r="E2547" s="18" t="str">
        <f t="shared" si="118"/>
        <v/>
      </c>
      <c r="F2547" s="17" t="str">
        <f t="shared" si="119"/>
        <v/>
      </c>
    </row>
    <row r="2548" spans="2:6" x14ac:dyDescent="0.2">
      <c r="B2548" s="12"/>
      <c r="C2548" s="12"/>
      <c r="D2548" s="17" t="str">
        <f t="shared" si="120"/>
        <v/>
      </c>
      <c r="E2548" s="18" t="str">
        <f t="shared" si="118"/>
        <v/>
      </c>
      <c r="F2548" s="17" t="str">
        <f t="shared" si="119"/>
        <v/>
      </c>
    </row>
    <row r="2549" spans="2:6" x14ac:dyDescent="0.2">
      <c r="B2549" s="12"/>
      <c r="C2549" s="12"/>
      <c r="D2549" s="17" t="str">
        <f t="shared" si="120"/>
        <v/>
      </c>
      <c r="E2549" s="18" t="str">
        <f t="shared" si="118"/>
        <v/>
      </c>
      <c r="F2549" s="17" t="str">
        <f t="shared" si="119"/>
        <v/>
      </c>
    </row>
    <row r="2550" spans="2:6" x14ac:dyDescent="0.2">
      <c r="B2550" s="12"/>
      <c r="C2550" s="12"/>
      <c r="D2550" s="17" t="str">
        <f t="shared" si="120"/>
        <v/>
      </c>
      <c r="E2550" s="18" t="str">
        <f t="shared" si="118"/>
        <v/>
      </c>
      <c r="F2550" s="17" t="str">
        <f t="shared" si="119"/>
        <v/>
      </c>
    </row>
    <row r="2551" spans="2:6" x14ac:dyDescent="0.2">
      <c r="B2551" s="12"/>
      <c r="C2551" s="12"/>
      <c r="D2551" s="17" t="str">
        <f t="shared" si="120"/>
        <v/>
      </c>
      <c r="E2551" s="18" t="str">
        <f t="shared" si="118"/>
        <v/>
      </c>
      <c r="F2551" s="17" t="str">
        <f t="shared" si="119"/>
        <v/>
      </c>
    </row>
    <row r="2552" spans="2:6" x14ac:dyDescent="0.2">
      <c r="B2552" s="12"/>
      <c r="C2552" s="12"/>
      <c r="D2552" s="17" t="str">
        <f t="shared" si="120"/>
        <v/>
      </c>
      <c r="E2552" s="18" t="str">
        <f t="shared" si="118"/>
        <v/>
      </c>
      <c r="F2552" s="17" t="str">
        <f t="shared" si="119"/>
        <v/>
      </c>
    </row>
    <row r="2553" spans="2:6" x14ac:dyDescent="0.2">
      <c r="B2553" s="12"/>
      <c r="C2553" s="12"/>
      <c r="D2553" s="17" t="str">
        <f t="shared" si="120"/>
        <v/>
      </c>
      <c r="E2553" s="18" t="str">
        <f t="shared" si="118"/>
        <v/>
      </c>
      <c r="F2553" s="17" t="str">
        <f t="shared" si="119"/>
        <v/>
      </c>
    </row>
    <row r="2554" spans="2:6" x14ac:dyDescent="0.2">
      <c r="B2554" s="12"/>
      <c r="C2554" s="12"/>
      <c r="D2554" s="17" t="str">
        <f t="shared" si="120"/>
        <v/>
      </c>
      <c r="E2554" s="18" t="str">
        <f t="shared" si="118"/>
        <v/>
      </c>
      <c r="F2554" s="17" t="str">
        <f t="shared" si="119"/>
        <v/>
      </c>
    </row>
    <row r="2555" spans="2:6" x14ac:dyDescent="0.2">
      <c r="B2555" s="12"/>
      <c r="C2555" s="12"/>
      <c r="D2555" s="17" t="str">
        <f t="shared" si="120"/>
        <v/>
      </c>
      <c r="E2555" s="18" t="str">
        <f t="shared" si="118"/>
        <v/>
      </c>
      <c r="F2555" s="17" t="str">
        <f t="shared" si="119"/>
        <v/>
      </c>
    </row>
    <row r="2556" spans="2:6" x14ac:dyDescent="0.2">
      <c r="B2556" s="12"/>
      <c r="C2556" s="12"/>
      <c r="D2556" s="17" t="str">
        <f t="shared" si="120"/>
        <v/>
      </c>
      <c r="E2556" s="18" t="str">
        <f t="shared" si="118"/>
        <v/>
      </c>
      <c r="F2556" s="17" t="str">
        <f t="shared" si="119"/>
        <v/>
      </c>
    </row>
    <row r="2557" spans="2:6" x14ac:dyDescent="0.2">
      <c r="B2557" s="12"/>
      <c r="C2557" s="12"/>
      <c r="D2557" s="17" t="str">
        <f t="shared" si="120"/>
        <v/>
      </c>
      <c r="E2557" s="18" t="str">
        <f t="shared" si="118"/>
        <v/>
      </c>
      <c r="F2557" s="17" t="str">
        <f t="shared" si="119"/>
        <v/>
      </c>
    </row>
    <row r="2558" spans="2:6" x14ac:dyDescent="0.2">
      <c r="B2558" s="12"/>
      <c r="C2558" s="12"/>
      <c r="D2558" s="17" t="str">
        <f t="shared" si="120"/>
        <v/>
      </c>
      <c r="E2558" s="18" t="str">
        <f t="shared" si="118"/>
        <v/>
      </c>
      <c r="F2558" s="17" t="str">
        <f t="shared" si="119"/>
        <v/>
      </c>
    </row>
    <row r="2559" spans="2:6" x14ac:dyDescent="0.2">
      <c r="B2559" s="12"/>
      <c r="C2559" s="12"/>
      <c r="D2559" s="17" t="str">
        <f t="shared" si="120"/>
        <v/>
      </c>
      <c r="E2559" s="18" t="str">
        <f t="shared" si="118"/>
        <v/>
      </c>
      <c r="F2559" s="17" t="str">
        <f t="shared" si="119"/>
        <v/>
      </c>
    </row>
    <row r="2560" spans="2:6" x14ac:dyDescent="0.2">
      <c r="B2560" s="12"/>
      <c r="C2560" s="12"/>
      <c r="D2560" s="17" t="str">
        <f t="shared" si="120"/>
        <v/>
      </c>
      <c r="E2560" s="18" t="str">
        <f t="shared" si="118"/>
        <v/>
      </c>
      <c r="F2560" s="17" t="str">
        <f t="shared" si="119"/>
        <v/>
      </c>
    </row>
    <row r="2561" spans="2:6" x14ac:dyDescent="0.2">
      <c r="B2561" s="12"/>
      <c r="C2561" s="12"/>
      <c r="D2561" s="17" t="str">
        <f t="shared" si="120"/>
        <v/>
      </c>
      <c r="E2561" s="18" t="str">
        <f t="shared" si="118"/>
        <v/>
      </c>
      <c r="F2561" s="17" t="str">
        <f t="shared" si="119"/>
        <v/>
      </c>
    </row>
    <row r="2562" spans="2:6" x14ac:dyDescent="0.2">
      <c r="B2562" s="12"/>
      <c r="C2562" s="12"/>
      <c r="D2562" s="17" t="str">
        <f t="shared" si="120"/>
        <v/>
      </c>
      <c r="E2562" s="18" t="str">
        <f t="shared" si="118"/>
        <v/>
      </c>
      <c r="F2562" s="17" t="str">
        <f t="shared" si="119"/>
        <v/>
      </c>
    </row>
    <row r="2563" spans="2:6" x14ac:dyDescent="0.2">
      <c r="B2563" s="12"/>
      <c r="C2563" s="12"/>
      <c r="D2563" s="17" t="str">
        <f t="shared" si="120"/>
        <v/>
      </c>
      <c r="E2563" s="18" t="str">
        <f t="shared" si="118"/>
        <v/>
      </c>
      <c r="F2563" s="17" t="str">
        <f t="shared" si="119"/>
        <v/>
      </c>
    </row>
    <row r="2564" spans="2:6" x14ac:dyDescent="0.2">
      <c r="B2564" s="12"/>
      <c r="C2564" s="12"/>
      <c r="D2564" s="17" t="str">
        <f t="shared" si="120"/>
        <v/>
      </c>
      <c r="E2564" s="18" t="str">
        <f t="shared" si="118"/>
        <v/>
      </c>
      <c r="F2564" s="17" t="str">
        <f t="shared" si="119"/>
        <v/>
      </c>
    </row>
    <row r="2565" spans="2:6" x14ac:dyDescent="0.2">
      <c r="B2565" s="12"/>
      <c r="C2565" s="12"/>
      <c r="D2565" s="17" t="str">
        <f t="shared" si="120"/>
        <v/>
      </c>
      <c r="E2565" s="18" t="str">
        <f t="shared" ref="E2565:E2628" si="121">IF(B2565="","",ABS(C2565-D2565))</f>
        <v/>
      </c>
      <c r="F2565" s="17" t="str">
        <f t="shared" ref="F2565:F2628" si="122">IF(B2565="","",E2565^2)</f>
        <v/>
      </c>
    </row>
    <row r="2566" spans="2:6" x14ac:dyDescent="0.2">
      <c r="B2566" s="12"/>
      <c r="C2566" s="12"/>
      <c r="D2566" s="17" t="str">
        <f t="shared" si="120"/>
        <v/>
      </c>
      <c r="E2566" s="18" t="str">
        <f t="shared" si="121"/>
        <v/>
      </c>
      <c r="F2566" s="17" t="str">
        <f t="shared" si="122"/>
        <v/>
      </c>
    </row>
    <row r="2567" spans="2:6" x14ac:dyDescent="0.2">
      <c r="B2567" s="12"/>
      <c r="C2567" s="12"/>
      <c r="D2567" s="17" t="str">
        <f t="shared" si="120"/>
        <v/>
      </c>
      <c r="E2567" s="18" t="str">
        <f t="shared" si="121"/>
        <v/>
      </c>
      <c r="F2567" s="17" t="str">
        <f t="shared" si="122"/>
        <v/>
      </c>
    </row>
    <row r="2568" spans="2:6" x14ac:dyDescent="0.2">
      <c r="B2568" s="12"/>
      <c r="C2568" s="12"/>
      <c r="D2568" s="17" t="str">
        <f t="shared" si="120"/>
        <v/>
      </c>
      <c r="E2568" s="18" t="str">
        <f t="shared" si="121"/>
        <v/>
      </c>
      <c r="F2568" s="17" t="str">
        <f t="shared" si="122"/>
        <v/>
      </c>
    </row>
    <row r="2569" spans="2:6" x14ac:dyDescent="0.2">
      <c r="B2569" s="12"/>
      <c r="C2569" s="12"/>
      <c r="D2569" s="17" t="str">
        <f t="shared" si="120"/>
        <v/>
      </c>
      <c r="E2569" s="18" t="str">
        <f t="shared" si="121"/>
        <v/>
      </c>
      <c r="F2569" s="17" t="str">
        <f t="shared" si="122"/>
        <v/>
      </c>
    </row>
    <row r="2570" spans="2:6" x14ac:dyDescent="0.2">
      <c r="B2570" s="12"/>
      <c r="C2570" s="12"/>
      <c r="D2570" s="17" t="str">
        <f t="shared" si="120"/>
        <v/>
      </c>
      <c r="E2570" s="18" t="str">
        <f t="shared" si="121"/>
        <v/>
      </c>
      <c r="F2570" s="17" t="str">
        <f t="shared" si="122"/>
        <v/>
      </c>
    </row>
    <row r="2571" spans="2:6" x14ac:dyDescent="0.2">
      <c r="B2571" s="12"/>
      <c r="C2571" s="12"/>
      <c r="D2571" s="17" t="str">
        <f t="shared" si="120"/>
        <v/>
      </c>
      <c r="E2571" s="18" t="str">
        <f t="shared" si="121"/>
        <v/>
      </c>
      <c r="F2571" s="17" t="str">
        <f t="shared" si="122"/>
        <v/>
      </c>
    </row>
    <row r="2572" spans="2:6" x14ac:dyDescent="0.2">
      <c r="B2572" s="12"/>
      <c r="C2572" s="12"/>
      <c r="D2572" s="17" t="str">
        <f t="shared" si="120"/>
        <v/>
      </c>
      <c r="E2572" s="18" t="str">
        <f t="shared" si="121"/>
        <v/>
      </c>
      <c r="F2572" s="17" t="str">
        <f t="shared" si="122"/>
        <v/>
      </c>
    </row>
    <row r="2573" spans="2:6" x14ac:dyDescent="0.2">
      <c r="B2573" s="12"/>
      <c r="C2573" s="12"/>
      <c r="D2573" s="17" t="str">
        <f t="shared" si="120"/>
        <v/>
      </c>
      <c r="E2573" s="18" t="str">
        <f t="shared" si="121"/>
        <v/>
      </c>
      <c r="F2573" s="17" t="str">
        <f t="shared" si="122"/>
        <v/>
      </c>
    </row>
    <row r="2574" spans="2:6" x14ac:dyDescent="0.2">
      <c r="B2574" s="12"/>
      <c r="C2574" s="12"/>
      <c r="D2574" s="17" t="str">
        <f t="shared" si="120"/>
        <v/>
      </c>
      <c r="E2574" s="18" t="str">
        <f t="shared" si="121"/>
        <v/>
      </c>
      <c r="F2574" s="17" t="str">
        <f t="shared" si="122"/>
        <v/>
      </c>
    </row>
    <row r="2575" spans="2:6" x14ac:dyDescent="0.2">
      <c r="B2575" s="12"/>
      <c r="C2575" s="12"/>
      <c r="D2575" s="17" t="str">
        <f t="shared" si="120"/>
        <v/>
      </c>
      <c r="E2575" s="18" t="str">
        <f t="shared" si="121"/>
        <v/>
      </c>
      <c r="F2575" s="17" t="str">
        <f t="shared" si="122"/>
        <v/>
      </c>
    </row>
    <row r="2576" spans="2:6" x14ac:dyDescent="0.2">
      <c r="B2576" s="12"/>
      <c r="C2576" s="12"/>
      <c r="D2576" s="17" t="str">
        <f t="shared" si="120"/>
        <v/>
      </c>
      <c r="E2576" s="18" t="str">
        <f t="shared" si="121"/>
        <v/>
      </c>
      <c r="F2576" s="17" t="str">
        <f t="shared" si="122"/>
        <v/>
      </c>
    </row>
    <row r="2577" spans="2:6" x14ac:dyDescent="0.2">
      <c r="B2577" s="12"/>
      <c r="C2577" s="12"/>
      <c r="D2577" s="17" t="str">
        <f t="shared" si="120"/>
        <v/>
      </c>
      <c r="E2577" s="18" t="str">
        <f t="shared" si="121"/>
        <v/>
      </c>
      <c r="F2577" s="17" t="str">
        <f t="shared" si="122"/>
        <v/>
      </c>
    </row>
    <row r="2578" spans="2:6" x14ac:dyDescent="0.2">
      <c r="B2578" s="12"/>
      <c r="C2578" s="12"/>
      <c r="D2578" s="17" t="str">
        <f t="shared" ref="D2578:D2641" si="123">IF(B2578="","",a+b*B2578)</f>
        <v/>
      </c>
      <c r="E2578" s="18" t="str">
        <f t="shared" si="121"/>
        <v/>
      </c>
      <c r="F2578" s="17" t="str">
        <f t="shared" si="122"/>
        <v/>
      </c>
    </row>
    <row r="2579" spans="2:6" x14ac:dyDescent="0.2">
      <c r="B2579" s="12"/>
      <c r="C2579" s="12"/>
      <c r="D2579" s="17" t="str">
        <f t="shared" si="123"/>
        <v/>
      </c>
      <c r="E2579" s="18" t="str">
        <f t="shared" si="121"/>
        <v/>
      </c>
      <c r="F2579" s="17" t="str">
        <f t="shared" si="122"/>
        <v/>
      </c>
    </row>
    <row r="2580" spans="2:6" x14ac:dyDescent="0.2">
      <c r="B2580" s="12"/>
      <c r="C2580" s="12"/>
      <c r="D2580" s="17" t="str">
        <f t="shared" si="123"/>
        <v/>
      </c>
      <c r="E2580" s="18" t="str">
        <f t="shared" si="121"/>
        <v/>
      </c>
      <c r="F2580" s="17" t="str">
        <f t="shared" si="122"/>
        <v/>
      </c>
    </row>
    <row r="2581" spans="2:6" x14ac:dyDescent="0.2">
      <c r="B2581" s="12"/>
      <c r="C2581" s="12"/>
      <c r="D2581" s="17" t="str">
        <f t="shared" si="123"/>
        <v/>
      </c>
      <c r="E2581" s="18" t="str">
        <f t="shared" si="121"/>
        <v/>
      </c>
      <c r="F2581" s="17" t="str">
        <f t="shared" si="122"/>
        <v/>
      </c>
    </row>
    <row r="2582" spans="2:6" x14ac:dyDescent="0.2">
      <c r="B2582" s="12"/>
      <c r="C2582" s="12"/>
      <c r="D2582" s="17" t="str">
        <f t="shared" si="123"/>
        <v/>
      </c>
      <c r="E2582" s="18" t="str">
        <f t="shared" si="121"/>
        <v/>
      </c>
      <c r="F2582" s="17" t="str">
        <f t="shared" si="122"/>
        <v/>
      </c>
    </row>
    <row r="2583" spans="2:6" x14ac:dyDescent="0.2">
      <c r="B2583" s="12"/>
      <c r="C2583" s="12"/>
      <c r="D2583" s="17" t="str">
        <f t="shared" si="123"/>
        <v/>
      </c>
      <c r="E2583" s="18" t="str">
        <f t="shared" si="121"/>
        <v/>
      </c>
      <c r="F2583" s="17" t="str">
        <f t="shared" si="122"/>
        <v/>
      </c>
    </row>
    <row r="2584" spans="2:6" x14ac:dyDescent="0.2">
      <c r="B2584" s="12"/>
      <c r="C2584" s="12"/>
      <c r="D2584" s="17" t="str">
        <f t="shared" si="123"/>
        <v/>
      </c>
      <c r="E2584" s="18" t="str">
        <f t="shared" si="121"/>
        <v/>
      </c>
      <c r="F2584" s="17" t="str">
        <f t="shared" si="122"/>
        <v/>
      </c>
    </row>
    <row r="2585" spans="2:6" x14ac:dyDescent="0.2">
      <c r="B2585" s="12"/>
      <c r="C2585" s="12"/>
      <c r="D2585" s="17" t="str">
        <f t="shared" si="123"/>
        <v/>
      </c>
      <c r="E2585" s="18" t="str">
        <f t="shared" si="121"/>
        <v/>
      </c>
      <c r="F2585" s="17" t="str">
        <f t="shared" si="122"/>
        <v/>
      </c>
    </row>
    <row r="2586" spans="2:6" x14ac:dyDescent="0.2">
      <c r="B2586" s="12"/>
      <c r="C2586" s="12"/>
      <c r="D2586" s="17" t="str">
        <f t="shared" si="123"/>
        <v/>
      </c>
      <c r="E2586" s="18" t="str">
        <f t="shared" si="121"/>
        <v/>
      </c>
      <c r="F2586" s="17" t="str">
        <f t="shared" si="122"/>
        <v/>
      </c>
    </row>
    <row r="2587" spans="2:6" x14ac:dyDescent="0.2">
      <c r="B2587" s="12"/>
      <c r="C2587" s="12"/>
      <c r="D2587" s="17" t="str">
        <f t="shared" si="123"/>
        <v/>
      </c>
      <c r="E2587" s="18" t="str">
        <f t="shared" si="121"/>
        <v/>
      </c>
      <c r="F2587" s="17" t="str">
        <f t="shared" si="122"/>
        <v/>
      </c>
    </row>
    <row r="2588" spans="2:6" x14ac:dyDescent="0.2">
      <c r="B2588" s="12"/>
      <c r="C2588" s="12"/>
      <c r="D2588" s="17" t="str">
        <f t="shared" si="123"/>
        <v/>
      </c>
      <c r="E2588" s="18" t="str">
        <f t="shared" si="121"/>
        <v/>
      </c>
      <c r="F2588" s="17" t="str">
        <f t="shared" si="122"/>
        <v/>
      </c>
    </row>
    <row r="2589" spans="2:6" x14ac:dyDescent="0.2">
      <c r="B2589" s="12"/>
      <c r="C2589" s="12"/>
      <c r="D2589" s="17" t="str">
        <f t="shared" si="123"/>
        <v/>
      </c>
      <c r="E2589" s="18" t="str">
        <f t="shared" si="121"/>
        <v/>
      </c>
      <c r="F2589" s="17" t="str">
        <f t="shared" si="122"/>
        <v/>
      </c>
    </row>
    <row r="2590" spans="2:6" x14ac:dyDescent="0.2">
      <c r="B2590" s="12"/>
      <c r="C2590" s="12"/>
      <c r="D2590" s="17" t="str">
        <f t="shared" si="123"/>
        <v/>
      </c>
      <c r="E2590" s="18" t="str">
        <f t="shared" si="121"/>
        <v/>
      </c>
      <c r="F2590" s="17" t="str">
        <f t="shared" si="122"/>
        <v/>
      </c>
    </row>
    <row r="2591" spans="2:6" x14ac:dyDescent="0.2">
      <c r="B2591" s="12"/>
      <c r="C2591" s="12"/>
      <c r="D2591" s="17" t="str">
        <f t="shared" si="123"/>
        <v/>
      </c>
      <c r="E2591" s="18" t="str">
        <f t="shared" si="121"/>
        <v/>
      </c>
      <c r="F2591" s="17" t="str">
        <f t="shared" si="122"/>
        <v/>
      </c>
    </row>
    <row r="2592" spans="2:6" x14ac:dyDescent="0.2">
      <c r="B2592" s="12"/>
      <c r="C2592" s="12"/>
      <c r="D2592" s="17" t="str">
        <f t="shared" si="123"/>
        <v/>
      </c>
      <c r="E2592" s="18" t="str">
        <f t="shared" si="121"/>
        <v/>
      </c>
      <c r="F2592" s="17" t="str">
        <f t="shared" si="122"/>
        <v/>
      </c>
    </row>
    <row r="2593" spans="2:6" x14ac:dyDescent="0.2">
      <c r="B2593" s="12"/>
      <c r="C2593" s="12"/>
      <c r="D2593" s="17" t="str">
        <f t="shared" si="123"/>
        <v/>
      </c>
      <c r="E2593" s="18" t="str">
        <f t="shared" si="121"/>
        <v/>
      </c>
      <c r="F2593" s="17" t="str">
        <f t="shared" si="122"/>
        <v/>
      </c>
    </row>
    <row r="2594" spans="2:6" x14ac:dyDescent="0.2">
      <c r="B2594" s="12"/>
      <c r="C2594" s="12"/>
      <c r="D2594" s="17" t="str">
        <f t="shared" si="123"/>
        <v/>
      </c>
      <c r="E2594" s="18" t="str">
        <f t="shared" si="121"/>
        <v/>
      </c>
      <c r="F2594" s="17" t="str">
        <f t="shared" si="122"/>
        <v/>
      </c>
    </row>
    <row r="2595" spans="2:6" x14ac:dyDescent="0.2">
      <c r="B2595" s="12"/>
      <c r="C2595" s="12"/>
      <c r="D2595" s="17" t="str">
        <f t="shared" si="123"/>
        <v/>
      </c>
      <c r="E2595" s="18" t="str">
        <f t="shared" si="121"/>
        <v/>
      </c>
      <c r="F2595" s="17" t="str">
        <f t="shared" si="122"/>
        <v/>
      </c>
    </row>
    <row r="2596" spans="2:6" x14ac:dyDescent="0.2">
      <c r="B2596" s="12"/>
      <c r="C2596" s="12"/>
      <c r="D2596" s="17" t="str">
        <f t="shared" si="123"/>
        <v/>
      </c>
      <c r="E2596" s="18" t="str">
        <f t="shared" si="121"/>
        <v/>
      </c>
      <c r="F2596" s="17" t="str">
        <f t="shared" si="122"/>
        <v/>
      </c>
    </row>
    <row r="2597" spans="2:6" x14ac:dyDescent="0.2">
      <c r="B2597" s="12"/>
      <c r="C2597" s="12"/>
      <c r="D2597" s="17" t="str">
        <f t="shared" si="123"/>
        <v/>
      </c>
      <c r="E2597" s="18" t="str">
        <f t="shared" si="121"/>
        <v/>
      </c>
      <c r="F2597" s="17" t="str">
        <f t="shared" si="122"/>
        <v/>
      </c>
    </row>
    <row r="2598" spans="2:6" x14ac:dyDescent="0.2">
      <c r="B2598" s="12"/>
      <c r="C2598" s="12"/>
      <c r="D2598" s="17" t="str">
        <f t="shared" si="123"/>
        <v/>
      </c>
      <c r="E2598" s="18" t="str">
        <f t="shared" si="121"/>
        <v/>
      </c>
      <c r="F2598" s="17" t="str">
        <f t="shared" si="122"/>
        <v/>
      </c>
    </row>
    <row r="2599" spans="2:6" x14ac:dyDescent="0.2">
      <c r="B2599" s="12"/>
      <c r="C2599" s="12"/>
      <c r="D2599" s="17" t="str">
        <f t="shared" si="123"/>
        <v/>
      </c>
      <c r="E2599" s="18" t="str">
        <f t="shared" si="121"/>
        <v/>
      </c>
      <c r="F2599" s="17" t="str">
        <f t="shared" si="122"/>
        <v/>
      </c>
    </row>
    <row r="2600" spans="2:6" x14ac:dyDescent="0.2">
      <c r="B2600" s="12"/>
      <c r="C2600" s="12"/>
      <c r="D2600" s="17" t="str">
        <f t="shared" si="123"/>
        <v/>
      </c>
      <c r="E2600" s="18" t="str">
        <f t="shared" si="121"/>
        <v/>
      </c>
      <c r="F2600" s="17" t="str">
        <f t="shared" si="122"/>
        <v/>
      </c>
    </row>
    <row r="2601" spans="2:6" x14ac:dyDescent="0.2">
      <c r="B2601" s="12"/>
      <c r="C2601" s="12"/>
      <c r="D2601" s="17" t="str">
        <f t="shared" si="123"/>
        <v/>
      </c>
      <c r="E2601" s="18" t="str">
        <f t="shared" si="121"/>
        <v/>
      </c>
      <c r="F2601" s="17" t="str">
        <f t="shared" si="122"/>
        <v/>
      </c>
    </row>
    <row r="2602" spans="2:6" x14ac:dyDescent="0.2">
      <c r="B2602" s="12"/>
      <c r="C2602" s="12"/>
      <c r="D2602" s="17" t="str">
        <f t="shared" si="123"/>
        <v/>
      </c>
      <c r="E2602" s="18" t="str">
        <f t="shared" si="121"/>
        <v/>
      </c>
      <c r="F2602" s="17" t="str">
        <f t="shared" si="122"/>
        <v/>
      </c>
    </row>
    <row r="2603" spans="2:6" x14ac:dyDescent="0.2">
      <c r="B2603" s="12"/>
      <c r="C2603" s="12"/>
      <c r="D2603" s="17" t="str">
        <f t="shared" si="123"/>
        <v/>
      </c>
      <c r="E2603" s="18" t="str">
        <f t="shared" si="121"/>
        <v/>
      </c>
      <c r="F2603" s="17" t="str">
        <f t="shared" si="122"/>
        <v/>
      </c>
    </row>
    <row r="2604" spans="2:6" x14ac:dyDescent="0.2">
      <c r="B2604" s="12"/>
      <c r="C2604" s="12"/>
      <c r="D2604" s="17" t="str">
        <f t="shared" si="123"/>
        <v/>
      </c>
      <c r="E2604" s="18" t="str">
        <f t="shared" si="121"/>
        <v/>
      </c>
      <c r="F2604" s="17" t="str">
        <f t="shared" si="122"/>
        <v/>
      </c>
    </row>
    <row r="2605" spans="2:6" x14ac:dyDescent="0.2">
      <c r="B2605" s="12"/>
      <c r="C2605" s="12"/>
      <c r="D2605" s="17" t="str">
        <f t="shared" si="123"/>
        <v/>
      </c>
      <c r="E2605" s="18" t="str">
        <f t="shared" si="121"/>
        <v/>
      </c>
      <c r="F2605" s="17" t="str">
        <f t="shared" si="122"/>
        <v/>
      </c>
    </row>
    <row r="2606" spans="2:6" x14ac:dyDescent="0.2">
      <c r="B2606" s="12"/>
      <c r="C2606" s="12"/>
      <c r="D2606" s="17" t="str">
        <f t="shared" si="123"/>
        <v/>
      </c>
      <c r="E2606" s="18" t="str">
        <f t="shared" si="121"/>
        <v/>
      </c>
      <c r="F2606" s="17" t="str">
        <f t="shared" si="122"/>
        <v/>
      </c>
    </row>
    <row r="2607" spans="2:6" x14ac:dyDescent="0.2">
      <c r="B2607" s="12"/>
      <c r="C2607" s="12"/>
      <c r="D2607" s="17" t="str">
        <f t="shared" si="123"/>
        <v/>
      </c>
      <c r="E2607" s="18" t="str">
        <f t="shared" si="121"/>
        <v/>
      </c>
      <c r="F2607" s="17" t="str">
        <f t="shared" si="122"/>
        <v/>
      </c>
    </row>
    <row r="2608" spans="2:6" x14ac:dyDescent="0.2">
      <c r="B2608" s="12"/>
      <c r="C2608" s="12"/>
      <c r="D2608" s="17" t="str">
        <f t="shared" si="123"/>
        <v/>
      </c>
      <c r="E2608" s="18" t="str">
        <f t="shared" si="121"/>
        <v/>
      </c>
      <c r="F2608" s="17" t="str">
        <f t="shared" si="122"/>
        <v/>
      </c>
    </row>
    <row r="2609" spans="2:6" x14ac:dyDescent="0.2">
      <c r="B2609" s="12"/>
      <c r="C2609" s="12"/>
      <c r="D2609" s="17" t="str">
        <f t="shared" si="123"/>
        <v/>
      </c>
      <c r="E2609" s="18" t="str">
        <f t="shared" si="121"/>
        <v/>
      </c>
      <c r="F2609" s="17" t="str">
        <f t="shared" si="122"/>
        <v/>
      </c>
    </row>
    <row r="2610" spans="2:6" x14ac:dyDescent="0.2">
      <c r="B2610" s="12"/>
      <c r="C2610" s="12"/>
      <c r="D2610" s="17" t="str">
        <f t="shared" si="123"/>
        <v/>
      </c>
      <c r="E2610" s="18" t="str">
        <f t="shared" si="121"/>
        <v/>
      </c>
      <c r="F2610" s="17" t="str">
        <f t="shared" si="122"/>
        <v/>
      </c>
    </row>
    <row r="2611" spans="2:6" x14ac:dyDescent="0.2">
      <c r="B2611" s="12"/>
      <c r="C2611" s="12"/>
      <c r="D2611" s="17" t="str">
        <f t="shared" si="123"/>
        <v/>
      </c>
      <c r="E2611" s="18" t="str">
        <f t="shared" si="121"/>
        <v/>
      </c>
      <c r="F2611" s="17" t="str">
        <f t="shared" si="122"/>
        <v/>
      </c>
    </row>
    <row r="2612" spans="2:6" x14ac:dyDescent="0.2">
      <c r="B2612" s="12"/>
      <c r="C2612" s="12"/>
      <c r="D2612" s="17" t="str">
        <f t="shared" si="123"/>
        <v/>
      </c>
      <c r="E2612" s="18" t="str">
        <f t="shared" si="121"/>
        <v/>
      </c>
      <c r="F2612" s="17" t="str">
        <f t="shared" si="122"/>
        <v/>
      </c>
    </row>
    <row r="2613" spans="2:6" x14ac:dyDescent="0.2">
      <c r="B2613" s="12"/>
      <c r="C2613" s="12"/>
      <c r="D2613" s="17" t="str">
        <f t="shared" si="123"/>
        <v/>
      </c>
      <c r="E2613" s="18" t="str">
        <f t="shared" si="121"/>
        <v/>
      </c>
      <c r="F2613" s="17" t="str">
        <f t="shared" si="122"/>
        <v/>
      </c>
    </row>
    <row r="2614" spans="2:6" x14ac:dyDescent="0.2">
      <c r="B2614" s="12"/>
      <c r="C2614" s="12"/>
      <c r="D2614" s="17" t="str">
        <f t="shared" si="123"/>
        <v/>
      </c>
      <c r="E2614" s="18" t="str">
        <f t="shared" si="121"/>
        <v/>
      </c>
      <c r="F2614" s="17" t="str">
        <f t="shared" si="122"/>
        <v/>
      </c>
    </row>
    <row r="2615" spans="2:6" x14ac:dyDescent="0.2">
      <c r="B2615" s="12"/>
      <c r="C2615" s="12"/>
      <c r="D2615" s="17" t="str">
        <f t="shared" si="123"/>
        <v/>
      </c>
      <c r="E2615" s="18" t="str">
        <f t="shared" si="121"/>
        <v/>
      </c>
      <c r="F2615" s="17" t="str">
        <f t="shared" si="122"/>
        <v/>
      </c>
    </row>
    <row r="2616" spans="2:6" x14ac:dyDescent="0.2">
      <c r="B2616" s="12"/>
      <c r="C2616" s="12"/>
      <c r="D2616" s="17" t="str">
        <f t="shared" si="123"/>
        <v/>
      </c>
      <c r="E2616" s="18" t="str">
        <f t="shared" si="121"/>
        <v/>
      </c>
      <c r="F2616" s="17" t="str">
        <f t="shared" si="122"/>
        <v/>
      </c>
    </row>
    <row r="2617" spans="2:6" x14ac:dyDescent="0.2">
      <c r="B2617" s="12"/>
      <c r="C2617" s="12"/>
      <c r="D2617" s="17" t="str">
        <f t="shared" si="123"/>
        <v/>
      </c>
      <c r="E2617" s="18" t="str">
        <f t="shared" si="121"/>
        <v/>
      </c>
      <c r="F2617" s="17" t="str">
        <f t="shared" si="122"/>
        <v/>
      </c>
    </row>
    <row r="2618" spans="2:6" x14ac:dyDescent="0.2">
      <c r="B2618" s="12"/>
      <c r="C2618" s="12"/>
      <c r="D2618" s="17" t="str">
        <f t="shared" si="123"/>
        <v/>
      </c>
      <c r="E2618" s="18" t="str">
        <f t="shared" si="121"/>
        <v/>
      </c>
      <c r="F2618" s="17" t="str">
        <f t="shared" si="122"/>
        <v/>
      </c>
    </row>
    <row r="2619" spans="2:6" x14ac:dyDescent="0.2">
      <c r="B2619" s="12"/>
      <c r="C2619" s="12"/>
      <c r="D2619" s="17" t="str">
        <f t="shared" si="123"/>
        <v/>
      </c>
      <c r="E2619" s="18" t="str">
        <f t="shared" si="121"/>
        <v/>
      </c>
      <c r="F2619" s="17" t="str">
        <f t="shared" si="122"/>
        <v/>
      </c>
    </row>
    <row r="2620" spans="2:6" x14ac:dyDescent="0.2">
      <c r="B2620" s="12"/>
      <c r="C2620" s="12"/>
      <c r="D2620" s="17" t="str">
        <f t="shared" si="123"/>
        <v/>
      </c>
      <c r="E2620" s="18" t="str">
        <f t="shared" si="121"/>
        <v/>
      </c>
      <c r="F2620" s="17" t="str">
        <f t="shared" si="122"/>
        <v/>
      </c>
    </row>
    <row r="2621" spans="2:6" x14ac:dyDescent="0.2">
      <c r="B2621" s="12"/>
      <c r="C2621" s="12"/>
      <c r="D2621" s="17" t="str">
        <f t="shared" si="123"/>
        <v/>
      </c>
      <c r="E2621" s="18" t="str">
        <f t="shared" si="121"/>
        <v/>
      </c>
      <c r="F2621" s="17" t="str">
        <f t="shared" si="122"/>
        <v/>
      </c>
    </row>
    <row r="2622" spans="2:6" x14ac:dyDescent="0.2">
      <c r="B2622" s="12"/>
      <c r="C2622" s="12"/>
      <c r="D2622" s="17" t="str">
        <f t="shared" si="123"/>
        <v/>
      </c>
      <c r="E2622" s="18" t="str">
        <f t="shared" si="121"/>
        <v/>
      </c>
      <c r="F2622" s="17" t="str">
        <f t="shared" si="122"/>
        <v/>
      </c>
    </row>
    <row r="2623" spans="2:6" x14ac:dyDescent="0.2">
      <c r="B2623" s="12"/>
      <c r="C2623" s="12"/>
      <c r="D2623" s="17" t="str">
        <f t="shared" si="123"/>
        <v/>
      </c>
      <c r="E2623" s="18" t="str">
        <f t="shared" si="121"/>
        <v/>
      </c>
      <c r="F2623" s="17" t="str">
        <f t="shared" si="122"/>
        <v/>
      </c>
    </row>
    <row r="2624" spans="2:6" x14ac:dyDescent="0.2">
      <c r="B2624" s="12"/>
      <c r="C2624" s="12"/>
      <c r="D2624" s="17" t="str">
        <f t="shared" si="123"/>
        <v/>
      </c>
      <c r="E2624" s="18" t="str">
        <f t="shared" si="121"/>
        <v/>
      </c>
      <c r="F2624" s="17" t="str">
        <f t="shared" si="122"/>
        <v/>
      </c>
    </row>
    <row r="2625" spans="2:6" x14ac:dyDescent="0.2">
      <c r="B2625" s="12"/>
      <c r="C2625" s="12"/>
      <c r="D2625" s="17" t="str">
        <f t="shared" si="123"/>
        <v/>
      </c>
      <c r="E2625" s="18" t="str">
        <f t="shared" si="121"/>
        <v/>
      </c>
      <c r="F2625" s="17" t="str">
        <f t="shared" si="122"/>
        <v/>
      </c>
    </row>
    <row r="2626" spans="2:6" x14ac:dyDescent="0.2">
      <c r="B2626" s="12"/>
      <c r="C2626" s="12"/>
      <c r="D2626" s="17" t="str">
        <f t="shared" si="123"/>
        <v/>
      </c>
      <c r="E2626" s="18" t="str">
        <f t="shared" si="121"/>
        <v/>
      </c>
      <c r="F2626" s="17" t="str">
        <f t="shared" si="122"/>
        <v/>
      </c>
    </row>
    <row r="2627" spans="2:6" x14ac:dyDescent="0.2">
      <c r="B2627" s="12"/>
      <c r="C2627" s="12"/>
      <c r="D2627" s="17" t="str">
        <f t="shared" si="123"/>
        <v/>
      </c>
      <c r="E2627" s="18" t="str">
        <f t="shared" si="121"/>
        <v/>
      </c>
      <c r="F2627" s="17" t="str">
        <f t="shared" si="122"/>
        <v/>
      </c>
    </row>
    <row r="2628" spans="2:6" x14ac:dyDescent="0.2">
      <c r="B2628" s="12"/>
      <c r="C2628" s="12"/>
      <c r="D2628" s="17" t="str">
        <f t="shared" si="123"/>
        <v/>
      </c>
      <c r="E2628" s="18" t="str">
        <f t="shared" si="121"/>
        <v/>
      </c>
      <c r="F2628" s="17" t="str">
        <f t="shared" si="122"/>
        <v/>
      </c>
    </row>
    <row r="2629" spans="2:6" x14ac:dyDescent="0.2">
      <c r="B2629" s="12"/>
      <c r="C2629" s="12"/>
      <c r="D2629" s="17" t="str">
        <f t="shared" si="123"/>
        <v/>
      </c>
      <c r="E2629" s="18" t="str">
        <f t="shared" ref="E2629:E2692" si="124">IF(B2629="","",ABS(C2629-D2629))</f>
        <v/>
      </c>
      <c r="F2629" s="17" t="str">
        <f t="shared" ref="F2629:F2692" si="125">IF(B2629="","",E2629^2)</f>
        <v/>
      </c>
    </row>
    <row r="2630" spans="2:6" x14ac:dyDescent="0.2">
      <c r="B2630" s="12"/>
      <c r="C2630" s="12"/>
      <c r="D2630" s="17" t="str">
        <f t="shared" si="123"/>
        <v/>
      </c>
      <c r="E2630" s="18" t="str">
        <f t="shared" si="124"/>
        <v/>
      </c>
      <c r="F2630" s="17" t="str">
        <f t="shared" si="125"/>
        <v/>
      </c>
    </row>
    <row r="2631" spans="2:6" x14ac:dyDescent="0.2">
      <c r="B2631" s="12"/>
      <c r="C2631" s="12"/>
      <c r="D2631" s="17" t="str">
        <f t="shared" si="123"/>
        <v/>
      </c>
      <c r="E2631" s="18" t="str">
        <f t="shared" si="124"/>
        <v/>
      </c>
      <c r="F2631" s="17" t="str">
        <f t="shared" si="125"/>
        <v/>
      </c>
    </row>
    <row r="2632" spans="2:6" x14ac:dyDescent="0.2">
      <c r="B2632" s="12"/>
      <c r="C2632" s="12"/>
      <c r="D2632" s="17" t="str">
        <f t="shared" si="123"/>
        <v/>
      </c>
      <c r="E2632" s="18" t="str">
        <f t="shared" si="124"/>
        <v/>
      </c>
      <c r="F2632" s="17" t="str">
        <f t="shared" si="125"/>
        <v/>
      </c>
    </row>
    <row r="2633" spans="2:6" x14ac:dyDescent="0.2">
      <c r="B2633" s="12"/>
      <c r="C2633" s="12"/>
      <c r="D2633" s="17" t="str">
        <f t="shared" si="123"/>
        <v/>
      </c>
      <c r="E2633" s="18" t="str">
        <f t="shared" si="124"/>
        <v/>
      </c>
      <c r="F2633" s="17" t="str">
        <f t="shared" si="125"/>
        <v/>
      </c>
    </row>
    <row r="2634" spans="2:6" x14ac:dyDescent="0.2">
      <c r="B2634" s="12"/>
      <c r="C2634" s="12"/>
      <c r="D2634" s="17" t="str">
        <f t="shared" si="123"/>
        <v/>
      </c>
      <c r="E2634" s="18" t="str">
        <f t="shared" si="124"/>
        <v/>
      </c>
      <c r="F2634" s="17" t="str">
        <f t="shared" si="125"/>
        <v/>
      </c>
    </row>
    <row r="2635" spans="2:6" x14ac:dyDescent="0.2">
      <c r="B2635" s="12"/>
      <c r="C2635" s="12"/>
      <c r="D2635" s="17" t="str">
        <f t="shared" si="123"/>
        <v/>
      </c>
      <c r="E2635" s="18" t="str">
        <f t="shared" si="124"/>
        <v/>
      </c>
      <c r="F2635" s="17" t="str">
        <f t="shared" si="125"/>
        <v/>
      </c>
    </row>
    <row r="2636" spans="2:6" x14ac:dyDescent="0.2">
      <c r="B2636" s="12"/>
      <c r="C2636" s="12"/>
      <c r="D2636" s="17" t="str">
        <f t="shared" si="123"/>
        <v/>
      </c>
      <c r="E2636" s="18" t="str">
        <f t="shared" si="124"/>
        <v/>
      </c>
      <c r="F2636" s="17" t="str">
        <f t="shared" si="125"/>
        <v/>
      </c>
    </row>
    <row r="2637" spans="2:6" x14ac:dyDescent="0.2">
      <c r="B2637" s="12"/>
      <c r="C2637" s="12"/>
      <c r="D2637" s="17" t="str">
        <f t="shared" si="123"/>
        <v/>
      </c>
      <c r="E2637" s="18" t="str">
        <f t="shared" si="124"/>
        <v/>
      </c>
      <c r="F2637" s="17" t="str">
        <f t="shared" si="125"/>
        <v/>
      </c>
    </row>
    <row r="2638" spans="2:6" x14ac:dyDescent="0.2">
      <c r="B2638" s="12"/>
      <c r="C2638" s="12"/>
      <c r="D2638" s="17" t="str">
        <f t="shared" si="123"/>
        <v/>
      </c>
      <c r="E2638" s="18" t="str">
        <f t="shared" si="124"/>
        <v/>
      </c>
      <c r="F2638" s="17" t="str">
        <f t="shared" si="125"/>
        <v/>
      </c>
    </row>
    <row r="2639" spans="2:6" x14ac:dyDescent="0.2">
      <c r="B2639" s="12"/>
      <c r="C2639" s="12"/>
      <c r="D2639" s="17" t="str">
        <f t="shared" si="123"/>
        <v/>
      </c>
      <c r="E2639" s="18" t="str">
        <f t="shared" si="124"/>
        <v/>
      </c>
      <c r="F2639" s="17" t="str">
        <f t="shared" si="125"/>
        <v/>
      </c>
    </row>
    <row r="2640" spans="2:6" x14ac:dyDescent="0.2">
      <c r="B2640" s="12"/>
      <c r="C2640" s="12"/>
      <c r="D2640" s="17" t="str">
        <f t="shared" si="123"/>
        <v/>
      </c>
      <c r="E2640" s="18" t="str">
        <f t="shared" si="124"/>
        <v/>
      </c>
      <c r="F2640" s="17" t="str">
        <f t="shared" si="125"/>
        <v/>
      </c>
    </row>
    <row r="2641" spans="2:6" x14ac:dyDescent="0.2">
      <c r="B2641" s="12"/>
      <c r="C2641" s="12"/>
      <c r="D2641" s="17" t="str">
        <f t="shared" si="123"/>
        <v/>
      </c>
      <c r="E2641" s="18" t="str">
        <f t="shared" si="124"/>
        <v/>
      </c>
      <c r="F2641" s="17" t="str">
        <f t="shared" si="125"/>
        <v/>
      </c>
    </row>
    <row r="2642" spans="2:6" x14ac:dyDescent="0.2">
      <c r="B2642" s="12"/>
      <c r="C2642" s="12"/>
      <c r="D2642" s="17" t="str">
        <f t="shared" ref="D2642:D2705" si="126">IF(B2642="","",a+b*B2642)</f>
        <v/>
      </c>
      <c r="E2642" s="18" t="str">
        <f t="shared" si="124"/>
        <v/>
      </c>
      <c r="F2642" s="17" t="str">
        <f t="shared" si="125"/>
        <v/>
      </c>
    </row>
    <row r="2643" spans="2:6" x14ac:dyDescent="0.2">
      <c r="B2643" s="12"/>
      <c r="C2643" s="12"/>
      <c r="D2643" s="17" t="str">
        <f t="shared" si="126"/>
        <v/>
      </c>
      <c r="E2643" s="18" t="str">
        <f t="shared" si="124"/>
        <v/>
      </c>
      <c r="F2643" s="17" t="str">
        <f t="shared" si="125"/>
        <v/>
      </c>
    </row>
    <row r="2644" spans="2:6" x14ac:dyDescent="0.2">
      <c r="B2644" s="12"/>
      <c r="C2644" s="12"/>
      <c r="D2644" s="17" t="str">
        <f t="shared" si="126"/>
        <v/>
      </c>
      <c r="E2644" s="18" t="str">
        <f t="shared" si="124"/>
        <v/>
      </c>
      <c r="F2644" s="17" t="str">
        <f t="shared" si="125"/>
        <v/>
      </c>
    </row>
    <row r="2645" spans="2:6" x14ac:dyDescent="0.2">
      <c r="B2645" s="12"/>
      <c r="C2645" s="12"/>
      <c r="D2645" s="17" t="str">
        <f t="shared" si="126"/>
        <v/>
      </c>
      <c r="E2645" s="18" t="str">
        <f t="shared" si="124"/>
        <v/>
      </c>
      <c r="F2645" s="17" t="str">
        <f t="shared" si="125"/>
        <v/>
      </c>
    </row>
    <row r="2646" spans="2:6" x14ac:dyDescent="0.2">
      <c r="B2646" s="12"/>
      <c r="C2646" s="12"/>
      <c r="D2646" s="17" t="str">
        <f t="shared" si="126"/>
        <v/>
      </c>
      <c r="E2646" s="18" t="str">
        <f t="shared" si="124"/>
        <v/>
      </c>
      <c r="F2646" s="17" t="str">
        <f t="shared" si="125"/>
        <v/>
      </c>
    </row>
    <row r="2647" spans="2:6" x14ac:dyDescent="0.2">
      <c r="B2647" s="12"/>
      <c r="C2647" s="12"/>
      <c r="D2647" s="17" t="str">
        <f t="shared" si="126"/>
        <v/>
      </c>
      <c r="E2647" s="18" t="str">
        <f t="shared" si="124"/>
        <v/>
      </c>
      <c r="F2647" s="17" t="str">
        <f t="shared" si="125"/>
        <v/>
      </c>
    </row>
    <row r="2648" spans="2:6" x14ac:dyDescent="0.2">
      <c r="B2648" s="12"/>
      <c r="C2648" s="12"/>
      <c r="D2648" s="17" t="str">
        <f t="shared" si="126"/>
        <v/>
      </c>
      <c r="E2648" s="18" t="str">
        <f t="shared" si="124"/>
        <v/>
      </c>
      <c r="F2648" s="17" t="str">
        <f t="shared" si="125"/>
        <v/>
      </c>
    </row>
    <row r="2649" spans="2:6" x14ac:dyDescent="0.2">
      <c r="B2649" s="12"/>
      <c r="C2649" s="12"/>
      <c r="D2649" s="17" t="str">
        <f t="shared" si="126"/>
        <v/>
      </c>
      <c r="E2649" s="18" t="str">
        <f t="shared" si="124"/>
        <v/>
      </c>
      <c r="F2649" s="17" t="str">
        <f t="shared" si="125"/>
        <v/>
      </c>
    </row>
    <row r="2650" spans="2:6" x14ac:dyDescent="0.2">
      <c r="B2650" s="12"/>
      <c r="C2650" s="12"/>
      <c r="D2650" s="17" t="str">
        <f t="shared" si="126"/>
        <v/>
      </c>
      <c r="E2650" s="18" t="str">
        <f t="shared" si="124"/>
        <v/>
      </c>
      <c r="F2650" s="17" t="str">
        <f t="shared" si="125"/>
        <v/>
      </c>
    </row>
    <row r="2651" spans="2:6" x14ac:dyDescent="0.2">
      <c r="B2651" s="12"/>
      <c r="C2651" s="12"/>
      <c r="D2651" s="17" t="str">
        <f t="shared" si="126"/>
        <v/>
      </c>
      <c r="E2651" s="18" t="str">
        <f t="shared" si="124"/>
        <v/>
      </c>
      <c r="F2651" s="17" t="str">
        <f t="shared" si="125"/>
        <v/>
      </c>
    </row>
    <row r="2652" spans="2:6" x14ac:dyDescent="0.2">
      <c r="B2652" s="12"/>
      <c r="C2652" s="12"/>
      <c r="D2652" s="17" t="str">
        <f t="shared" si="126"/>
        <v/>
      </c>
      <c r="E2652" s="18" t="str">
        <f t="shared" si="124"/>
        <v/>
      </c>
      <c r="F2652" s="17" t="str">
        <f t="shared" si="125"/>
        <v/>
      </c>
    </row>
    <row r="2653" spans="2:6" x14ac:dyDescent="0.2">
      <c r="B2653" s="12"/>
      <c r="C2653" s="12"/>
      <c r="D2653" s="17" t="str">
        <f t="shared" si="126"/>
        <v/>
      </c>
      <c r="E2653" s="18" t="str">
        <f t="shared" si="124"/>
        <v/>
      </c>
      <c r="F2653" s="17" t="str">
        <f t="shared" si="125"/>
        <v/>
      </c>
    </row>
    <row r="2654" spans="2:6" x14ac:dyDescent="0.2">
      <c r="B2654" s="12"/>
      <c r="C2654" s="12"/>
      <c r="D2654" s="17" t="str">
        <f t="shared" si="126"/>
        <v/>
      </c>
      <c r="E2654" s="18" t="str">
        <f t="shared" si="124"/>
        <v/>
      </c>
      <c r="F2654" s="17" t="str">
        <f t="shared" si="125"/>
        <v/>
      </c>
    </row>
    <row r="2655" spans="2:6" x14ac:dyDescent="0.2">
      <c r="B2655" s="12"/>
      <c r="C2655" s="12"/>
      <c r="D2655" s="17" t="str">
        <f t="shared" si="126"/>
        <v/>
      </c>
      <c r="E2655" s="18" t="str">
        <f t="shared" si="124"/>
        <v/>
      </c>
      <c r="F2655" s="17" t="str">
        <f t="shared" si="125"/>
        <v/>
      </c>
    </row>
    <row r="2656" spans="2:6" x14ac:dyDescent="0.2">
      <c r="B2656" s="12"/>
      <c r="C2656" s="12"/>
      <c r="D2656" s="17" t="str">
        <f t="shared" si="126"/>
        <v/>
      </c>
      <c r="E2656" s="18" t="str">
        <f t="shared" si="124"/>
        <v/>
      </c>
      <c r="F2656" s="17" t="str">
        <f t="shared" si="125"/>
        <v/>
      </c>
    </row>
    <row r="2657" spans="2:6" x14ac:dyDescent="0.2">
      <c r="B2657" s="12"/>
      <c r="C2657" s="12"/>
      <c r="D2657" s="17" t="str">
        <f t="shared" si="126"/>
        <v/>
      </c>
      <c r="E2657" s="18" t="str">
        <f t="shared" si="124"/>
        <v/>
      </c>
      <c r="F2657" s="17" t="str">
        <f t="shared" si="125"/>
        <v/>
      </c>
    </row>
    <row r="2658" spans="2:6" x14ac:dyDescent="0.2">
      <c r="B2658" s="12"/>
      <c r="C2658" s="12"/>
      <c r="D2658" s="17" t="str">
        <f t="shared" si="126"/>
        <v/>
      </c>
      <c r="E2658" s="18" t="str">
        <f t="shared" si="124"/>
        <v/>
      </c>
      <c r="F2658" s="17" t="str">
        <f t="shared" si="125"/>
        <v/>
      </c>
    </row>
    <row r="2659" spans="2:6" x14ac:dyDescent="0.2">
      <c r="B2659" s="12"/>
      <c r="C2659" s="12"/>
      <c r="D2659" s="17" t="str">
        <f t="shared" si="126"/>
        <v/>
      </c>
      <c r="E2659" s="18" t="str">
        <f t="shared" si="124"/>
        <v/>
      </c>
      <c r="F2659" s="17" t="str">
        <f t="shared" si="125"/>
        <v/>
      </c>
    </row>
    <row r="2660" spans="2:6" x14ac:dyDescent="0.2">
      <c r="B2660" s="12"/>
      <c r="C2660" s="12"/>
      <c r="D2660" s="17" t="str">
        <f t="shared" si="126"/>
        <v/>
      </c>
      <c r="E2660" s="18" t="str">
        <f t="shared" si="124"/>
        <v/>
      </c>
      <c r="F2660" s="17" t="str">
        <f t="shared" si="125"/>
        <v/>
      </c>
    </row>
    <row r="2661" spans="2:6" x14ac:dyDescent="0.2">
      <c r="B2661" s="12"/>
      <c r="C2661" s="12"/>
      <c r="D2661" s="17" t="str">
        <f t="shared" si="126"/>
        <v/>
      </c>
      <c r="E2661" s="18" t="str">
        <f t="shared" si="124"/>
        <v/>
      </c>
      <c r="F2661" s="17" t="str">
        <f t="shared" si="125"/>
        <v/>
      </c>
    </row>
    <row r="2662" spans="2:6" x14ac:dyDescent="0.2">
      <c r="B2662" s="12"/>
      <c r="C2662" s="12"/>
      <c r="D2662" s="17" t="str">
        <f t="shared" si="126"/>
        <v/>
      </c>
      <c r="E2662" s="18" t="str">
        <f t="shared" si="124"/>
        <v/>
      </c>
      <c r="F2662" s="17" t="str">
        <f t="shared" si="125"/>
        <v/>
      </c>
    </row>
    <row r="2663" spans="2:6" x14ac:dyDescent="0.2">
      <c r="B2663" s="12"/>
      <c r="C2663" s="12"/>
      <c r="D2663" s="17" t="str">
        <f t="shared" si="126"/>
        <v/>
      </c>
      <c r="E2663" s="18" t="str">
        <f t="shared" si="124"/>
        <v/>
      </c>
      <c r="F2663" s="17" t="str">
        <f t="shared" si="125"/>
        <v/>
      </c>
    </row>
    <row r="2664" spans="2:6" x14ac:dyDescent="0.2">
      <c r="B2664" s="12"/>
      <c r="C2664" s="12"/>
      <c r="D2664" s="17" t="str">
        <f t="shared" si="126"/>
        <v/>
      </c>
      <c r="E2664" s="18" t="str">
        <f t="shared" si="124"/>
        <v/>
      </c>
      <c r="F2664" s="17" t="str">
        <f t="shared" si="125"/>
        <v/>
      </c>
    </row>
    <row r="2665" spans="2:6" x14ac:dyDescent="0.2">
      <c r="B2665" s="12"/>
      <c r="C2665" s="12"/>
      <c r="D2665" s="17" t="str">
        <f t="shared" si="126"/>
        <v/>
      </c>
      <c r="E2665" s="18" t="str">
        <f t="shared" si="124"/>
        <v/>
      </c>
      <c r="F2665" s="17" t="str">
        <f t="shared" si="125"/>
        <v/>
      </c>
    </row>
    <row r="2666" spans="2:6" x14ac:dyDescent="0.2">
      <c r="B2666" s="12"/>
      <c r="C2666" s="12"/>
      <c r="D2666" s="17" t="str">
        <f t="shared" si="126"/>
        <v/>
      </c>
      <c r="E2666" s="18" t="str">
        <f t="shared" si="124"/>
        <v/>
      </c>
      <c r="F2666" s="17" t="str">
        <f t="shared" si="125"/>
        <v/>
      </c>
    </row>
    <row r="2667" spans="2:6" x14ac:dyDescent="0.2">
      <c r="B2667" s="12"/>
      <c r="C2667" s="12"/>
      <c r="D2667" s="17" t="str">
        <f t="shared" si="126"/>
        <v/>
      </c>
      <c r="E2667" s="18" t="str">
        <f t="shared" si="124"/>
        <v/>
      </c>
      <c r="F2667" s="17" t="str">
        <f t="shared" si="125"/>
        <v/>
      </c>
    </row>
    <row r="2668" spans="2:6" x14ac:dyDescent="0.2">
      <c r="B2668" s="12"/>
      <c r="C2668" s="12"/>
      <c r="D2668" s="17" t="str">
        <f t="shared" si="126"/>
        <v/>
      </c>
      <c r="E2668" s="18" t="str">
        <f t="shared" si="124"/>
        <v/>
      </c>
      <c r="F2668" s="17" t="str">
        <f t="shared" si="125"/>
        <v/>
      </c>
    </row>
    <row r="2669" spans="2:6" x14ac:dyDescent="0.2">
      <c r="B2669" s="12"/>
      <c r="C2669" s="12"/>
      <c r="D2669" s="17" t="str">
        <f t="shared" si="126"/>
        <v/>
      </c>
      <c r="E2669" s="18" t="str">
        <f t="shared" si="124"/>
        <v/>
      </c>
      <c r="F2669" s="17" t="str">
        <f t="shared" si="125"/>
        <v/>
      </c>
    </row>
    <row r="2670" spans="2:6" x14ac:dyDescent="0.2">
      <c r="B2670" s="12"/>
      <c r="C2670" s="12"/>
      <c r="D2670" s="17" t="str">
        <f t="shared" si="126"/>
        <v/>
      </c>
      <c r="E2670" s="18" t="str">
        <f t="shared" si="124"/>
        <v/>
      </c>
      <c r="F2670" s="17" t="str">
        <f t="shared" si="125"/>
        <v/>
      </c>
    </row>
    <row r="2671" spans="2:6" x14ac:dyDescent="0.2">
      <c r="B2671" s="12"/>
      <c r="C2671" s="12"/>
      <c r="D2671" s="17" t="str">
        <f t="shared" si="126"/>
        <v/>
      </c>
      <c r="E2671" s="18" t="str">
        <f t="shared" si="124"/>
        <v/>
      </c>
      <c r="F2671" s="17" t="str">
        <f t="shared" si="125"/>
        <v/>
      </c>
    </row>
    <row r="2672" spans="2:6" x14ac:dyDescent="0.2">
      <c r="B2672" s="12"/>
      <c r="C2672" s="12"/>
      <c r="D2672" s="17" t="str">
        <f t="shared" si="126"/>
        <v/>
      </c>
      <c r="E2672" s="18" t="str">
        <f t="shared" si="124"/>
        <v/>
      </c>
      <c r="F2672" s="17" t="str">
        <f t="shared" si="125"/>
        <v/>
      </c>
    </row>
    <row r="2673" spans="2:6" x14ac:dyDescent="0.2">
      <c r="B2673" s="12"/>
      <c r="C2673" s="12"/>
      <c r="D2673" s="17" t="str">
        <f t="shared" si="126"/>
        <v/>
      </c>
      <c r="E2673" s="18" t="str">
        <f t="shared" si="124"/>
        <v/>
      </c>
      <c r="F2673" s="17" t="str">
        <f t="shared" si="125"/>
        <v/>
      </c>
    </row>
    <row r="2674" spans="2:6" x14ac:dyDescent="0.2">
      <c r="B2674" s="12"/>
      <c r="C2674" s="12"/>
      <c r="D2674" s="17" t="str">
        <f t="shared" si="126"/>
        <v/>
      </c>
      <c r="E2674" s="18" t="str">
        <f t="shared" si="124"/>
        <v/>
      </c>
      <c r="F2674" s="17" t="str">
        <f t="shared" si="125"/>
        <v/>
      </c>
    </row>
    <row r="2675" spans="2:6" x14ac:dyDescent="0.2">
      <c r="B2675" s="12"/>
      <c r="C2675" s="12"/>
      <c r="D2675" s="17" t="str">
        <f t="shared" si="126"/>
        <v/>
      </c>
      <c r="E2675" s="18" t="str">
        <f t="shared" si="124"/>
        <v/>
      </c>
      <c r="F2675" s="17" t="str">
        <f t="shared" si="125"/>
        <v/>
      </c>
    </row>
    <row r="2676" spans="2:6" x14ac:dyDescent="0.2">
      <c r="B2676" s="12"/>
      <c r="C2676" s="12"/>
      <c r="D2676" s="17" t="str">
        <f t="shared" si="126"/>
        <v/>
      </c>
      <c r="E2676" s="18" t="str">
        <f t="shared" si="124"/>
        <v/>
      </c>
      <c r="F2676" s="17" t="str">
        <f t="shared" si="125"/>
        <v/>
      </c>
    </row>
    <row r="2677" spans="2:6" x14ac:dyDescent="0.2">
      <c r="B2677" s="12"/>
      <c r="C2677" s="12"/>
      <c r="D2677" s="17" t="str">
        <f t="shared" si="126"/>
        <v/>
      </c>
      <c r="E2677" s="18" t="str">
        <f t="shared" si="124"/>
        <v/>
      </c>
      <c r="F2677" s="17" t="str">
        <f t="shared" si="125"/>
        <v/>
      </c>
    </row>
    <row r="2678" spans="2:6" x14ac:dyDescent="0.2">
      <c r="B2678" s="12"/>
      <c r="C2678" s="12"/>
      <c r="D2678" s="17" t="str">
        <f t="shared" si="126"/>
        <v/>
      </c>
      <c r="E2678" s="18" t="str">
        <f t="shared" si="124"/>
        <v/>
      </c>
      <c r="F2678" s="17" t="str">
        <f t="shared" si="125"/>
        <v/>
      </c>
    </row>
    <row r="2679" spans="2:6" x14ac:dyDescent="0.2">
      <c r="B2679" s="12"/>
      <c r="C2679" s="12"/>
      <c r="D2679" s="17" t="str">
        <f t="shared" si="126"/>
        <v/>
      </c>
      <c r="E2679" s="18" t="str">
        <f t="shared" si="124"/>
        <v/>
      </c>
      <c r="F2679" s="17" t="str">
        <f t="shared" si="125"/>
        <v/>
      </c>
    </row>
    <row r="2680" spans="2:6" x14ac:dyDescent="0.2">
      <c r="B2680" s="12"/>
      <c r="C2680" s="12"/>
      <c r="D2680" s="17" t="str">
        <f t="shared" si="126"/>
        <v/>
      </c>
      <c r="E2680" s="18" t="str">
        <f t="shared" si="124"/>
        <v/>
      </c>
      <c r="F2680" s="17" t="str">
        <f t="shared" si="125"/>
        <v/>
      </c>
    </row>
    <row r="2681" spans="2:6" x14ac:dyDescent="0.2">
      <c r="B2681" s="12"/>
      <c r="C2681" s="12"/>
      <c r="D2681" s="17" t="str">
        <f t="shared" si="126"/>
        <v/>
      </c>
      <c r="E2681" s="18" t="str">
        <f t="shared" si="124"/>
        <v/>
      </c>
      <c r="F2681" s="17" t="str">
        <f t="shared" si="125"/>
        <v/>
      </c>
    </row>
    <row r="2682" spans="2:6" x14ac:dyDescent="0.2">
      <c r="B2682" s="12"/>
      <c r="C2682" s="12"/>
      <c r="D2682" s="17" t="str">
        <f t="shared" si="126"/>
        <v/>
      </c>
      <c r="E2682" s="18" t="str">
        <f t="shared" si="124"/>
        <v/>
      </c>
      <c r="F2682" s="17" t="str">
        <f t="shared" si="125"/>
        <v/>
      </c>
    </row>
    <row r="2683" spans="2:6" x14ac:dyDescent="0.2">
      <c r="B2683" s="12"/>
      <c r="C2683" s="12"/>
      <c r="D2683" s="17" t="str">
        <f t="shared" si="126"/>
        <v/>
      </c>
      <c r="E2683" s="18" t="str">
        <f t="shared" si="124"/>
        <v/>
      </c>
      <c r="F2683" s="17" t="str">
        <f t="shared" si="125"/>
        <v/>
      </c>
    </row>
    <row r="2684" spans="2:6" x14ac:dyDescent="0.2">
      <c r="B2684" s="12"/>
      <c r="C2684" s="12"/>
      <c r="D2684" s="17" t="str">
        <f t="shared" si="126"/>
        <v/>
      </c>
      <c r="E2684" s="18" t="str">
        <f t="shared" si="124"/>
        <v/>
      </c>
      <c r="F2684" s="17" t="str">
        <f t="shared" si="125"/>
        <v/>
      </c>
    </row>
    <row r="2685" spans="2:6" x14ac:dyDescent="0.2">
      <c r="B2685" s="12"/>
      <c r="C2685" s="12"/>
      <c r="D2685" s="17" t="str">
        <f t="shared" si="126"/>
        <v/>
      </c>
      <c r="E2685" s="18" t="str">
        <f t="shared" si="124"/>
        <v/>
      </c>
      <c r="F2685" s="17" t="str">
        <f t="shared" si="125"/>
        <v/>
      </c>
    </row>
    <row r="2686" spans="2:6" x14ac:dyDescent="0.2">
      <c r="B2686" s="12"/>
      <c r="C2686" s="12"/>
      <c r="D2686" s="17" t="str">
        <f t="shared" si="126"/>
        <v/>
      </c>
      <c r="E2686" s="18" t="str">
        <f t="shared" si="124"/>
        <v/>
      </c>
      <c r="F2686" s="17" t="str">
        <f t="shared" si="125"/>
        <v/>
      </c>
    </row>
    <row r="2687" spans="2:6" x14ac:dyDescent="0.2">
      <c r="B2687" s="12"/>
      <c r="C2687" s="12"/>
      <c r="D2687" s="17" t="str">
        <f t="shared" si="126"/>
        <v/>
      </c>
      <c r="E2687" s="18" t="str">
        <f t="shared" si="124"/>
        <v/>
      </c>
      <c r="F2687" s="17" t="str">
        <f t="shared" si="125"/>
        <v/>
      </c>
    </row>
    <row r="2688" spans="2:6" x14ac:dyDescent="0.2">
      <c r="B2688" s="12"/>
      <c r="C2688" s="12"/>
      <c r="D2688" s="17" t="str">
        <f t="shared" si="126"/>
        <v/>
      </c>
      <c r="E2688" s="18" t="str">
        <f t="shared" si="124"/>
        <v/>
      </c>
      <c r="F2688" s="17" t="str">
        <f t="shared" si="125"/>
        <v/>
      </c>
    </row>
    <row r="2689" spans="2:6" x14ac:dyDescent="0.2">
      <c r="B2689" s="12"/>
      <c r="C2689" s="12"/>
      <c r="D2689" s="17" t="str">
        <f t="shared" si="126"/>
        <v/>
      </c>
      <c r="E2689" s="18" t="str">
        <f t="shared" si="124"/>
        <v/>
      </c>
      <c r="F2689" s="17" t="str">
        <f t="shared" si="125"/>
        <v/>
      </c>
    </row>
    <row r="2690" spans="2:6" x14ac:dyDescent="0.2">
      <c r="B2690" s="12"/>
      <c r="C2690" s="12"/>
      <c r="D2690" s="17" t="str">
        <f t="shared" si="126"/>
        <v/>
      </c>
      <c r="E2690" s="18" t="str">
        <f t="shared" si="124"/>
        <v/>
      </c>
      <c r="F2690" s="17" t="str">
        <f t="shared" si="125"/>
        <v/>
      </c>
    </row>
    <row r="2691" spans="2:6" x14ac:dyDescent="0.2">
      <c r="B2691" s="12"/>
      <c r="C2691" s="12"/>
      <c r="D2691" s="17" t="str">
        <f t="shared" si="126"/>
        <v/>
      </c>
      <c r="E2691" s="18" t="str">
        <f t="shared" si="124"/>
        <v/>
      </c>
      <c r="F2691" s="17" t="str">
        <f t="shared" si="125"/>
        <v/>
      </c>
    </row>
    <row r="2692" spans="2:6" x14ac:dyDescent="0.2">
      <c r="B2692" s="12"/>
      <c r="C2692" s="12"/>
      <c r="D2692" s="17" t="str">
        <f t="shared" si="126"/>
        <v/>
      </c>
      <c r="E2692" s="18" t="str">
        <f t="shared" si="124"/>
        <v/>
      </c>
      <c r="F2692" s="17" t="str">
        <f t="shared" si="125"/>
        <v/>
      </c>
    </row>
    <row r="2693" spans="2:6" x14ac:dyDescent="0.2">
      <c r="B2693" s="12"/>
      <c r="C2693" s="12"/>
      <c r="D2693" s="17" t="str">
        <f t="shared" si="126"/>
        <v/>
      </c>
      <c r="E2693" s="18" t="str">
        <f t="shared" ref="E2693:E2756" si="127">IF(B2693="","",ABS(C2693-D2693))</f>
        <v/>
      </c>
      <c r="F2693" s="17" t="str">
        <f t="shared" ref="F2693:F2756" si="128">IF(B2693="","",E2693^2)</f>
        <v/>
      </c>
    </row>
    <row r="2694" spans="2:6" x14ac:dyDescent="0.2">
      <c r="B2694" s="12"/>
      <c r="C2694" s="12"/>
      <c r="D2694" s="17" t="str">
        <f t="shared" si="126"/>
        <v/>
      </c>
      <c r="E2694" s="18" t="str">
        <f t="shared" si="127"/>
        <v/>
      </c>
      <c r="F2694" s="17" t="str">
        <f t="shared" si="128"/>
        <v/>
      </c>
    </row>
    <row r="2695" spans="2:6" x14ac:dyDescent="0.2">
      <c r="B2695" s="12"/>
      <c r="C2695" s="12"/>
      <c r="D2695" s="17" t="str">
        <f t="shared" si="126"/>
        <v/>
      </c>
      <c r="E2695" s="18" t="str">
        <f t="shared" si="127"/>
        <v/>
      </c>
      <c r="F2695" s="17" t="str">
        <f t="shared" si="128"/>
        <v/>
      </c>
    </row>
    <row r="2696" spans="2:6" x14ac:dyDescent="0.2">
      <c r="B2696" s="12"/>
      <c r="C2696" s="12"/>
      <c r="D2696" s="17" t="str">
        <f t="shared" si="126"/>
        <v/>
      </c>
      <c r="E2696" s="18" t="str">
        <f t="shared" si="127"/>
        <v/>
      </c>
      <c r="F2696" s="17" t="str">
        <f t="shared" si="128"/>
        <v/>
      </c>
    </row>
    <row r="2697" spans="2:6" x14ac:dyDescent="0.2">
      <c r="B2697" s="12"/>
      <c r="C2697" s="12"/>
      <c r="D2697" s="17" t="str">
        <f t="shared" si="126"/>
        <v/>
      </c>
      <c r="E2697" s="18" t="str">
        <f t="shared" si="127"/>
        <v/>
      </c>
      <c r="F2697" s="17" t="str">
        <f t="shared" si="128"/>
        <v/>
      </c>
    </row>
    <row r="2698" spans="2:6" x14ac:dyDescent="0.2">
      <c r="B2698" s="12"/>
      <c r="C2698" s="12"/>
      <c r="D2698" s="17" t="str">
        <f t="shared" si="126"/>
        <v/>
      </c>
      <c r="E2698" s="18" t="str">
        <f t="shared" si="127"/>
        <v/>
      </c>
      <c r="F2698" s="17" t="str">
        <f t="shared" si="128"/>
        <v/>
      </c>
    </row>
    <row r="2699" spans="2:6" x14ac:dyDescent="0.2">
      <c r="B2699" s="12"/>
      <c r="C2699" s="12"/>
      <c r="D2699" s="17" t="str">
        <f t="shared" si="126"/>
        <v/>
      </c>
      <c r="E2699" s="18" t="str">
        <f t="shared" si="127"/>
        <v/>
      </c>
      <c r="F2699" s="17" t="str">
        <f t="shared" si="128"/>
        <v/>
      </c>
    </row>
    <row r="2700" spans="2:6" x14ac:dyDescent="0.2">
      <c r="B2700" s="12"/>
      <c r="C2700" s="12"/>
      <c r="D2700" s="17" t="str">
        <f t="shared" si="126"/>
        <v/>
      </c>
      <c r="E2700" s="18" t="str">
        <f t="shared" si="127"/>
        <v/>
      </c>
      <c r="F2700" s="17" t="str">
        <f t="shared" si="128"/>
        <v/>
      </c>
    </row>
    <row r="2701" spans="2:6" x14ac:dyDescent="0.2">
      <c r="B2701" s="12"/>
      <c r="C2701" s="12"/>
      <c r="D2701" s="17" t="str">
        <f t="shared" si="126"/>
        <v/>
      </c>
      <c r="E2701" s="18" t="str">
        <f t="shared" si="127"/>
        <v/>
      </c>
      <c r="F2701" s="17" t="str">
        <f t="shared" si="128"/>
        <v/>
      </c>
    </row>
    <row r="2702" spans="2:6" x14ac:dyDescent="0.2">
      <c r="B2702" s="12"/>
      <c r="C2702" s="12"/>
      <c r="D2702" s="17" t="str">
        <f t="shared" si="126"/>
        <v/>
      </c>
      <c r="E2702" s="18" t="str">
        <f t="shared" si="127"/>
        <v/>
      </c>
      <c r="F2702" s="17" t="str">
        <f t="shared" si="128"/>
        <v/>
      </c>
    </row>
    <row r="2703" spans="2:6" x14ac:dyDescent="0.2">
      <c r="B2703" s="12"/>
      <c r="C2703" s="12"/>
      <c r="D2703" s="17" t="str">
        <f t="shared" si="126"/>
        <v/>
      </c>
      <c r="E2703" s="18" t="str">
        <f t="shared" si="127"/>
        <v/>
      </c>
      <c r="F2703" s="17" t="str">
        <f t="shared" si="128"/>
        <v/>
      </c>
    </row>
    <row r="2704" spans="2:6" x14ac:dyDescent="0.2">
      <c r="B2704" s="12"/>
      <c r="C2704" s="12"/>
      <c r="D2704" s="17" t="str">
        <f t="shared" si="126"/>
        <v/>
      </c>
      <c r="E2704" s="18" t="str">
        <f t="shared" si="127"/>
        <v/>
      </c>
      <c r="F2704" s="17" t="str">
        <f t="shared" si="128"/>
        <v/>
      </c>
    </row>
    <row r="2705" spans="2:6" x14ac:dyDescent="0.2">
      <c r="B2705" s="12"/>
      <c r="C2705" s="12"/>
      <c r="D2705" s="17" t="str">
        <f t="shared" si="126"/>
        <v/>
      </c>
      <c r="E2705" s="18" t="str">
        <f t="shared" si="127"/>
        <v/>
      </c>
      <c r="F2705" s="17" t="str">
        <f t="shared" si="128"/>
        <v/>
      </c>
    </row>
    <row r="2706" spans="2:6" x14ac:dyDescent="0.2">
      <c r="B2706" s="12"/>
      <c r="C2706" s="12"/>
      <c r="D2706" s="17" t="str">
        <f t="shared" ref="D2706:D2769" si="129">IF(B2706="","",a+b*B2706)</f>
        <v/>
      </c>
      <c r="E2706" s="18" t="str">
        <f t="shared" si="127"/>
        <v/>
      </c>
      <c r="F2706" s="17" t="str">
        <f t="shared" si="128"/>
        <v/>
      </c>
    </row>
    <row r="2707" spans="2:6" x14ac:dyDescent="0.2">
      <c r="B2707" s="12"/>
      <c r="C2707" s="12"/>
      <c r="D2707" s="17" t="str">
        <f t="shared" si="129"/>
        <v/>
      </c>
      <c r="E2707" s="18" t="str">
        <f t="shared" si="127"/>
        <v/>
      </c>
      <c r="F2707" s="17" t="str">
        <f t="shared" si="128"/>
        <v/>
      </c>
    </row>
    <row r="2708" spans="2:6" x14ac:dyDescent="0.2">
      <c r="B2708" s="12"/>
      <c r="C2708" s="12"/>
      <c r="D2708" s="17" t="str">
        <f t="shared" si="129"/>
        <v/>
      </c>
      <c r="E2708" s="18" t="str">
        <f t="shared" si="127"/>
        <v/>
      </c>
      <c r="F2708" s="17" t="str">
        <f t="shared" si="128"/>
        <v/>
      </c>
    </row>
    <row r="2709" spans="2:6" x14ac:dyDescent="0.2">
      <c r="B2709" s="12"/>
      <c r="C2709" s="12"/>
      <c r="D2709" s="17" t="str">
        <f t="shared" si="129"/>
        <v/>
      </c>
      <c r="E2709" s="18" t="str">
        <f t="shared" si="127"/>
        <v/>
      </c>
      <c r="F2709" s="17" t="str">
        <f t="shared" si="128"/>
        <v/>
      </c>
    </row>
    <row r="2710" spans="2:6" x14ac:dyDescent="0.2">
      <c r="B2710" s="12"/>
      <c r="C2710" s="12"/>
      <c r="D2710" s="17" t="str">
        <f t="shared" si="129"/>
        <v/>
      </c>
      <c r="E2710" s="18" t="str">
        <f t="shared" si="127"/>
        <v/>
      </c>
      <c r="F2710" s="17" t="str">
        <f t="shared" si="128"/>
        <v/>
      </c>
    </row>
    <row r="2711" spans="2:6" x14ac:dyDescent="0.2">
      <c r="B2711" s="12"/>
      <c r="C2711" s="12"/>
      <c r="D2711" s="17" t="str">
        <f t="shared" si="129"/>
        <v/>
      </c>
      <c r="E2711" s="18" t="str">
        <f t="shared" si="127"/>
        <v/>
      </c>
      <c r="F2711" s="17" t="str">
        <f t="shared" si="128"/>
        <v/>
      </c>
    </row>
    <row r="2712" spans="2:6" x14ac:dyDescent="0.2">
      <c r="B2712" s="12"/>
      <c r="C2712" s="12"/>
      <c r="D2712" s="17" t="str">
        <f t="shared" si="129"/>
        <v/>
      </c>
      <c r="E2712" s="18" t="str">
        <f t="shared" si="127"/>
        <v/>
      </c>
      <c r="F2712" s="17" t="str">
        <f t="shared" si="128"/>
        <v/>
      </c>
    </row>
    <row r="2713" spans="2:6" x14ac:dyDescent="0.2">
      <c r="B2713" s="12"/>
      <c r="C2713" s="12"/>
      <c r="D2713" s="17" t="str">
        <f t="shared" si="129"/>
        <v/>
      </c>
      <c r="E2713" s="18" t="str">
        <f t="shared" si="127"/>
        <v/>
      </c>
      <c r="F2713" s="17" t="str">
        <f t="shared" si="128"/>
        <v/>
      </c>
    </row>
    <row r="2714" spans="2:6" x14ac:dyDescent="0.2">
      <c r="B2714" s="12"/>
      <c r="C2714" s="12"/>
      <c r="D2714" s="17" t="str">
        <f t="shared" si="129"/>
        <v/>
      </c>
      <c r="E2714" s="18" t="str">
        <f t="shared" si="127"/>
        <v/>
      </c>
      <c r="F2714" s="17" t="str">
        <f t="shared" si="128"/>
        <v/>
      </c>
    </row>
    <row r="2715" spans="2:6" x14ac:dyDescent="0.2">
      <c r="B2715" s="12"/>
      <c r="C2715" s="12"/>
      <c r="D2715" s="17" t="str">
        <f t="shared" si="129"/>
        <v/>
      </c>
      <c r="E2715" s="18" t="str">
        <f t="shared" si="127"/>
        <v/>
      </c>
      <c r="F2715" s="17" t="str">
        <f t="shared" si="128"/>
        <v/>
      </c>
    </row>
    <row r="2716" spans="2:6" x14ac:dyDescent="0.2">
      <c r="B2716" s="12"/>
      <c r="C2716" s="12"/>
      <c r="D2716" s="17" t="str">
        <f t="shared" si="129"/>
        <v/>
      </c>
      <c r="E2716" s="18" t="str">
        <f t="shared" si="127"/>
        <v/>
      </c>
      <c r="F2716" s="17" t="str">
        <f t="shared" si="128"/>
        <v/>
      </c>
    </row>
    <row r="2717" spans="2:6" x14ac:dyDescent="0.2">
      <c r="B2717" s="12"/>
      <c r="C2717" s="12"/>
      <c r="D2717" s="17" t="str">
        <f t="shared" si="129"/>
        <v/>
      </c>
      <c r="E2717" s="18" t="str">
        <f t="shared" si="127"/>
        <v/>
      </c>
      <c r="F2717" s="17" t="str">
        <f t="shared" si="128"/>
        <v/>
      </c>
    </row>
    <row r="2718" spans="2:6" x14ac:dyDescent="0.2">
      <c r="B2718" s="12"/>
      <c r="C2718" s="12"/>
      <c r="D2718" s="17" t="str">
        <f t="shared" si="129"/>
        <v/>
      </c>
      <c r="E2718" s="18" t="str">
        <f t="shared" si="127"/>
        <v/>
      </c>
      <c r="F2718" s="17" t="str">
        <f t="shared" si="128"/>
        <v/>
      </c>
    </row>
    <row r="2719" spans="2:6" x14ac:dyDescent="0.2">
      <c r="B2719" s="12"/>
      <c r="C2719" s="12"/>
      <c r="D2719" s="17" t="str">
        <f t="shared" si="129"/>
        <v/>
      </c>
      <c r="E2719" s="18" t="str">
        <f t="shared" si="127"/>
        <v/>
      </c>
      <c r="F2719" s="17" t="str">
        <f t="shared" si="128"/>
        <v/>
      </c>
    </row>
    <row r="2720" spans="2:6" x14ac:dyDescent="0.2">
      <c r="B2720" s="12"/>
      <c r="C2720" s="12"/>
      <c r="D2720" s="17" t="str">
        <f t="shared" si="129"/>
        <v/>
      </c>
      <c r="E2720" s="18" t="str">
        <f t="shared" si="127"/>
        <v/>
      </c>
      <c r="F2720" s="17" t="str">
        <f t="shared" si="128"/>
        <v/>
      </c>
    </row>
    <row r="2721" spans="2:6" x14ac:dyDescent="0.2">
      <c r="B2721" s="12"/>
      <c r="C2721" s="12"/>
      <c r="D2721" s="17" t="str">
        <f t="shared" si="129"/>
        <v/>
      </c>
      <c r="E2721" s="18" t="str">
        <f t="shared" si="127"/>
        <v/>
      </c>
      <c r="F2721" s="17" t="str">
        <f t="shared" si="128"/>
        <v/>
      </c>
    </row>
    <row r="2722" spans="2:6" x14ac:dyDescent="0.2">
      <c r="B2722" s="12"/>
      <c r="C2722" s="12"/>
      <c r="D2722" s="17" t="str">
        <f t="shared" si="129"/>
        <v/>
      </c>
      <c r="E2722" s="18" t="str">
        <f t="shared" si="127"/>
        <v/>
      </c>
      <c r="F2722" s="17" t="str">
        <f t="shared" si="128"/>
        <v/>
      </c>
    </row>
    <row r="2723" spans="2:6" x14ac:dyDescent="0.2">
      <c r="B2723" s="12"/>
      <c r="C2723" s="12"/>
      <c r="D2723" s="17" t="str">
        <f t="shared" si="129"/>
        <v/>
      </c>
      <c r="E2723" s="18" t="str">
        <f t="shared" si="127"/>
        <v/>
      </c>
      <c r="F2723" s="17" t="str">
        <f t="shared" si="128"/>
        <v/>
      </c>
    </row>
    <row r="2724" spans="2:6" x14ac:dyDescent="0.2">
      <c r="B2724" s="12"/>
      <c r="C2724" s="12"/>
      <c r="D2724" s="17" t="str">
        <f t="shared" si="129"/>
        <v/>
      </c>
      <c r="E2724" s="18" t="str">
        <f t="shared" si="127"/>
        <v/>
      </c>
      <c r="F2724" s="17" t="str">
        <f t="shared" si="128"/>
        <v/>
      </c>
    </row>
    <row r="2725" spans="2:6" x14ac:dyDescent="0.2">
      <c r="B2725" s="12"/>
      <c r="C2725" s="12"/>
      <c r="D2725" s="17" t="str">
        <f t="shared" si="129"/>
        <v/>
      </c>
      <c r="E2725" s="18" t="str">
        <f t="shared" si="127"/>
        <v/>
      </c>
      <c r="F2725" s="17" t="str">
        <f t="shared" si="128"/>
        <v/>
      </c>
    </row>
    <row r="2726" spans="2:6" x14ac:dyDescent="0.2">
      <c r="B2726" s="12"/>
      <c r="C2726" s="12"/>
      <c r="D2726" s="17" t="str">
        <f t="shared" si="129"/>
        <v/>
      </c>
      <c r="E2726" s="18" t="str">
        <f t="shared" si="127"/>
        <v/>
      </c>
      <c r="F2726" s="17" t="str">
        <f t="shared" si="128"/>
        <v/>
      </c>
    </row>
    <row r="2727" spans="2:6" x14ac:dyDescent="0.2">
      <c r="B2727" s="12"/>
      <c r="C2727" s="12"/>
      <c r="D2727" s="17" t="str">
        <f t="shared" si="129"/>
        <v/>
      </c>
      <c r="E2727" s="18" t="str">
        <f t="shared" si="127"/>
        <v/>
      </c>
      <c r="F2727" s="17" t="str">
        <f t="shared" si="128"/>
        <v/>
      </c>
    </row>
    <row r="2728" spans="2:6" x14ac:dyDescent="0.2">
      <c r="B2728" s="12"/>
      <c r="C2728" s="12"/>
      <c r="D2728" s="17" t="str">
        <f t="shared" si="129"/>
        <v/>
      </c>
      <c r="E2728" s="18" t="str">
        <f t="shared" si="127"/>
        <v/>
      </c>
      <c r="F2728" s="17" t="str">
        <f t="shared" si="128"/>
        <v/>
      </c>
    </row>
    <row r="2729" spans="2:6" x14ac:dyDescent="0.2">
      <c r="B2729" s="12"/>
      <c r="C2729" s="12"/>
      <c r="D2729" s="17" t="str">
        <f t="shared" si="129"/>
        <v/>
      </c>
      <c r="E2729" s="18" t="str">
        <f t="shared" si="127"/>
        <v/>
      </c>
      <c r="F2729" s="17" t="str">
        <f t="shared" si="128"/>
        <v/>
      </c>
    </row>
    <row r="2730" spans="2:6" x14ac:dyDescent="0.2">
      <c r="B2730" s="12"/>
      <c r="C2730" s="12"/>
      <c r="D2730" s="17" t="str">
        <f t="shared" si="129"/>
        <v/>
      </c>
      <c r="E2730" s="18" t="str">
        <f t="shared" si="127"/>
        <v/>
      </c>
      <c r="F2730" s="17" t="str">
        <f t="shared" si="128"/>
        <v/>
      </c>
    </row>
    <row r="2731" spans="2:6" x14ac:dyDescent="0.2">
      <c r="B2731" s="12"/>
      <c r="C2731" s="12"/>
      <c r="D2731" s="17" t="str">
        <f t="shared" si="129"/>
        <v/>
      </c>
      <c r="E2731" s="18" t="str">
        <f t="shared" si="127"/>
        <v/>
      </c>
      <c r="F2731" s="17" t="str">
        <f t="shared" si="128"/>
        <v/>
      </c>
    </row>
    <row r="2732" spans="2:6" x14ac:dyDescent="0.2">
      <c r="B2732" s="12"/>
      <c r="C2732" s="12"/>
      <c r="D2732" s="17" t="str">
        <f t="shared" si="129"/>
        <v/>
      </c>
      <c r="E2732" s="18" t="str">
        <f t="shared" si="127"/>
        <v/>
      </c>
      <c r="F2732" s="17" t="str">
        <f t="shared" si="128"/>
        <v/>
      </c>
    </row>
    <row r="2733" spans="2:6" x14ac:dyDescent="0.2">
      <c r="B2733" s="12"/>
      <c r="C2733" s="12"/>
      <c r="D2733" s="17" t="str">
        <f t="shared" si="129"/>
        <v/>
      </c>
      <c r="E2733" s="18" t="str">
        <f t="shared" si="127"/>
        <v/>
      </c>
      <c r="F2733" s="17" t="str">
        <f t="shared" si="128"/>
        <v/>
      </c>
    </row>
    <row r="2734" spans="2:6" x14ac:dyDescent="0.2">
      <c r="B2734" s="12"/>
      <c r="C2734" s="12"/>
      <c r="D2734" s="17" t="str">
        <f t="shared" si="129"/>
        <v/>
      </c>
      <c r="E2734" s="18" t="str">
        <f t="shared" si="127"/>
        <v/>
      </c>
      <c r="F2734" s="17" t="str">
        <f t="shared" si="128"/>
        <v/>
      </c>
    </row>
    <row r="2735" spans="2:6" x14ac:dyDescent="0.2">
      <c r="B2735" s="12"/>
      <c r="C2735" s="12"/>
      <c r="D2735" s="17" t="str">
        <f t="shared" si="129"/>
        <v/>
      </c>
      <c r="E2735" s="18" t="str">
        <f t="shared" si="127"/>
        <v/>
      </c>
      <c r="F2735" s="17" t="str">
        <f t="shared" si="128"/>
        <v/>
      </c>
    </row>
    <row r="2736" spans="2:6" x14ac:dyDescent="0.2">
      <c r="B2736" s="12"/>
      <c r="C2736" s="12"/>
      <c r="D2736" s="17" t="str">
        <f t="shared" si="129"/>
        <v/>
      </c>
      <c r="E2736" s="18" t="str">
        <f t="shared" si="127"/>
        <v/>
      </c>
      <c r="F2736" s="17" t="str">
        <f t="shared" si="128"/>
        <v/>
      </c>
    </row>
    <row r="2737" spans="2:6" x14ac:dyDescent="0.2">
      <c r="B2737" s="12"/>
      <c r="C2737" s="12"/>
      <c r="D2737" s="17" t="str">
        <f t="shared" si="129"/>
        <v/>
      </c>
      <c r="E2737" s="18" t="str">
        <f t="shared" si="127"/>
        <v/>
      </c>
      <c r="F2737" s="17" t="str">
        <f t="shared" si="128"/>
        <v/>
      </c>
    </row>
    <row r="2738" spans="2:6" x14ac:dyDescent="0.2">
      <c r="B2738" s="12"/>
      <c r="C2738" s="12"/>
      <c r="D2738" s="17" t="str">
        <f t="shared" si="129"/>
        <v/>
      </c>
      <c r="E2738" s="18" t="str">
        <f t="shared" si="127"/>
        <v/>
      </c>
      <c r="F2738" s="17" t="str">
        <f t="shared" si="128"/>
        <v/>
      </c>
    </row>
    <row r="2739" spans="2:6" x14ac:dyDescent="0.2">
      <c r="B2739" s="12"/>
      <c r="C2739" s="12"/>
      <c r="D2739" s="17" t="str">
        <f t="shared" si="129"/>
        <v/>
      </c>
      <c r="E2739" s="18" t="str">
        <f t="shared" si="127"/>
        <v/>
      </c>
      <c r="F2739" s="17" t="str">
        <f t="shared" si="128"/>
        <v/>
      </c>
    </row>
    <row r="2740" spans="2:6" x14ac:dyDescent="0.2">
      <c r="B2740" s="12"/>
      <c r="C2740" s="12"/>
      <c r="D2740" s="17" t="str">
        <f t="shared" si="129"/>
        <v/>
      </c>
      <c r="E2740" s="18" t="str">
        <f t="shared" si="127"/>
        <v/>
      </c>
      <c r="F2740" s="17" t="str">
        <f t="shared" si="128"/>
        <v/>
      </c>
    </row>
    <row r="2741" spans="2:6" x14ac:dyDescent="0.2">
      <c r="B2741" s="12"/>
      <c r="C2741" s="12"/>
      <c r="D2741" s="17" t="str">
        <f t="shared" si="129"/>
        <v/>
      </c>
      <c r="E2741" s="18" t="str">
        <f t="shared" si="127"/>
        <v/>
      </c>
      <c r="F2741" s="17" t="str">
        <f t="shared" si="128"/>
        <v/>
      </c>
    </row>
    <row r="2742" spans="2:6" x14ac:dyDescent="0.2">
      <c r="B2742" s="12"/>
      <c r="C2742" s="12"/>
      <c r="D2742" s="17" t="str">
        <f t="shared" si="129"/>
        <v/>
      </c>
      <c r="E2742" s="18" t="str">
        <f t="shared" si="127"/>
        <v/>
      </c>
      <c r="F2742" s="17" t="str">
        <f t="shared" si="128"/>
        <v/>
      </c>
    </row>
    <row r="2743" spans="2:6" x14ac:dyDescent="0.2">
      <c r="B2743" s="12"/>
      <c r="C2743" s="12"/>
      <c r="D2743" s="17" t="str">
        <f t="shared" si="129"/>
        <v/>
      </c>
      <c r="E2743" s="18" t="str">
        <f t="shared" si="127"/>
        <v/>
      </c>
      <c r="F2743" s="17" t="str">
        <f t="shared" si="128"/>
        <v/>
      </c>
    </row>
    <row r="2744" spans="2:6" x14ac:dyDescent="0.2">
      <c r="B2744" s="12"/>
      <c r="C2744" s="12"/>
      <c r="D2744" s="17" t="str">
        <f t="shared" si="129"/>
        <v/>
      </c>
      <c r="E2744" s="18" t="str">
        <f t="shared" si="127"/>
        <v/>
      </c>
      <c r="F2744" s="17" t="str">
        <f t="shared" si="128"/>
        <v/>
      </c>
    </row>
    <row r="2745" spans="2:6" x14ac:dyDescent="0.2">
      <c r="B2745" s="12"/>
      <c r="C2745" s="12"/>
      <c r="D2745" s="17" t="str">
        <f t="shared" si="129"/>
        <v/>
      </c>
      <c r="E2745" s="18" t="str">
        <f t="shared" si="127"/>
        <v/>
      </c>
      <c r="F2745" s="17" t="str">
        <f t="shared" si="128"/>
        <v/>
      </c>
    </row>
    <row r="2746" spans="2:6" x14ac:dyDescent="0.2">
      <c r="B2746" s="12"/>
      <c r="C2746" s="12"/>
      <c r="D2746" s="17" t="str">
        <f t="shared" si="129"/>
        <v/>
      </c>
      <c r="E2746" s="18" t="str">
        <f t="shared" si="127"/>
        <v/>
      </c>
      <c r="F2746" s="17" t="str">
        <f t="shared" si="128"/>
        <v/>
      </c>
    </row>
    <row r="2747" spans="2:6" x14ac:dyDescent="0.2">
      <c r="B2747" s="12"/>
      <c r="C2747" s="12"/>
      <c r="D2747" s="17" t="str">
        <f t="shared" si="129"/>
        <v/>
      </c>
      <c r="E2747" s="18" t="str">
        <f t="shared" si="127"/>
        <v/>
      </c>
      <c r="F2747" s="17" t="str">
        <f t="shared" si="128"/>
        <v/>
      </c>
    </row>
    <row r="2748" spans="2:6" x14ac:dyDescent="0.2">
      <c r="B2748" s="12"/>
      <c r="C2748" s="12"/>
      <c r="D2748" s="17" t="str">
        <f t="shared" si="129"/>
        <v/>
      </c>
      <c r="E2748" s="18" t="str">
        <f t="shared" si="127"/>
        <v/>
      </c>
      <c r="F2748" s="17" t="str">
        <f t="shared" si="128"/>
        <v/>
      </c>
    </row>
    <row r="2749" spans="2:6" x14ac:dyDescent="0.2">
      <c r="B2749" s="12"/>
      <c r="C2749" s="12"/>
      <c r="D2749" s="17" t="str">
        <f t="shared" si="129"/>
        <v/>
      </c>
      <c r="E2749" s="18" t="str">
        <f t="shared" si="127"/>
        <v/>
      </c>
      <c r="F2749" s="17" t="str">
        <f t="shared" si="128"/>
        <v/>
      </c>
    </row>
    <row r="2750" spans="2:6" x14ac:dyDescent="0.2">
      <c r="B2750" s="12"/>
      <c r="C2750" s="12"/>
      <c r="D2750" s="17" t="str">
        <f t="shared" si="129"/>
        <v/>
      </c>
      <c r="E2750" s="18" t="str">
        <f t="shared" si="127"/>
        <v/>
      </c>
      <c r="F2750" s="17" t="str">
        <f t="shared" si="128"/>
        <v/>
      </c>
    </row>
    <row r="2751" spans="2:6" x14ac:dyDescent="0.2">
      <c r="B2751" s="12"/>
      <c r="C2751" s="12"/>
      <c r="D2751" s="17" t="str">
        <f t="shared" si="129"/>
        <v/>
      </c>
      <c r="E2751" s="18" t="str">
        <f t="shared" si="127"/>
        <v/>
      </c>
      <c r="F2751" s="17" t="str">
        <f t="shared" si="128"/>
        <v/>
      </c>
    </row>
    <row r="2752" spans="2:6" x14ac:dyDescent="0.2">
      <c r="B2752" s="12"/>
      <c r="C2752" s="12"/>
      <c r="D2752" s="17" t="str">
        <f t="shared" si="129"/>
        <v/>
      </c>
      <c r="E2752" s="18" t="str">
        <f t="shared" si="127"/>
        <v/>
      </c>
      <c r="F2752" s="17" t="str">
        <f t="shared" si="128"/>
        <v/>
      </c>
    </row>
    <row r="2753" spans="2:6" x14ac:dyDescent="0.2">
      <c r="B2753" s="12"/>
      <c r="C2753" s="12"/>
      <c r="D2753" s="17" t="str">
        <f t="shared" si="129"/>
        <v/>
      </c>
      <c r="E2753" s="18" t="str">
        <f t="shared" si="127"/>
        <v/>
      </c>
      <c r="F2753" s="17" t="str">
        <f t="shared" si="128"/>
        <v/>
      </c>
    </row>
    <row r="2754" spans="2:6" x14ac:dyDescent="0.2">
      <c r="B2754" s="12"/>
      <c r="C2754" s="12"/>
      <c r="D2754" s="17" t="str">
        <f t="shared" si="129"/>
        <v/>
      </c>
      <c r="E2754" s="18" t="str">
        <f t="shared" si="127"/>
        <v/>
      </c>
      <c r="F2754" s="17" t="str">
        <f t="shared" si="128"/>
        <v/>
      </c>
    </row>
    <row r="2755" spans="2:6" x14ac:dyDescent="0.2">
      <c r="B2755" s="12"/>
      <c r="C2755" s="12"/>
      <c r="D2755" s="17" t="str">
        <f t="shared" si="129"/>
        <v/>
      </c>
      <c r="E2755" s="18" t="str">
        <f t="shared" si="127"/>
        <v/>
      </c>
      <c r="F2755" s="17" t="str">
        <f t="shared" si="128"/>
        <v/>
      </c>
    </row>
    <row r="2756" spans="2:6" x14ac:dyDescent="0.2">
      <c r="B2756" s="12"/>
      <c r="C2756" s="12"/>
      <c r="D2756" s="17" t="str">
        <f t="shared" si="129"/>
        <v/>
      </c>
      <c r="E2756" s="18" t="str">
        <f t="shared" si="127"/>
        <v/>
      </c>
      <c r="F2756" s="17" t="str">
        <f t="shared" si="128"/>
        <v/>
      </c>
    </row>
    <row r="2757" spans="2:6" x14ac:dyDescent="0.2">
      <c r="B2757" s="12"/>
      <c r="C2757" s="12"/>
      <c r="D2757" s="17" t="str">
        <f t="shared" si="129"/>
        <v/>
      </c>
      <c r="E2757" s="18" t="str">
        <f t="shared" ref="E2757:E2820" si="130">IF(B2757="","",ABS(C2757-D2757))</f>
        <v/>
      </c>
      <c r="F2757" s="17" t="str">
        <f t="shared" ref="F2757:F2820" si="131">IF(B2757="","",E2757^2)</f>
        <v/>
      </c>
    </row>
    <row r="2758" spans="2:6" x14ac:dyDescent="0.2">
      <c r="B2758" s="12"/>
      <c r="C2758" s="12"/>
      <c r="D2758" s="17" t="str">
        <f t="shared" si="129"/>
        <v/>
      </c>
      <c r="E2758" s="18" t="str">
        <f t="shared" si="130"/>
        <v/>
      </c>
      <c r="F2758" s="17" t="str">
        <f t="shared" si="131"/>
        <v/>
      </c>
    </row>
    <row r="2759" spans="2:6" x14ac:dyDescent="0.2">
      <c r="B2759" s="12"/>
      <c r="C2759" s="12"/>
      <c r="D2759" s="17" t="str">
        <f t="shared" si="129"/>
        <v/>
      </c>
      <c r="E2759" s="18" t="str">
        <f t="shared" si="130"/>
        <v/>
      </c>
      <c r="F2759" s="17" t="str">
        <f t="shared" si="131"/>
        <v/>
      </c>
    </row>
    <row r="2760" spans="2:6" x14ac:dyDescent="0.2">
      <c r="B2760" s="12"/>
      <c r="C2760" s="12"/>
      <c r="D2760" s="17" t="str">
        <f t="shared" si="129"/>
        <v/>
      </c>
      <c r="E2760" s="18" t="str">
        <f t="shared" si="130"/>
        <v/>
      </c>
      <c r="F2760" s="17" t="str">
        <f t="shared" si="131"/>
        <v/>
      </c>
    </row>
    <row r="2761" spans="2:6" x14ac:dyDescent="0.2">
      <c r="B2761" s="12"/>
      <c r="C2761" s="12"/>
      <c r="D2761" s="17" t="str">
        <f t="shared" si="129"/>
        <v/>
      </c>
      <c r="E2761" s="18" t="str">
        <f t="shared" si="130"/>
        <v/>
      </c>
      <c r="F2761" s="17" t="str">
        <f t="shared" si="131"/>
        <v/>
      </c>
    </row>
    <row r="2762" spans="2:6" x14ac:dyDescent="0.2">
      <c r="B2762" s="12"/>
      <c r="C2762" s="12"/>
      <c r="D2762" s="17" t="str">
        <f t="shared" si="129"/>
        <v/>
      </c>
      <c r="E2762" s="18" t="str">
        <f t="shared" si="130"/>
        <v/>
      </c>
      <c r="F2762" s="17" t="str">
        <f t="shared" si="131"/>
        <v/>
      </c>
    </row>
    <row r="2763" spans="2:6" x14ac:dyDescent="0.2">
      <c r="B2763" s="12"/>
      <c r="C2763" s="12"/>
      <c r="D2763" s="17" t="str">
        <f t="shared" si="129"/>
        <v/>
      </c>
      <c r="E2763" s="18" t="str">
        <f t="shared" si="130"/>
        <v/>
      </c>
      <c r="F2763" s="17" t="str">
        <f t="shared" si="131"/>
        <v/>
      </c>
    </row>
    <row r="2764" spans="2:6" x14ac:dyDescent="0.2">
      <c r="B2764" s="12"/>
      <c r="C2764" s="12"/>
      <c r="D2764" s="17" t="str">
        <f t="shared" si="129"/>
        <v/>
      </c>
      <c r="E2764" s="18" t="str">
        <f t="shared" si="130"/>
        <v/>
      </c>
      <c r="F2764" s="17" t="str">
        <f t="shared" si="131"/>
        <v/>
      </c>
    </row>
    <row r="2765" spans="2:6" x14ac:dyDescent="0.2">
      <c r="B2765" s="12"/>
      <c r="C2765" s="12"/>
      <c r="D2765" s="17" t="str">
        <f t="shared" si="129"/>
        <v/>
      </c>
      <c r="E2765" s="18" t="str">
        <f t="shared" si="130"/>
        <v/>
      </c>
      <c r="F2765" s="17" t="str">
        <f t="shared" si="131"/>
        <v/>
      </c>
    </row>
    <row r="2766" spans="2:6" x14ac:dyDescent="0.2">
      <c r="B2766" s="12"/>
      <c r="C2766" s="12"/>
      <c r="D2766" s="17" t="str">
        <f t="shared" si="129"/>
        <v/>
      </c>
      <c r="E2766" s="18" t="str">
        <f t="shared" si="130"/>
        <v/>
      </c>
      <c r="F2766" s="17" t="str">
        <f t="shared" si="131"/>
        <v/>
      </c>
    </row>
    <row r="2767" spans="2:6" x14ac:dyDescent="0.2">
      <c r="B2767" s="12"/>
      <c r="C2767" s="12"/>
      <c r="D2767" s="17" t="str">
        <f t="shared" si="129"/>
        <v/>
      </c>
      <c r="E2767" s="18" t="str">
        <f t="shared" si="130"/>
        <v/>
      </c>
      <c r="F2767" s="17" t="str">
        <f t="shared" si="131"/>
        <v/>
      </c>
    </row>
    <row r="2768" spans="2:6" x14ac:dyDescent="0.2">
      <c r="B2768" s="12"/>
      <c r="C2768" s="12"/>
      <c r="D2768" s="17" t="str">
        <f t="shared" si="129"/>
        <v/>
      </c>
      <c r="E2768" s="18" t="str">
        <f t="shared" si="130"/>
        <v/>
      </c>
      <c r="F2768" s="17" t="str">
        <f t="shared" si="131"/>
        <v/>
      </c>
    </row>
    <row r="2769" spans="2:6" x14ac:dyDescent="0.2">
      <c r="B2769" s="12"/>
      <c r="C2769" s="12"/>
      <c r="D2769" s="17" t="str">
        <f t="shared" si="129"/>
        <v/>
      </c>
      <c r="E2769" s="18" t="str">
        <f t="shared" si="130"/>
        <v/>
      </c>
      <c r="F2769" s="17" t="str">
        <f t="shared" si="131"/>
        <v/>
      </c>
    </row>
    <row r="2770" spans="2:6" x14ac:dyDescent="0.2">
      <c r="B2770" s="12"/>
      <c r="C2770" s="12"/>
      <c r="D2770" s="17" t="str">
        <f t="shared" ref="D2770:D2833" si="132">IF(B2770="","",a+b*B2770)</f>
        <v/>
      </c>
      <c r="E2770" s="18" t="str">
        <f t="shared" si="130"/>
        <v/>
      </c>
      <c r="F2770" s="17" t="str">
        <f t="shared" si="131"/>
        <v/>
      </c>
    </row>
    <row r="2771" spans="2:6" x14ac:dyDescent="0.2">
      <c r="B2771" s="12"/>
      <c r="C2771" s="12"/>
      <c r="D2771" s="17" t="str">
        <f t="shared" si="132"/>
        <v/>
      </c>
      <c r="E2771" s="18" t="str">
        <f t="shared" si="130"/>
        <v/>
      </c>
      <c r="F2771" s="17" t="str">
        <f t="shared" si="131"/>
        <v/>
      </c>
    </row>
    <row r="2772" spans="2:6" x14ac:dyDescent="0.2">
      <c r="B2772" s="12"/>
      <c r="C2772" s="12"/>
      <c r="D2772" s="17" t="str">
        <f t="shared" si="132"/>
        <v/>
      </c>
      <c r="E2772" s="18" t="str">
        <f t="shared" si="130"/>
        <v/>
      </c>
      <c r="F2772" s="17" t="str">
        <f t="shared" si="131"/>
        <v/>
      </c>
    </row>
    <row r="2773" spans="2:6" x14ac:dyDescent="0.2">
      <c r="B2773" s="12"/>
      <c r="C2773" s="12"/>
      <c r="D2773" s="17" t="str">
        <f t="shared" si="132"/>
        <v/>
      </c>
      <c r="E2773" s="18" t="str">
        <f t="shared" si="130"/>
        <v/>
      </c>
      <c r="F2773" s="17" t="str">
        <f t="shared" si="131"/>
        <v/>
      </c>
    </row>
    <row r="2774" spans="2:6" x14ac:dyDescent="0.2">
      <c r="B2774" s="12"/>
      <c r="C2774" s="12"/>
      <c r="D2774" s="17" t="str">
        <f t="shared" si="132"/>
        <v/>
      </c>
      <c r="E2774" s="18" t="str">
        <f t="shared" si="130"/>
        <v/>
      </c>
      <c r="F2774" s="17" t="str">
        <f t="shared" si="131"/>
        <v/>
      </c>
    </row>
    <row r="2775" spans="2:6" x14ac:dyDescent="0.2">
      <c r="B2775" s="12"/>
      <c r="C2775" s="12"/>
      <c r="D2775" s="17" t="str">
        <f t="shared" si="132"/>
        <v/>
      </c>
      <c r="E2775" s="18" t="str">
        <f t="shared" si="130"/>
        <v/>
      </c>
      <c r="F2775" s="17" t="str">
        <f t="shared" si="131"/>
        <v/>
      </c>
    </row>
    <row r="2776" spans="2:6" x14ac:dyDescent="0.2">
      <c r="B2776" s="12"/>
      <c r="C2776" s="12"/>
      <c r="D2776" s="17" t="str">
        <f t="shared" si="132"/>
        <v/>
      </c>
      <c r="E2776" s="18" t="str">
        <f t="shared" si="130"/>
        <v/>
      </c>
      <c r="F2776" s="17" t="str">
        <f t="shared" si="131"/>
        <v/>
      </c>
    </row>
    <row r="2777" spans="2:6" x14ac:dyDescent="0.2">
      <c r="B2777" s="12"/>
      <c r="C2777" s="12"/>
      <c r="D2777" s="17" t="str">
        <f t="shared" si="132"/>
        <v/>
      </c>
      <c r="E2777" s="18" t="str">
        <f t="shared" si="130"/>
        <v/>
      </c>
      <c r="F2777" s="17" t="str">
        <f t="shared" si="131"/>
        <v/>
      </c>
    </row>
    <row r="2778" spans="2:6" x14ac:dyDescent="0.2">
      <c r="B2778" s="12"/>
      <c r="C2778" s="12"/>
      <c r="D2778" s="17" t="str">
        <f t="shared" si="132"/>
        <v/>
      </c>
      <c r="E2778" s="18" t="str">
        <f t="shared" si="130"/>
        <v/>
      </c>
      <c r="F2778" s="17" t="str">
        <f t="shared" si="131"/>
        <v/>
      </c>
    </row>
    <row r="2779" spans="2:6" x14ac:dyDescent="0.2">
      <c r="B2779" s="12"/>
      <c r="C2779" s="12"/>
      <c r="D2779" s="17" t="str">
        <f t="shared" si="132"/>
        <v/>
      </c>
      <c r="E2779" s="18" t="str">
        <f t="shared" si="130"/>
        <v/>
      </c>
      <c r="F2779" s="17" t="str">
        <f t="shared" si="131"/>
        <v/>
      </c>
    </row>
    <row r="2780" spans="2:6" x14ac:dyDescent="0.2">
      <c r="B2780" s="12"/>
      <c r="C2780" s="12"/>
      <c r="D2780" s="17" t="str">
        <f t="shared" si="132"/>
        <v/>
      </c>
      <c r="E2780" s="18" t="str">
        <f t="shared" si="130"/>
        <v/>
      </c>
      <c r="F2780" s="17" t="str">
        <f t="shared" si="131"/>
        <v/>
      </c>
    </row>
    <row r="2781" spans="2:6" x14ac:dyDescent="0.2">
      <c r="B2781" s="12"/>
      <c r="C2781" s="12"/>
      <c r="D2781" s="17" t="str">
        <f t="shared" si="132"/>
        <v/>
      </c>
      <c r="E2781" s="18" t="str">
        <f t="shared" si="130"/>
        <v/>
      </c>
      <c r="F2781" s="17" t="str">
        <f t="shared" si="131"/>
        <v/>
      </c>
    </row>
    <row r="2782" spans="2:6" x14ac:dyDescent="0.2">
      <c r="B2782" s="12"/>
      <c r="C2782" s="12"/>
      <c r="D2782" s="17" t="str">
        <f t="shared" si="132"/>
        <v/>
      </c>
      <c r="E2782" s="18" t="str">
        <f t="shared" si="130"/>
        <v/>
      </c>
      <c r="F2782" s="17" t="str">
        <f t="shared" si="131"/>
        <v/>
      </c>
    </row>
    <row r="2783" spans="2:6" x14ac:dyDescent="0.2">
      <c r="B2783" s="12"/>
      <c r="C2783" s="12"/>
      <c r="D2783" s="17" t="str">
        <f t="shared" si="132"/>
        <v/>
      </c>
      <c r="E2783" s="18" t="str">
        <f t="shared" si="130"/>
        <v/>
      </c>
      <c r="F2783" s="17" t="str">
        <f t="shared" si="131"/>
        <v/>
      </c>
    </row>
    <row r="2784" spans="2:6" x14ac:dyDescent="0.2">
      <c r="B2784" s="12"/>
      <c r="C2784" s="12"/>
      <c r="D2784" s="17" t="str">
        <f t="shared" si="132"/>
        <v/>
      </c>
      <c r="E2784" s="18" t="str">
        <f t="shared" si="130"/>
        <v/>
      </c>
      <c r="F2784" s="17" t="str">
        <f t="shared" si="131"/>
        <v/>
      </c>
    </row>
    <row r="2785" spans="2:6" x14ac:dyDescent="0.2">
      <c r="B2785" s="12"/>
      <c r="C2785" s="12"/>
      <c r="D2785" s="17" t="str">
        <f t="shared" si="132"/>
        <v/>
      </c>
      <c r="E2785" s="18" t="str">
        <f t="shared" si="130"/>
        <v/>
      </c>
      <c r="F2785" s="17" t="str">
        <f t="shared" si="131"/>
        <v/>
      </c>
    </row>
    <row r="2786" spans="2:6" x14ac:dyDescent="0.2">
      <c r="B2786" s="12"/>
      <c r="C2786" s="12"/>
      <c r="D2786" s="17" t="str">
        <f t="shared" si="132"/>
        <v/>
      </c>
      <c r="E2786" s="18" t="str">
        <f t="shared" si="130"/>
        <v/>
      </c>
      <c r="F2786" s="17" t="str">
        <f t="shared" si="131"/>
        <v/>
      </c>
    </row>
    <row r="2787" spans="2:6" x14ac:dyDescent="0.2">
      <c r="B2787" s="12"/>
      <c r="C2787" s="12"/>
      <c r="D2787" s="17" t="str">
        <f t="shared" si="132"/>
        <v/>
      </c>
      <c r="E2787" s="18" t="str">
        <f t="shared" si="130"/>
        <v/>
      </c>
      <c r="F2787" s="17" t="str">
        <f t="shared" si="131"/>
        <v/>
      </c>
    </row>
    <row r="2788" spans="2:6" x14ac:dyDescent="0.2">
      <c r="B2788" s="12"/>
      <c r="C2788" s="12"/>
      <c r="D2788" s="17" t="str">
        <f t="shared" si="132"/>
        <v/>
      </c>
      <c r="E2788" s="18" t="str">
        <f t="shared" si="130"/>
        <v/>
      </c>
      <c r="F2788" s="17" t="str">
        <f t="shared" si="131"/>
        <v/>
      </c>
    </row>
    <row r="2789" spans="2:6" x14ac:dyDescent="0.2">
      <c r="B2789" s="12"/>
      <c r="C2789" s="12"/>
      <c r="D2789" s="17" t="str">
        <f t="shared" si="132"/>
        <v/>
      </c>
      <c r="E2789" s="18" t="str">
        <f t="shared" si="130"/>
        <v/>
      </c>
      <c r="F2789" s="17" t="str">
        <f t="shared" si="131"/>
        <v/>
      </c>
    </row>
    <row r="2790" spans="2:6" x14ac:dyDescent="0.2">
      <c r="B2790" s="12"/>
      <c r="C2790" s="12"/>
      <c r="D2790" s="17" t="str">
        <f t="shared" si="132"/>
        <v/>
      </c>
      <c r="E2790" s="18" t="str">
        <f t="shared" si="130"/>
        <v/>
      </c>
      <c r="F2790" s="17" t="str">
        <f t="shared" si="131"/>
        <v/>
      </c>
    </row>
    <row r="2791" spans="2:6" x14ac:dyDescent="0.2">
      <c r="B2791" s="12"/>
      <c r="C2791" s="12"/>
      <c r="D2791" s="17" t="str">
        <f t="shared" si="132"/>
        <v/>
      </c>
      <c r="E2791" s="18" t="str">
        <f t="shared" si="130"/>
        <v/>
      </c>
      <c r="F2791" s="17" t="str">
        <f t="shared" si="131"/>
        <v/>
      </c>
    </row>
    <row r="2792" spans="2:6" x14ac:dyDescent="0.2">
      <c r="B2792" s="12"/>
      <c r="C2792" s="12"/>
      <c r="D2792" s="17" t="str">
        <f t="shared" si="132"/>
        <v/>
      </c>
      <c r="E2792" s="18" t="str">
        <f t="shared" si="130"/>
        <v/>
      </c>
      <c r="F2792" s="17" t="str">
        <f t="shared" si="131"/>
        <v/>
      </c>
    </row>
    <row r="2793" spans="2:6" x14ac:dyDescent="0.2">
      <c r="B2793" s="12"/>
      <c r="C2793" s="12"/>
      <c r="D2793" s="17" t="str">
        <f t="shared" si="132"/>
        <v/>
      </c>
      <c r="E2793" s="18" t="str">
        <f t="shared" si="130"/>
        <v/>
      </c>
      <c r="F2793" s="17" t="str">
        <f t="shared" si="131"/>
        <v/>
      </c>
    </row>
    <row r="2794" spans="2:6" x14ac:dyDescent="0.2">
      <c r="B2794" s="12"/>
      <c r="C2794" s="12"/>
      <c r="D2794" s="17" t="str">
        <f t="shared" si="132"/>
        <v/>
      </c>
      <c r="E2794" s="18" t="str">
        <f t="shared" si="130"/>
        <v/>
      </c>
      <c r="F2794" s="17" t="str">
        <f t="shared" si="131"/>
        <v/>
      </c>
    </row>
    <row r="2795" spans="2:6" x14ac:dyDescent="0.2">
      <c r="B2795" s="12"/>
      <c r="C2795" s="12"/>
      <c r="D2795" s="17" t="str">
        <f t="shared" si="132"/>
        <v/>
      </c>
      <c r="E2795" s="18" t="str">
        <f t="shared" si="130"/>
        <v/>
      </c>
      <c r="F2795" s="17" t="str">
        <f t="shared" si="131"/>
        <v/>
      </c>
    </row>
    <row r="2796" spans="2:6" x14ac:dyDescent="0.2">
      <c r="B2796" s="12"/>
      <c r="C2796" s="12"/>
      <c r="D2796" s="17" t="str">
        <f t="shared" si="132"/>
        <v/>
      </c>
      <c r="E2796" s="18" t="str">
        <f t="shared" si="130"/>
        <v/>
      </c>
      <c r="F2796" s="17" t="str">
        <f t="shared" si="131"/>
        <v/>
      </c>
    </row>
    <row r="2797" spans="2:6" x14ac:dyDescent="0.2">
      <c r="B2797" s="12"/>
      <c r="C2797" s="12"/>
      <c r="D2797" s="17" t="str">
        <f t="shared" si="132"/>
        <v/>
      </c>
      <c r="E2797" s="18" t="str">
        <f t="shared" si="130"/>
        <v/>
      </c>
      <c r="F2797" s="17" t="str">
        <f t="shared" si="131"/>
        <v/>
      </c>
    </row>
    <row r="2798" spans="2:6" x14ac:dyDescent="0.2">
      <c r="B2798" s="12"/>
      <c r="C2798" s="12"/>
      <c r="D2798" s="17" t="str">
        <f t="shared" si="132"/>
        <v/>
      </c>
      <c r="E2798" s="18" t="str">
        <f t="shared" si="130"/>
        <v/>
      </c>
      <c r="F2798" s="17" t="str">
        <f t="shared" si="131"/>
        <v/>
      </c>
    </row>
    <row r="2799" spans="2:6" x14ac:dyDescent="0.2">
      <c r="B2799" s="12"/>
      <c r="C2799" s="12"/>
      <c r="D2799" s="17" t="str">
        <f t="shared" si="132"/>
        <v/>
      </c>
      <c r="E2799" s="18" t="str">
        <f t="shared" si="130"/>
        <v/>
      </c>
      <c r="F2799" s="17" t="str">
        <f t="shared" si="131"/>
        <v/>
      </c>
    </row>
    <row r="2800" spans="2:6" x14ac:dyDescent="0.2">
      <c r="B2800" s="12"/>
      <c r="C2800" s="12"/>
      <c r="D2800" s="17" t="str">
        <f t="shared" si="132"/>
        <v/>
      </c>
      <c r="E2800" s="18" t="str">
        <f t="shared" si="130"/>
        <v/>
      </c>
      <c r="F2800" s="17" t="str">
        <f t="shared" si="131"/>
        <v/>
      </c>
    </row>
    <row r="2801" spans="2:6" x14ac:dyDescent="0.2">
      <c r="B2801" s="12"/>
      <c r="C2801" s="12"/>
      <c r="D2801" s="17" t="str">
        <f t="shared" si="132"/>
        <v/>
      </c>
      <c r="E2801" s="18" t="str">
        <f t="shared" si="130"/>
        <v/>
      </c>
      <c r="F2801" s="17" t="str">
        <f t="shared" si="131"/>
        <v/>
      </c>
    </row>
    <row r="2802" spans="2:6" x14ac:dyDescent="0.2">
      <c r="B2802" s="12"/>
      <c r="C2802" s="12"/>
      <c r="D2802" s="17" t="str">
        <f t="shared" si="132"/>
        <v/>
      </c>
      <c r="E2802" s="18" t="str">
        <f t="shared" si="130"/>
        <v/>
      </c>
      <c r="F2802" s="17" t="str">
        <f t="shared" si="131"/>
        <v/>
      </c>
    </row>
    <row r="2803" spans="2:6" x14ac:dyDescent="0.2">
      <c r="B2803" s="12"/>
      <c r="C2803" s="12"/>
      <c r="D2803" s="17" t="str">
        <f t="shared" si="132"/>
        <v/>
      </c>
      <c r="E2803" s="18" t="str">
        <f t="shared" si="130"/>
        <v/>
      </c>
      <c r="F2803" s="17" t="str">
        <f t="shared" si="131"/>
        <v/>
      </c>
    </row>
    <row r="2804" spans="2:6" x14ac:dyDescent="0.2">
      <c r="B2804" s="12"/>
      <c r="C2804" s="12"/>
      <c r="D2804" s="17" t="str">
        <f t="shared" si="132"/>
        <v/>
      </c>
      <c r="E2804" s="18" t="str">
        <f t="shared" si="130"/>
        <v/>
      </c>
      <c r="F2804" s="17" t="str">
        <f t="shared" si="131"/>
        <v/>
      </c>
    </row>
    <row r="2805" spans="2:6" x14ac:dyDescent="0.2">
      <c r="B2805" s="12"/>
      <c r="C2805" s="12"/>
      <c r="D2805" s="17" t="str">
        <f t="shared" si="132"/>
        <v/>
      </c>
      <c r="E2805" s="18" t="str">
        <f t="shared" si="130"/>
        <v/>
      </c>
      <c r="F2805" s="17" t="str">
        <f t="shared" si="131"/>
        <v/>
      </c>
    </row>
    <row r="2806" spans="2:6" x14ac:dyDescent="0.2">
      <c r="B2806" s="12"/>
      <c r="C2806" s="12"/>
      <c r="D2806" s="17" t="str">
        <f t="shared" si="132"/>
        <v/>
      </c>
      <c r="E2806" s="18" t="str">
        <f t="shared" si="130"/>
        <v/>
      </c>
      <c r="F2806" s="17" t="str">
        <f t="shared" si="131"/>
        <v/>
      </c>
    </row>
    <row r="2807" spans="2:6" x14ac:dyDescent="0.2">
      <c r="B2807" s="12"/>
      <c r="C2807" s="12"/>
      <c r="D2807" s="17" t="str">
        <f t="shared" si="132"/>
        <v/>
      </c>
      <c r="E2807" s="18" t="str">
        <f t="shared" si="130"/>
        <v/>
      </c>
      <c r="F2807" s="17" t="str">
        <f t="shared" si="131"/>
        <v/>
      </c>
    </row>
    <row r="2808" spans="2:6" x14ac:dyDescent="0.2">
      <c r="B2808" s="12"/>
      <c r="C2808" s="12"/>
      <c r="D2808" s="17" t="str">
        <f t="shared" si="132"/>
        <v/>
      </c>
      <c r="E2808" s="18" t="str">
        <f t="shared" si="130"/>
        <v/>
      </c>
      <c r="F2808" s="17" t="str">
        <f t="shared" si="131"/>
        <v/>
      </c>
    </row>
    <row r="2809" spans="2:6" x14ac:dyDescent="0.2">
      <c r="B2809" s="12"/>
      <c r="C2809" s="12"/>
      <c r="D2809" s="17" t="str">
        <f t="shared" si="132"/>
        <v/>
      </c>
      <c r="E2809" s="18" t="str">
        <f t="shared" si="130"/>
        <v/>
      </c>
      <c r="F2809" s="17" t="str">
        <f t="shared" si="131"/>
        <v/>
      </c>
    </row>
    <row r="2810" spans="2:6" x14ac:dyDescent="0.2">
      <c r="B2810" s="12"/>
      <c r="C2810" s="12"/>
      <c r="D2810" s="17" t="str">
        <f t="shared" si="132"/>
        <v/>
      </c>
      <c r="E2810" s="18" t="str">
        <f t="shared" si="130"/>
        <v/>
      </c>
      <c r="F2810" s="17" t="str">
        <f t="shared" si="131"/>
        <v/>
      </c>
    </row>
    <row r="2811" spans="2:6" x14ac:dyDescent="0.2">
      <c r="B2811" s="12"/>
      <c r="C2811" s="12"/>
      <c r="D2811" s="17" t="str">
        <f t="shared" si="132"/>
        <v/>
      </c>
      <c r="E2811" s="18" t="str">
        <f t="shared" si="130"/>
        <v/>
      </c>
      <c r="F2811" s="17" t="str">
        <f t="shared" si="131"/>
        <v/>
      </c>
    </row>
    <row r="2812" spans="2:6" x14ac:dyDescent="0.2">
      <c r="B2812" s="12"/>
      <c r="C2812" s="12"/>
      <c r="D2812" s="17" t="str">
        <f t="shared" si="132"/>
        <v/>
      </c>
      <c r="E2812" s="18" t="str">
        <f t="shared" si="130"/>
        <v/>
      </c>
      <c r="F2812" s="17" t="str">
        <f t="shared" si="131"/>
        <v/>
      </c>
    </row>
    <row r="2813" spans="2:6" x14ac:dyDescent="0.2">
      <c r="B2813" s="12"/>
      <c r="C2813" s="12"/>
      <c r="D2813" s="17" t="str">
        <f t="shared" si="132"/>
        <v/>
      </c>
      <c r="E2813" s="18" t="str">
        <f t="shared" si="130"/>
        <v/>
      </c>
      <c r="F2813" s="17" t="str">
        <f t="shared" si="131"/>
        <v/>
      </c>
    </row>
    <row r="2814" spans="2:6" x14ac:dyDescent="0.2">
      <c r="B2814" s="12"/>
      <c r="C2814" s="12"/>
      <c r="D2814" s="17" t="str">
        <f t="shared" si="132"/>
        <v/>
      </c>
      <c r="E2814" s="18" t="str">
        <f t="shared" si="130"/>
        <v/>
      </c>
      <c r="F2814" s="17" t="str">
        <f t="shared" si="131"/>
        <v/>
      </c>
    </row>
    <row r="2815" spans="2:6" x14ac:dyDescent="0.2">
      <c r="B2815" s="12"/>
      <c r="C2815" s="12"/>
      <c r="D2815" s="17" t="str">
        <f t="shared" si="132"/>
        <v/>
      </c>
      <c r="E2815" s="18" t="str">
        <f t="shared" si="130"/>
        <v/>
      </c>
      <c r="F2815" s="17" t="str">
        <f t="shared" si="131"/>
        <v/>
      </c>
    </row>
    <row r="2816" spans="2:6" x14ac:dyDescent="0.2">
      <c r="B2816" s="12"/>
      <c r="C2816" s="12"/>
      <c r="D2816" s="17" t="str">
        <f t="shared" si="132"/>
        <v/>
      </c>
      <c r="E2816" s="18" t="str">
        <f t="shared" si="130"/>
        <v/>
      </c>
      <c r="F2816" s="17" t="str">
        <f t="shared" si="131"/>
        <v/>
      </c>
    </row>
    <row r="2817" spans="2:6" x14ac:dyDescent="0.2">
      <c r="B2817" s="12"/>
      <c r="C2817" s="12"/>
      <c r="D2817" s="17" t="str">
        <f t="shared" si="132"/>
        <v/>
      </c>
      <c r="E2817" s="18" t="str">
        <f t="shared" si="130"/>
        <v/>
      </c>
      <c r="F2817" s="17" t="str">
        <f t="shared" si="131"/>
        <v/>
      </c>
    </row>
    <row r="2818" spans="2:6" x14ac:dyDescent="0.2">
      <c r="B2818" s="12"/>
      <c r="C2818" s="12"/>
      <c r="D2818" s="17" t="str">
        <f t="shared" si="132"/>
        <v/>
      </c>
      <c r="E2818" s="18" t="str">
        <f t="shared" si="130"/>
        <v/>
      </c>
      <c r="F2818" s="17" t="str">
        <f t="shared" si="131"/>
        <v/>
      </c>
    </row>
    <row r="2819" spans="2:6" x14ac:dyDescent="0.2">
      <c r="B2819" s="12"/>
      <c r="C2819" s="12"/>
      <c r="D2819" s="17" t="str">
        <f t="shared" si="132"/>
        <v/>
      </c>
      <c r="E2819" s="18" t="str">
        <f t="shared" si="130"/>
        <v/>
      </c>
      <c r="F2819" s="17" t="str">
        <f t="shared" si="131"/>
        <v/>
      </c>
    </row>
    <row r="2820" spans="2:6" x14ac:dyDescent="0.2">
      <c r="B2820" s="12"/>
      <c r="C2820" s="12"/>
      <c r="D2820" s="17" t="str">
        <f t="shared" si="132"/>
        <v/>
      </c>
      <c r="E2820" s="18" t="str">
        <f t="shared" si="130"/>
        <v/>
      </c>
      <c r="F2820" s="17" t="str">
        <f t="shared" si="131"/>
        <v/>
      </c>
    </row>
    <row r="2821" spans="2:6" x14ac:dyDescent="0.2">
      <c r="B2821" s="12"/>
      <c r="C2821" s="12"/>
      <c r="D2821" s="17" t="str">
        <f t="shared" si="132"/>
        <v/>
      </c>
      <c r="E2821" s="18" t="str">
        <f t="shared" ref="E2821:E2884" si="133">IF(B2821="","",ABS(C2821-D2821))</f>
        <v/>
      </c>
      <c r="F2821" s="17" t="str">
        <f t="shared" ref="F2821:F2884" si="134">IF(B2821="","",E2821^2)</f>
        <v/>
      </c>
    </row>
    <row r="2822" spans="2:6" x14ac:dyDescent="0.2">
      <c r="B2822" s="12"/>
      <c r="C2822" s="12"/>
      <c r="D2822" s="17" t="str">
        <f t="shared" si="132"/>
        <v/>
      </c>
      <c r="E2822" s="18" t="str">
        <f t="shared" si="133"/>
        <v/>
      </c>
      <c r="F2822" s="17" t="str">
        <f t="shared" si="134"/>
        <v/>
      </c>
    </row>
    <row r="2823" spans="2:6" x14ac:dyDescent="0.2">
      <c r="B2823" s="12"/>
      <c r="C2823" s="12"/>
      <c r="D2823" s="17" t="str">
        <f t="shared" si="132"/>
        <v/>
      </c>
      <c r="E2823" s="18" t="str">
        <f t="shared" si="133"/>
        <v/>
      </c>
      <c r="F2823" s="17" t="str">
        <f t="shared" si="134"/>
        <v/>
      </c>
    </row>
    <row r="2824" spans="2:6" x14ac:dyDescent="0.2">
      <c r="B2824" s="12"/>
      <c r="C2824" s="12"/>
      <c r="D2824" s="17" t="str">
        <f t="shared" si="132"/>
        <v/>
      </c>
      <c r="E2824" s="18" t="str">
        <f t="shared" si="133"/>
        <v/>
      </c>
      <c r="F2824" s="17" t="str">
        <f t="shared" si="134"/>
        <v/>
      </c>
    </row>
    <row r="2825" spans="2:6" x14ac:dyDescent="0.2">
      <c r="B2825" s="12"/>
      <c r="C2825" s="12"/>
      <c r="D2825" s="17" t="str">
        <f t="shared" si="132"/>
        <v/>
      </c>
      <c r="E2825" s="18" t="str">
        <f t="shared" si="133"/>
        <v/>
      </c>
      <c r="F2825" s="17" t="str">
        <f t="shared" si="134"/>
        <v/>
      </c>
    </row>
    <row r="2826" spans="2:6" x14ac:dyDescent="0.2">
      <c r="B2826" s="12"/>
      <c r="C2826" s="12"/>
      <c r="D2826" s="17" t="str">
        <f t="shared" si="132"/>
        <v/>
      </c>
      <c r="E2826" s="18" t="str">
        <f t="shared" si="133"/>
        <v/>
      </c>
      <c r="F2826" s="17" t="str">
        <f t="shared" si="134"/>
        <v/>
      </c>
    </row>
    <row r="2827" spans="2:6" x14ac:dyDescent="0.2">
      <c r="B2827" s="12"/>
      <c r="C2827" s="12"/>
      <c r="D2827" s="17" t="str">
        <f t="shared" si="132"/>
        <v/>
      </c>
      <c r="E2827" s="18" t="str">
        <f t="shared" si="133"/>
        <v/>
      </c>
      <c r="F2827" s="17" t="str">
        <f t="shared" si="134"/>
        <v/>
      </c>
    </row>
    <row r="2828" spans="2:6" x14ac:dyDescent="0.2">
      <c r="B2828" s="12"/>
      <c r="C2828" s="12"/>
      <c r="D2828" s="17" t="str">
        <f t="shared" si="132"/>
        <v/>
      </c>
      <c r="E2828" s="18" t="str">
        <f t="shared" si="133"/>
        <v/>
      </c>
      <c r="F2828" s="17" t="str">
        <f t="shared" si="134"/>
        <v/>
      </c>
    </row>
    <row r="2829" spans="2:6" x14ac:dyDescent="0.2">
      <c r="B2829" s="12"/>
      <c r="C2829" s="12"/>
      <c r="D2829" s="17" t="str">
        <f t="shared" si="132"/>
        <v/>
      </c>
      <c r="E2829" s="18" t="str">
        <f t="shared" si="133"/>
        <v/>
      </c>
      <c r="F2829" s="17" t="str">
        <f t="shared" si="134"/>
        <v/>
      </c>
    </row>
    <row r="2830" spans="2:6" x14ac:dyDescent="0.2">
      <c r="B2830" s="12"/>
      <c r="C2830" s="12"/>
      <c r="D2830" s="17" t="str">
        <f t="shared" si="132"/>
        <v/>
      </c>
      <c r="E2830" s="18" t="str">
        <f t="shared" si="133"/>
        <v/>
      </c>
      <c r="F2830" s="17" t="str">
        <f t="shared" si="134"/>
        <v/>
      </c>
    </row>
    <row r="2831" spans="2:6" x14ac:dyDescent="0.2">
      <c r="B2831" s="12"/>
      <c r="C2831" s="12"/>
      <c r="D2831" s="17" t="str">
        <f t="shared" si="132"/>
        <v/>
      </c>
      <c r="E2831" s="18" t="str">
        <f t="shared" si="133"/>
        <v/>
      </c>
      <c r="F2831" s="17" t="str">
        <f t="shared" si="134"/>
        <v/>
      </c>
    </row>
    <row r="2832" spans="2:6" x14ac:dyDescent="0.2">
      <c r="B2832" s="12"/>
      <c r="C2832" s="12"/>
      <c r="D2832" s="17" t="str">
        <f t="shared" si="132"/>
        <v/>
      </c>
      <c r="E2832" s="18" t="str">
        <f t="shared" si="133"/>
        <v/>
      </c>
      <c r="F2832" s="17" t="str">
        <f t="shared" si="134"/>
        <v/>
      </c>
    </row>
    <row r="2833" spans="2:6" x14ac:dyDescent="0.2">
      <c r="B2833" s="12"/>
      <c r="C2833" s="12"/>
      <c r="D2833" s="17" t="str">
        <f t="shared" si="132"/>
        <v/>
      </c>
      <c r="E2833" s="18" t="str">
        <f t="shared" si="133"/>
        <v/>
      </c>
      <c r="F2833" s="17" t="str">
        <f t="shared" si="134"/>
        <v/>
      </c>
    </row>
    <row r="2834" spans="2:6" x14ac:dyDescent="0.2">
      <c r="B2834" s="12"/>
      <c r="C2834" s="12"/>
      <c r="D2834" s="17" t="str">
        <f t="shared" ref="D2834:D2897" si="135">IF(B2834="","",a+b*B2834)</f>
        <v/>
      </c>
      <c r="E2834" s="18" t="str">
        <f t="shared" si="133"/>
        <v/>
      </c>
      <c r="F2834" s="17" t="str">
        <f t="shared" si="134"/>
        <v/>
      </c>
    </row>
    <row r="2835" spans="2:6" x14ac:dyDescent="0.2">
      <c r="B2835" s="12"/>
      <c r="C2835" s="12"/>
      <c r="D2835" s="17" t="str">
        <f t="shared" si="135"/>
        <v/>
      </c>
      <c r="E2835" s="18" t="str">
        <f t="shared" si="133"/>
        <v/>
      </c>
      <c r="F2835" s="17" t="str">
        <f t="shared" si="134"/>
        <v/>
      </c>
    </row>
    <row r="2836" spans="2:6" x14ac:dyDescent="0.2">
      <c r="B2836" s="12"/>
      <c r="C2836" s="12"/>
      <c r="D2836" s="17" t="str">
        <f t="shared" si="135"/>
        <v/>
      </c>
      <c r="E2836" s="18" t="str">
        <f t="shared" si="133"/>
        <v/>
      </c>
      <c r="F2836" s="17" t="str">
        <f t="shared" si="134"/>
        <v/>
      </c>
    </row>
    <row r="2837" spans="2:6" x14ac:dyDescent="0.2">
      <c r="B2837" s="12"/>
      <c r="C2837" s="12"/>
      <c r="D2837" s="17" t="str">
        <f t="shared" si="135"/>
        <v/>
      </c>
      <c r="E2837" s="18" t="str">
        <f t="shared" si="133"/>
        <v/>
      </c>
      <c r="F2837" s="17" t="str">
        <f t="shared" si="134"/>
        <v/>
      </c>
    </row>
    <row r="2838" spans="2:6" x14ac:dyDescent="0.2">
      <c r="B2838" s="12"/>
      <c r="C2838" s="12"/>
      <c r="D2838" s="17" t="str">
        <f t="shared" si="135"/>
        <v/>
      </c>
      <c r="E2838" s="18" t="str">
        <f t="shared" si="133"/>
        <v/>
      </c>
      <c r="F2838" s="17" t="str">
        <f t="shared" si="134"/>
        <v/>
      </c>
    </row>
    <row r="2839" spans="2:6" x14ac:dyDescent="0.2">
      <c r="B2839" s="12"/>
      <c r="C2839" s="12"/>
      <c r="D2839" s="17" t="str">
        <f t="shared" si="135"/>
        <v/>
      </c>
      <c r="E2839" s="18" t="str">
        <f t="shared" si="133"/>
        <v/>
      </c>
      <c r="F2839" s="17" t="str">
        <f t="shared" si="134"/>
        <v/>
      </c>
    </row>
    <row r="2840" spans="2:6" x14ac:dyDescent="0.2">
      <c r="B2840" s="12"/>
      <c r="C2840" s="12"/>
      <c r="D2840" s="17" t="str">
        <f t="shared" si="135"/>
        <v/>
      </c>
      <c r="E2840" s="18" t="str">
        <f t="shared" si="133"/>
        <v/>
      </c>
      <c r="F2840" s="17" t="str">
        <f t="shared" si="134"/>
        <v/>
      </c>
    </row>
    <row r="2841" spans="2:6" x14ac:dyDescent="0.2">
      <c r="B2841" s="12"/>
      <c r="C2841" s="12"/>
      <c r="D2841" s="17" t="str">
        <f t="shared" si="135"/>
        <v/>
      </c>
      <c r="E2841" s="18" t="str">
        <f t="shared" si="133"/>
        <v/>
      </c>
      <c r="F2841" s="17" t="str">
        <f t="shared" si="134"/>
        <v/>
      </c>
    </row>
    <row r="2842" spans="2:6" x14ac:dyDescent="0.2">
      <c r="B2842" s="12"/>
      <c r="C2842" s="12"/>
      <c r="D2842" s="17" t="str">
        <f t="shared" si="135"/>
        <v/>
      </c>
      <c r="E2842" s="18" t="str">
        <f t="shared" si="133"/>
        <v/>
      </c>
      <c r="F2842" s="17" t="str">
        <f t="shared" si="134"/>
        <v/>
      </c>
    </row>
    <row r="2843" spans="2:6" x14ac:dyDescent="0.2">
      <c r="B2843" s="12"/>
      <c r="C2843" s="12"/>
      <c r="D2843" s="17" t="str">
        <f t="shared" si="135"/>
        <v/>
      </c>
      <c r="E2843" s="18" t="str">
        <f t="shared" si="133"/>
        <v/>
      </c>
      <c r="F2843" s="17" t="str">
        <f t="shared" si="134"/>
        <v/>
      </c>
    </row>
    <row r="2844" spans="2:6" x14ac:dyDescent="0.2">
      <c r="B2844" s="12"/>
      <c r="C2844" s="12"/>
      <c r="D2844" s="17" t="str">
        <f t="shared" si="135"/>
        <v/>
      </c>
      <c r="E2844" s="18" t="str">
        <f t="shared" si="133"/>
        <v/>
      </c>
      <c r="F2844" s="17" t="str">
        <f t="shared" si="134"/>
        <v/>
      </c>
    </row>
    <row r="2845" spans="2:6" x14ac:dyDescent="0.2">
      <c r="B2845" s="12"/>
      <c r="C2845" s="12"/>
      <c r="D2845" s="17" t="str">
        <f t="shared" si="135"/>
        <v/>
      </c>
      <c r="E2845" s="18" t="str">
        <f t="shared" si="133"/>
        <v/>
      </c>
      <c r="F2845" s="17" t="str">
        <f t="shared" si="134"/>
        <v/>
      </c>
    </row>
    <row r="2846" spans="2:6" x14ac:dyDescent="0.2">
      <c r="B2846" s="12"/>
      <c r="C2846" s="12"/>
      <c r="D2846" s="17" t="str">
        <f t="shared" si="135"/>
        <v/>
      </c>
      <c r="E2846" s="18" t="str">
        <f t="shared" si="133"/>
        <v/>
      </c>
      <c r="F2846" s="17" t="str">
        <f t="shared" si="134"/>
        <v/>
      </c>
    </row>
    <row r="2847" spans="2:6" x14ac:dyDescent="0.2">
      <c r="B2847" s="12"/>
      <c r="C2847" s="12"/>
      <c r="D2847" s="17" t="str">
        <f t="shared" si="135"/>
        <v/>
      </c>
      <c r="E2847" s="18" t="str">
        <f t="shared" si="133"/>
        <v/>
      </c>
      <c r="F2847" s="17" t="str">
        <f t="shared" si="134"/>
        <v/>
      </c>
    </row>
    <row r="2848" spans="2:6" x14ac:dyDescent="0.2">
      <c r="B2848" s="12"/>
      <c r="C2848" s="12"/>
      <c r="D2848" s="17" t="str">
        <f t="shared" si="135"/>
        <v/>
      </c>
      <c r="E2848" s="18" t="str">
        <f t="shared" si="133"/>
        <v/>
      </c>
      <c r="F2848" s="17" t="str">
        <f t="shared" si="134"/>
        <v/>
      </c>
    </row>
    <row r="2849" spans="2:6" x14ac:dyDescent="0.2">
      <c r="B2849" s="12"/>
      <c r="C2849" s="12"/>
      <c r="D2849" s="17" t="str">
        <f t="shared" si="135"/>
        <v/>
      </c>
      <c r="E2849" s="18" t="str">
        <f t="shared" si="133"/>
        <v/>
      </c>
      <c r="F2849" s="17" t="str">
        <f t="shared" si="134"/>
        <v/>
      </c>
    </row>
    <row r="2850" spans="2:6" x14ac:dyDescent="0.2">
      <c r="B2850" s="12"/>
      <c r="C2850" s="12"/>
      <c r="D2850" s="17" t="str">
        <f t="shared" si="135"/>
        <v/>
      </c>
      <c r="E2850" s="18" t="str">
        <f t="shared" si="133"/>
        <v/>
      </c>
      <c r="F2850" s="17" t="str">
        <f t="shared" si="134"/>
        <v/>
      </c>
    </row>
    <row r="2851" spans="2:6" x14ac:dyDescent="0.2">
      <c r="B2851" s="12"/>
      <c r="C2851" s="12"/>
      <c r="D2851" s="17" t="str">
        <f t="shared" si="135"/>
        <v/>
      </c>
      <c r="E2851" s="18" t="str">
        <f t="shared" si="133"/>
        <v/>
      </c>
      <c r="F2851" s="17" t="str">
        <f t="shared" si="134"/>
        <v/>
      </c>
    </row>
    <row r="2852" spans="2:6" x14ac:dyDescent="0.2">
      <c r="B2852" s="12"/>
      <c r="C2852" s="12"/>
      <c r="D2852" s="17" t="str">
        <f t="shared" si="135"/>
        <v/>
      </c>
      <c r="E2852" s="18" t="str">
        <f t="shared" si="133"/>
        <v/>
      </c>
      <c r="F2852" s="17" t="str">
        <f t="shared" si="134"/>
        <v/>
      </c>
    </row>
    <row r="2853" spans="2:6" x14ac:dyDescent="0.2">
      <c r="B2853" s="12"/>
      <c r="C2853" s="12"/>
      <c r="D2853" s="17" t="str">
        <f t="shared" si="135"/>
        <v/>
      </c>
      <c r="E2853" s="18" t="str">
        <f t="shared" si="133"/>
        <v/>
      </c>
      <c r="F2853" s="17" t="str">
        <f t="shared" si="134"/>
        <v/>
      </c>
    </row>
    <row r="2854" spans="2:6" x14ac:dyDescent="0.2">
      <c r="B2854" s="12"/>
      <c r="C2854" s="12"/>
      <c r="D2854" s="17" t="str">
        <f t="shared" si="135"/>
        <v/>
      </c>
      <c r="E2854" s="18" t="str">
        <f t="shared" si="133"/>
        <v/>
      </c>
      <c r="F2854" s="17" t="str">
        <f t="shared" si="134"/>
        <v/>
      </c>
    </row>
    <row r="2855" spans="2:6" x14ac:dyDescent="0.2">
      <c r="B2855" s="12"/>
      <c r="C2855" s="12"/>
      <c r="D2855" s="17" t="str">
        <f t="shared" si="135"/>
        <v/>
      </c>
      <c r="E2855" s="18" t="str">
        <f t="shared" si="133"/>
        <v/>
      </c>
      <c r="F2855" s="17" t="str">
        <f t="shared" si="134"/>
        <v/>
      </c>
    </row>
    <row r="2856" spans="2:6" x14ac:dyDescent="0.2">
      <c r="B2856" s="12"/>
      <c r="C2856" s="12"/>
      <c r="D2856" s="17" t="str">
        <f t="shared" si="135"/>
        <v/>
      </c>
      <c r="E2856" s="18" t="str">
        <f t="shared" si="133"/>
        <v/>
      </c>
      <c r="F2856" s="17" t="str">
        <f t="shared" si="134"/>
        <v/>
      </c>
    </row>
    <row r="2857" spans="2:6" x14ac:dyDescent="0.2">
      <c r="B2857" s="12"/>
      <c r="C2857" s="12"/>
      <c r="D2857" s="17" t="str">
        <f t="shared" si="135"/>
        <v/>
      </c>
      <c r="E2857" s="18" t="str">
        <f t="shared" si="133"/>
        <v/>
      </c>
      <c r="F2857" s="17" t="str">
        <f t="shared" si="134"/>
        <v/>
      </c>
    </row>
    <row r="2858" spans="2:6" x14ac:dyDescent="0.2">
      <c r="B2858" s="12"/>
      <c r="C2858" s="12"/>
      <c r="D2858" s="17" t="str">
        <f t="shared" si="135"/>
        <v/>
      </c>
      <c r="E2858" s="18" t="str">
        <f t="shared" si="133"/>
        <v/>
      </c>
      <c r="F2858" s="17" t="str">
        <f t="shared" si="134"/>
        <v/>
      </c>
    </row>
    <row r="2859" spans="2:6" x14ac:dyDescent="0.2">
      <c r="B2859" s="12"/>
      <c r="C2859" s="12"/>
      <c r="D2859" s="17" t="str">
        <f t="shared" si="135"/>
        <v/>
      </c>
      <c r="E2859" s="18" t="str">
        <f t="shared" si="133"/>
        <v/>
      </c>
      <c r="F2859" s="17" t="str">
        <f t="shared" si="134"/>
        <v/>
      </c>
    </row>
    <row r="2860" spans="2:6" x14ac:dyDescent="0.2">
      <c r="B2860" s="12"/>
      <c r="C2860" s="12"/>
      <c r="D2860" s="17" t="str">
        <f t="shared" si="135"/>
        <v/>
      </c>
      <c r="E2860" s="18" t="str">
        <f t="shared" si="133"/>
        <v/>
      </c>
      <c r="F2860" s="17" t="str">
        <f t="shared" si="134"/>
        <v/>
      </c>
    </row>
    <row r="2861" spans="2:6" x14ac:dyDescent="0.2">
      <c r="B2861" s="12"/>
      <c r="C2861" s="12"/>
      <c r="D2861" s="17" t="str">
        <f t="shared" si="135"/>
        <v/>
      </c>
      <c r="E2861" s="18" t="str">
        <f t="shared" si="133"/>
        <v/>
      </c>
      <c r="F2861" s="17" t="str">
        <f t="shared" si="134"/>
        <v/>
      </c>
    </row>
    <row r="2862" spans="2:6" x14ac:dyDescent="0.2">
      <c r="B2862" s="12"/>
      <c r="C2862" s="12"/>
      <c r="D2862" s="17" t="str">
        <f t="shared" si="135"/>
        <v/>
      </c>
      <c r="E2862" s="18" t="str">
        <f t="shared" si="133"/>
        <v/>
      </c>
      <c r="F2862" s="17" t="str">
        <f t="shared" si="134"/>
        <v/>
      </c>
    </row>
    <row r="2863" spans="2:6" x14ac:dyDescent="0.2">
      <c r="B2863" s="12"/>
      <c r="C2863" s="12"/>
      <c r="D2863" s="17" t="str">
        <f t="shared" si="135"/>
        <v/>
      </c>
      <c r="E2863" s="18" t="str">
        <f t="shared" si="133"/>
        <v/>
      </c>
      <c r="F2863" s="17" t="str">
        <f t="shared" si="134"/>
        <v/>
      </c>
    </row>
    <row r="2864" spans="2:6" x14ac:dyDescent="0.2">
      <c r="B2864" s="12"/>
      <c r="C2864" s="12"/>
      <c r="D2864" s="17" t="str">
        <f t="shared" si="135"/>
        <v/>
      </c>
      <c r="E2864" s="18" t="str">
        <f t="shared" si="133"/>
        <v/>
      </c>
      <c r="F2864" s="17" t="str">
        <f t="shared" si="134"/>
        <v/>
      </c>
    </row>
    <row r="2865" spans="2:6" x14ac:dyDescent="0.2">
      <c r="B2865" s="12"/>
      <c r="C2865" s="12"/>
      <c r="D2865" s="17" t="str">
        <f t="shared" si="135"/>
        <v/>
      </c>
      <c r="E2865" s="18" t="str">
        <f t="shared" si="133"/>
        <v/>
      </c>
      <c r="F2865" s="17" t="str">
        <f t="shared" si="134"/>
        <v/>
      </c>
    </row>
    <row r="2866" spans="2:6" x14ac:dyDescent="0.2">
      <c r="B2866" s="12"/>
      <c r="C2866" s="12"/>
      <c r="D2866" s="17" t="str">
        <f t="shared" si="135"/>
        <v/>
      </c>
      <c r="E2866" s="18" t="str">
        <f t="shared" si="133"/>
        <v/>
      </c>
      <c r="F2866" s="17" t="str">
        <f t="shared" si="134"/>
        <v/>
      </c>
    </row>
    <row r="2867" spans="2:6" x14ac:dyDescent="0.2">
      <c r="B2867" s="12"/>
      <c r="C2867" s="12"/>
      <c r="D2867" s="17" t="str">
        <f t="shared" si="135"/>
        <v/>
      </c>
      <c r="E2867" s="18" t="str">
        <f t="shared" si="133"/>
        <v/>
      </c>
      <c r="F2867" s="17" t="str">
        <f t="shared" si="134"/>
        <v/>
      </c>
    </row>
    <row r="2868" spans="2:6" x14ac:dyDescent="0.2">
      <c r="B2868" s="12"/>
      <c r="C2868" s="12"/>
      <c r="D2868" s="17" t="str">
        <f t="shared" si="135"/>
        <v/>
      </c>
      <c r="E2868" s="18" t="str">
        <f t="shared" si="133"/>
        <v/>
      </c>
      <c r="F2868" s="17" t="str">
        <f t="shared" si="134"/>
        <v/>
      </c>
    </row>
    <row r="2869" spans="2:6" x14ac:dyDescent="0.2">
      <c r="B2869" s="12"/>
      <c r="C2869" s="12"/>
      <c r="D2869" s="17" t="str">
        <f t="shared" si="135"/>
        <v/>
      </c>
      <c r="E2869" s="18" t="str">
        <f t="shared" si="133"/>
        <v/>
      </c>
      <c r="F2869" s="17" t="str">
        <f t="shared" si="134"/>
        <v/>
      </c>
    </row>
    <row r="2870" spans="2:6" x14ac:dyDescent="0.2">
      <c r="B2870" s="12"/>
      <c r="C2870" s="12"/>
      <c r="D2870" s="17" t="str">
        <f t="shared" si="135"/>
        <v/>
      </c>
      <c r="E2870" s="18" t="str">
        <f t="shared" si="133"/>
        <v/>
      </c>
      <c r="F2870" s="17" t="str">
        <f t="shared" si="134"/>
        <v/>
      </c>
    </row>
    <row r="2871" spans="2:6" x14ac:dyDescent="0.2">
      <c r="B2871" s="12"/>
      <c r="C2871" s="12"/>
      <c r="D2871" s="17" t="str">
        <f t="shared" si="135"/>
        <v/>
      </c>
      <c r="E2871" s="18" t="str">
        <f t="shared" si="133"/>
        <v/>
      </c>
      <c r="F2871" s="17" t="str">
        <f t="shared" si="134"/>
        <v/>
      </c>
    </row>
    <row r="2872" spans="2:6" x14ac:dyDescent="0.2">
      <c r="B2872" s="12"/>
      <c r="C2872" s="12"/>
      <c r="D2872" s="17" t="str">
        <f t="shared" si="135"/>
        <v/>
      </c>
      <c r="E2872" s="18" t="str">
        <f t="shared" si="133"/>
        <v/>
      </c>
      <c r="F2872" s="17" t="str">
        <f t="shared" si="134"/>
        <v/>
      </c>
    </row>
    <row r="2873" spans="2:6" x14ac:dyDescent="0.2">
      <c r="B2873" s="12"/>
      <c r="C2873" s="12"/>
      <c r="D2873" s="17" t="str">
        <f t="shared" si="135"/>
        <v/>
      </c>
      <c r="E2873" s="18" t="str">
        <f t="shared" si="133"/>
        <v/>
      </c>
      <c r="F2873" s="17" t="str">
        <f t="shared" si="134"/>
        <v/>
      </c>
    </row>
    <row r="2874" spans="2:6" x14ac:dyDescent="0.2">
      <c r="B2874" s="12"/>
      <c r="C2874" s="12"/>
      <c r="D2874" s="17" t="str">
        <f t="shared" si="135"/>
        <v/>
      </c>
      <c r="E2874" s="18" t="str">
        <f t="shared" si="133"/>
        <v/>
      </c>
      <c r="F2874" s="17" t="str">
        <f t="shared" si="134"/>
        <v/>
      </c>
    </row>
    <row r="2875" spans="2:6" x14ac:dyDescent="0.2">
      <c r="B2875" s="12"/>
      <c r="C2875" s="12"/>
      <c r="D2875" s="17" t="str">
        <f t="shared" si="135"/>
        <v/>
      </c>
      <c r="E2875" s="18" t="str">
        <f t="shared" si="133"/>
        <v/>
      </c>
      <c r="F2875" s="17" t="str">
        <f t="shared" si="134"/>
        <v/>
      </c>
    </row>
    <row r="2876" spans="2:6" x14ac:dyDescent="0.2">
      <c r="B2876" s="12"/>
      <c r="C2876" s="12"/>
      <c r="D2876" s="17" t="str">
        <f t="shared" si="135"/>
        <v/>
      </c>
      <c r="E2876" s="18" t="str">
        <f t="shared" si="133"/>
        <v/>
      </c>
      <c r="F2876" s="17" t="str">
        <f t="shared" si="134"/>
        <v/>
      </c>
    </row>
    <row r="2877" spans="2:6" x14ac:dyDescent="0.2">
      <c r="B2877" s="12"/>
      <c r="C2877" s="12"/>
      <c r="D2877" s="17" t="str">
        <f t="shared" si="135"/>
        <v/>
      </c>
      <c r="E2877" s="18" t="str">
        <f t="shared" si="133"/>
        <v/>
      </c>
      <c r="F2877" s="17" t="str">
        <f t="shared" si="134"/>
        <v/>
      </c>
    </row>
    <row r="2878" spans="2:6" x14ac:dyDescent="0.2">
      <c r="B2878" s="12"/>
      <c r="C2878" s="12"/>
      <c r="D2878" s="17" t="str">
        <f t="shared" si="135"/>
        <v/>
      </c>
      <c r="E2878" s="18" t="str">
        <f t="shared" si="133"/>
        <v/>
      </c>
      <c r="F2878" s="17" t="str">
        <f t="shared" si="134"/>
        <v/>
      </c>
    </row>
    <row r="2879" spans="2:6" x14ac:dyDescent="0.2">
      <c r="B2879" s="12"/>
      <c r="C2879" s="12"/>
      <c r="D2879" s="17" t="str">
        <f t="shared" si="135"/>
        <v/>
      </c>
      <c r="E2879" s="18" t="str">
        <f t="shared" si="133"/>
        <v/>
      </c>
      <c r="F2879" s="17" t="str">
        <f t="shared" si="134"/>
        <v/>
      </c>
    </row>
    <row r="2880" spans="2:6" x14ac:dyDescent="0.2">
      <c r="B2880" s="12"/>
      <c r="C2880" s="12"/>
      <c r="D2880" s="17" t="str">
        <f t="shared" si="135"/>
        <v/>
      </c>
      <c r="E2880" s="18" t="str">
        <f t="shared" si="133"/>
        <v/>
      </c>
      <c r="F2880" s="17" t="str">
        <f t="shared" si="134"/>
        <v/>
      </c>
    </row>
    <row r="2881" spans="2:6" x14ac:dyDescent="0.2">
      <c r="B2881" s="12"/>
      <c r="C2881" s="12"/>
      <c r="D2881" s="17" t="str">
        <f t="shared" si="135"/>
        <v/>
      </c>
      <c r="E2881" s="18" t="str">
        <f t="shared" si="133"/>
        <v/>
      </c>
      <c r="F2881" s="17" t="str">
        <f t="shared" si="134"/>
        <v/>
      </c>
    </row>
    <row r="2882" spans="2:6" x14ac:dyDescent="0.2">
      <c r="B2882" s="12"/>
      <c r="C2882" s="12"/>
      <c r="D2882" s="17" t="str">
        <f t="shared" si="135"/>
        <v/>
      </c>
      <c r="E2882" s="18" t="str">
        <f t="shared" si="133"/>
        <v/>
      </c>
      <c r="F2882" s="17" t="str">
        <f t="shared" si="134"/>
        <v/>
      </c>
    </row>
    <row r="2883" spans="2:6" x14ac:dyDescent="0.2">
      <c r="B2883" s="12"/>
      <c r="C2883" s="12"/>
      <c r="D2883" s="17" t="str">
        <f t="shared" si="135"/>
        <v/>
      </c>
      <c r="E2883" s="18" t="str">
        <f t="shared" si="133"/>
        <v/>
      </c>
      <c r="F2883" s="17" t="str">
        <f t="shared" si="134"/>
        <v/>
      </c>
    </row>
    <row r="2884" spans="2:6" x14ac:dyDescent="0.2">
      <c r="B2884" s="12"/>
      <c r="C2884" s="12"/>
      <c r="D2884" s="17" t="str">
        <f t="shared" si="135"/>
        <v/>
      </c>
      <c r="E2884" s="18" t="str">
        <f t="shared" si="133"/>
        <v/>
      </c>
      <c r="F2884" s="17" t="str">
        <f t="shared" si="134"/>
        <v/>
      </c>
    </row>
    <row r="2885" spans="2:6" x14ac:dyDescent="0.2">
      <c r="B2885" s="12"/>
      <c r="C2885" s="12"/>
      <c r="D2885" s="17" t="str">
        <f t="shared" si="135"/>
        <v/>
      </c>
      <c r="E2885" s="18" t="str">
        <f t="shared" ref="E2885:E2948" si="136">IF(B2885="","",ABS(C2885-D2885))</f>
        <v/>
      </c>
      <c r="F2885" s="17" t="str">
        <f t="shared" ref="F2885:F2948" si="137">IF(B2885="","",E2885^2)</f>
        <v/>
      </c>
    </row>
    <row r="2886" spans="2:6" x14ac:dyDescent="0.2">
      <c r="B2886" s="12"/>
      <c r="C2886" s="12"/>
      <c r="D2886" s="17" t="str">
        <f t="shared" si="135"/>
        <v/>
      </c>
      <c r="E2886" s="18" t="str">
        <f t="shared" si="136"/>
        <v/>
      </c>
      <c r="F2886" s="17" t="str">
        <f t="shared" si="137"/>
        <v/>
      </c>
    </row>
    <row r="2887" spans="2:6" x14ac:dyDescent="0.2">
      <c r="B2887" s="12"/>
      <c r="C2887" s="12"/>
      <c r="D2887" s="17" t="str">
        <f t="shared" si="135"/>
        <v/>
      </c>
      <c r="E2887" s="18" t="str">
        <f t="shared" si="136"/>
        <v/>
      </c>
      <c r="F2887" s="17" t="str">
        <f t="shared" si="137"/>
        <v/>
      </c>
    </row>
    <row r="2888" spans="2:6" x14ac:dyDescent="0.2">
      <c r="B2888" s="12"/>
      <c r="C2888" s="12"/>
      <c r="D2888" s="17" t="str">
        <f t="shared" si="135"/>
        <v/>
      </c>
      <c r="E2888" s="18" t="str">
        <f t="shared" si="136"/>
        <v/>
      </c>
      <c r="F2888" s="17" t="str">
        <f t="shared" si="137"/>
        <v/>
      </c>
    </row>
    <row r="2889" spans="2:6" x14ac:dyDescent="0.2">
      <c r="B2889" s="12"/>
      <c r="C2889" s="12"/>
      <c r="D2889" s="17" t="str">
        <f t="shared" si="135"/>
        <v/>
      </c>
      <c r="E2889" s="18" t="str">
        <f t="shared" si="136"/>
        <v/>
      </c>
      <c r="F2889" s="17" t="str">
        <f t="shared" si="137"/>
        <v/>
      </c>
    </row>
    <row r="2890" spans="2:6" x14ac:dyDescent="0.2">
      <c r="B2890" s="12"/>
      <c r="C2890" s="12"/>
      <c r="D2890" s="17" t="str">
        <f t="shared" si="135"/>
        <v/>
      </c>
      <c r="E2890" s="18" t="str">
        <f t="shared" si="136"/>
        <v/>
      </c>
      <c r="F2890" s="17" t="str">
        <f t="shared" si="137"/>
        <v/>
      </c>
    </row>
    <row r="2891" spans="2:6" x14ac:dyDescent="0.2">
      <c r="B2891" s="12"/>
      <c r="C2891" s="12"/>
      <c r="D2891" s="17" t="str">
        <f t="shared" si="135"/>
        <v/>
      </c>
      <c r="E2891" s="18" t="str">
        <f t="shared" si="136"/>
        <v/>
      </c>
      <c r="F2891" s="17" t="str">
        <f t="shared" si="137"/>
        <v/>
      </c>
    </row>
    <row r="2892" spans="2:6" x14ac:dyDescent="0.2">
      <c r="B2892" s="12"/>
      <c r="C2892" s="12"/>
      <c r="D2892" s="17" t="str">
        <f t="shared" si="135"/>
        <v/>
      </c>
      <c r="E2892" s="18" t="str">
        <f t="shared" si="136"/>
        <v/>
      </c>
      <c r="F2892" s="17" t="str">
        <f t="shared" si="137"/>
        <v/>
      </c>
    </row>
    <row r="2893" spans="2:6" x14ac:dyDescent="0.2">
      <c r="B2893" s="12"/>
      <c r="C2893" s="12"/>
      <c r="D2893" s="17" t="str">
        <f t="shared" si="135"/>
        <v/>
      </c>
      <c r="E2893" s="18" t="str">
        <f t="shared" si="136"/>
        <v/>
      </c>
      <c r="F2893" s="17" t="str">
        <f t="shared" si="137"/>
        <v/>
      </c>
    </row>
    <row r="2894" spans="2:6" x14ac:dyDescent="0.2">
      <c r="B2894" s="12"/>
      <c r="C2894" s="12"/>
      <c r="D2894" s="17" t="str">
        <f t="shared" si="135"/>
        <v/>
      </c>
      <c r="E2894" s="18" t="str">
        <f t="shared" si="136"/>
        <v/>
      </c>
      <c r="F2894" s="17" t="str">
        <f t="shared" si="137"/>
        <v/>
      </c>
    </row>
    <row r="2895" spans="2:6" x14ac:dyDescent="0.2">
      <c r="B2895" s="12"/>
      <c r="C2895" s="12"/>
      <c r="D2895" s="17" t="str">
        <f t="shared" si="135"/>
        <v/>
      </c>
      <c r="E2895" s="18" t="str">
        <f t="shared" si="136"/>
        <v/>
      </c>
      <c r="F2895" s="17" t="str">
        <f t="shared" si="137"/>
        <v/>
      </c>
    </row>
    <row r="2896" spans="2:6" x14ac:dyDescent="0.2">
      <c r="B2896" s="12"/>
      <c r="C2896" s="12"/>
      <c r="D2896" s="17" t="str">
        <f t="shared" si="135"/>
        <v/>
      </c>
      <c r="E2896" s="18" t="str">
        <f t="shared" si="136"/>
        <v/>
      </c>
      <c r="F2896" s="17" t="str">
        <f t="shared" si="137"/>
        <v/>
      </c>
    </row>
    <row r="2897" spans="2:6" x14ac:dyDescent="0.2">
      <c r="B2897" s="12"/>
      <c r="C2897" s="12"/>
      <c r="D2897" s="17" t="str">
        <f t="shared" si="135"/>
        <v/>
      </c>
      <c r="E2897" s="18" t="str">
        <f t="shared" si="136"/>
        <v/>
      </c>
      <c r="F2897" s="17" t="str">
        <f t="shared" si="137"/>
        <v/>
      </c>
    </row>
    <row r="2898" spans="2:6" x14ac:dyDescent="0.2">
      <c r="B2898" s="12"/>
      <c r="C2898" s="12"/>
      <c r="D2898" s="17" t="str">
        <f t="shared" ref="D2898:D2961" si="138">IF(B2898="","",a+b*B2898)</f>
        <v/>
      </c>
      <c r="E2898" s="18" t="str">
        <f t="shared" si="136"/>
        <v/>
      </c>
      <c r="F2898" s="17" t="str">
        <f t="shared" si="137"/>
        <v/>
      </c>
    </row>
    <row r="2899" spans="2:6" x14ac:dyDescent="0.2">
      <c r="B2899" s="12"/>
      <c r="C2899" s="12"/>
      <c r="D2899" s="17" t="str">
        <f t="shared" si="138"/>
        <v/>
      </c>
      <c r="E2899" s="18" t="str">
        <f t="shared" si="136"/>
        <v/>
      </c>
      <c r="F2899" s="17" t="str">
        <f t="shared" si="137"/>
        <v/>
      </c>
    </row>
    <row r="2900" spans="2:6" x14ac:dyDescent="0.2">
      <c r="B2900" s="12"/>
      <c r="C2900" s="12"/>
      <c r="D2900" s="17" t="str">
        <f t="shared" si="138"/>
        <v/>
      </c>
      <c r="E2900" s="18" t="str">
        <f t="shared" si="136"/>
        <v/>
      </c>
      <c r="F2900" s="17" t="str">
        <f t="shared" si="137"/>
        <v/>
      </c>
    </row>
    <row r="2901" spans="2:6" x14ac:dyDescent="0.2">
      <c r="B2901" s="12"/>
      <c r="C2901" s="12"/>
      <c r="D2901" s="17" t="str">
        <f t="shared" si="138"/>
        <v/>
      </c>
      <c r="E2901" s="18" t="str">
        <f t="shared" si="136"/>
        <v/>
      </c>
      <c r="F2901" s="17" t="str">
        <f t="shared" si="137"/>
        <v/>
      </c>
    </row>
    <row r="2902" spans="2:6" x14ac:dyDescent="0.2">
      <c r="B2902" s="12"/>
      <c r="C2902" s="12"/>
      <c r="D2902" s="17" t="str">
        <f t="shared" si="138"/>
        <v/>
      </c>
      <c r="E2902" s="18" t="str">
        <f t="shared" si="136"/>
        <v/>
      </c>
      <c r="F2902" s="17" t="str">
        <f t="shared" si="137"/>
        <v/>
      </c>
    </row>
    <row r="2903" spans="2:6" x14ac:dyDescent="0.2">
      <c r="B2903" s="12"/>
      <c r="C2903" s="12"/>
      <c r="D2903" s="17" t="str">
        <f t="shared" si="138"/>
        <v/>
      </c>
      <c r="E2903" s="18" t="str">
        <f t="shared" si="136"/>
        <v/>
      </c>
      <c r="F2903" s="17" t="str">
        <f t="shared" si="137"/>
        <v/>
      </c>
    </row>
    <row r="2904" spans="2:6" x14ac:dyDescent="0.2">
      <c r="B2904" s="12"/>
      <c r="C2904" s="12"/>
      <c r="D2904" s="17" t="str">
        <f t="shared" si="138"/>
        <v/>
      </c>
      <c r="E2904" s="18" t="str">
        <f t="shared" si="136"/>
        <v/>
      </c>
      <c r="F2904" s="17" t="str">
        <f t="shared" si="137"/>
        <v/>
      </c>
    </row>
    <row r="2905" spans="2:6" x14ac:dyDescent="0.2">
      <c r="B2905" s="12"/>
      <c r="C2905" s="12"/>
      <c r="D2905" s="17" t="str">
        <f t="shared" si="138"/>
        <v/>
      </c>
      <c r="E2905" s="18" t="str">
        <f t="shared" si="136"/>
        <v/>
      </c>
      <c r="F2905" s="17" t="str">
        <f t="shared" si="137"/>
        <v/>
      </c>
    </row>
    <row r="2906" spans="2:6" x14ac:dyDescent="0.2">
      <c r="B2906" s="12"/>
      <c r="C2906" s="12"/>
      <c r="D2906" s="17" t="str">
        <f t="shared" si="138"/>
        <v/>
      </c>
      <c r="E2906" s="18" t="str">
        <f t="shared" si="136"/>
        <v/>
      </c>
      <c r="F2906" s="17" t="str">
        <f t="shared" si="137"/>
        <v/>
      </c>
    </row>
    <row r="2907" spans="2:6" x14ac:dyDescent="0.2">
      <c r="B2907" s="12"/>
      <c r="C2907" s="12"/>
      <c r="D2907" s="17" t="str">
        <f t="shared" si="138"/>
        <v/>
      </c>
      <c r="E2907" s="18" t="str">
        <f t="shared" si="136"/>
        <v/>
      </c>
      <c r="F2907" s="17" t="str">
        <f t="shared" si="137"/>
        <v/>
      </c>
    </row>
    <row r="2908" spans="2:6" x14ac:dyDescent="0.2">
      <c r="B2908" s="12"/>
      <c r="C2908" s="12"/>
      <c r="D2908" s="17" t="str">
        <f t="shared" si="138"/>
        <v/>
      </c>
      <c r="E2908" s="18" t="str">
        <f t="shared" si="136"/>
        <v/>
      </c>
      <c r="F2908" s="17" t="str">
        <f t="shared" si="137"/>
        <v/>
      </c>
    </row>
    <row r="2909" spans="2:6" x14ac:dyDescent="0.2">
      <c r="B2909" s="12"/>
      <c r="C2909" s="12"/>
      <c r="D2909" s="17" t="str">
        <f t="shared" si="138"/>
        <v/>
      </c>
      <c r="E2909" s="18" t="str">
        <f t="shared" si="136"/>
        <v/>
      </c>
      <c r="F2909" s="17" t="str">
        <f t="shared" si="137"/>
        <v/>
      </c>
    </row>
    <row r="2910" spans="2:6" x14ac:dyDescent="0.2">
      <c r="B2910" s="12"/>
      <c r="C2910" s="12"/>
      <c r="D2910" s="17" t="str">
        <f t="shared" si="138"/>
        <v/>
      </c>
      <c r="E2910" s="18" t="str">
        <f t="shared" si="136"/>
        <v/>
      </c>
      <c r="F2910" s="17" t="str">
        <f t="shared" si="137"/>
        <v/>
      </c>
    </row>
    <row r="2911" spans="2:6" x14ac:dyDescent="0.2">
      <c r="B2911" s="12"/>
      <c r="C2911" s="12"/>
      <c r="D2911" s="17" t="str">
        <f t="shared" si="138"/>
        <v/>
      </c>
      <c r="E2911" s="18" t="str">
        <f t="shared" si="136"/>
        <v/>
      </c>
      <c r="F2911" s="17" t="str">
        <f t="shared" si="137"/>
        <v/>
      </c>
    </row>
    <row r="2912" spans="2:6" x14ac:dyDescent="0.2">
      <c r="B2912" s="12"/>
      <c r="C2912" s="12"/>
      <c r="D2912" s="17" t="str">
        <f t="shared" si="138"/>
        <v/>
      </c>
      <c r="E2912" s="18" t="str">
        <f t="shared" si="136"/>
        <v/>
      </c>
      <c r="F2912" s="17" t="str">
        <f t="shared" si="137"/>
        <v/>
      </c>
    </row>
    <row r="2913" spans="2:6" x14ac:dyDescent="0.2">
      <c r="B2913" s="12"/>
      <c r="C2913" s="12"/>
      <c r="D2913" s="17" t="str">
        <f t="shared" si="138"/>
        <v/>
      </c>
      <c r="E2913" s="18" t="str">
        <f t="shared" si="136"/>
        <v/>
      </c>
      <c r="F2913" s="17" t="str">
        <f t="shared" si="137"/>
        <v/>
      </c>
    </row>
    <row r="2914" spans="2:6" x14ac:dyDescent="0.2">
      <c r="B2914" s="12"/>
      <c r="C2914" s="12"/>
      <c r="D2914" s="17" t="str">
        <f t="shared" si="138"/>
        <v/>
      </c>
      <c r="E2914" s="18" t="str">
        <f t="shared" si="136"/>
        <v/>
      </c>
      <c r="F2914" s="17" t="str">
        <f t="shared" si="137"/>
        <v/>
      </c>
    </row>
    <row r="2915" spans="2:6" x14ac:dyDescent="0.2">
      <c r="B2915" s="12"/>
      <c r="C2915" s="12"/>
      <c r="D2915" s="17" t="str">
        <f t="shared" si="138"/>
        <v/>
      </c>
      <c r="E2915" s="18" t="str">
        <f t="shared" si="136"/>
        <v/>
      </c>
      <c r="F2915" s="17" t="str">
        <f t="shared" si="137"/>
        <v/>
      </c>
    </row>
    <row r="2916" spans="2:6" x14ac:dyDescent="0.2">
      <c r="B2916" s="12"/>
      <c r="C2916" s="12"/>
      <c r="D2916" s="17" t="str">
        <f t="shared" si="138"/>
        <v/>
      </c>
      <c r="E2916" s="18" t="str">
        <f t="shared" si="136"/>
        <v/>
      </c>
      <c r="F2916" s="17" t="str">
        <f t="shared" si="137"/>
        <v/>
      </c>
    </row>
    <row r="2917" spans="2:6" x14ac:dyDescent="0.2">
      <c r="B2917" s="12"/>
      <c r="C2917" s="12"/>
      <c r="D2917" s="17" t="str">
        <f t="shared" si="138"/>
        <v/>
      </c>
      <c r="E2917" s="18" t="str">
        <f t="shared" si="136"/>
        <v/>
      </c>
      <c r="F2917" s="17" t="str">
        <f t="shared" si="137"/>
        <v/>
      </c>
    </row>
    <row r="2918" spans="2:6" x14ac:dyDescent="0.2">
      <c r="B2918" s="12"/>
      <c r="C2918" s="12"/>
      <c r="D2918" s="17" t="str">
        <f t="shared" si="138"/>
        <v/>
      </c>
      <c r="E2918" s="18" t="str">
        <f t="shared" si="136"/>
        <v/>
      </c>
      <c r="F2918" s="17" t="str">
        <f t="shared" si="137"/>
        <v/>
      </c>
    </row>
    <row r="2919" spans="2:6" x14ac:dyDescent="0.2">
      <c r="B2919" s="12"/>
      <c r="C2919" s="12"/>
      <c r="D2919" s="17" t="str">
        <f t="shared" si="138"/>
        <v/>
      </c>
      <c r="E2919" s="18" t="str">
        <f t="shared" si="136"/>
        <v/>
      </c>
      <c r="F2919" s="17" t="str">
        <f t="shared" si="137"/>
        <v/>
      </c>
    </row>
    <row r="2920" spans="2:6" x14ac:dyDescent="0.2">
      <c r="B2920" s="12"/>
      <c r="C2920" s="12"/>
      <c r="D2920" s="17" t="str">
        <f t="shared" si="138"/>
        <v/>
      </c>
      <c r="E2920" s="18" t="str">
        <f t="shared" si="136"/>
        <v/>
      </c>
      <c r="F2920" s="17" t="str">
        <f t="shared" si="137"/>
        <v/>
      </c>
    </row>
    <row r="2921" spans="2:6" x14ac:dyDescent="0.2">
      <c r="B2921" s="12"/>
      <c r="C2921" s="12"/>
      <c r="D2921" s="17" t="str">
        <f t="shared" si="138"/>
        <v/>
      </c>
      <c r="E2921" s="18" t="str">
        <f t="shared" si="136"/>
        <v/>
      </c>
      <c r="F2921" s="17" t="str">
        <f t="shared" si="137"/>
        <v/>
      </c>
    </row>
    <row r="2922" spans="2:6" x14ac:dyDescent="0.2">
      <c r="B2922" s="12"/>
      <c r="C2922" s="12"/>
      <c r="D2922" s="17" t="str">
        <f t="shared" si="138"/>
        <v/>
      </c>
      <c r="E2922" s="18" t="str">
        <f t="shared" si="136"/>
        <v/>
      </c>
      <c r="F2922" s="17" t="str">
        <f t="shared" si="137"/>
        <v/>
      </c>
    </row>
    <row r="2923" spans="2:6" x14ac:dyDescent="0.2">
      <c r="B2923" s="12"/>
      <c r="C2923" s="12"/>
      <c r="D2923" s="17" t="str">
        <f t="shared" si="138"/>
        <v/>
      </c>
      <c r="E2923" s="18" t="str">
        <f t="shared" si="136"/>
        <v/>
      </c>
      <c r="F2923" s="17" t="str">
        <f t="shared" si="137"/>
        <v/>
      </c>
    </row>
    <row r="2924" spans="2:6" x14ac:dyDescent="0.2">
      <c r="B2924" s="12"/>
      <c r="C2924" s="12"/>
      <c r="D2924" s="17" t="str">
        <f t="shared" si="138"/>
        <v/>
      </c>
      <c r="E2924" s="18" t="str">
        <f t="shared" si="136"/>
        <v/>
      </c>
      <c r="F2924" s="17" t="str">
        <f t="shared" si="137"/>
        <v/>
      </c>
    </row>
    <row r="2925" spans="2:6" x14ac:dyDescent="0.2">
      <c r="B2925" s="12"/>
      <c r="C2925" s="12"/>
      <c r="D2925" s="17" t="str">
        <f t="shared" si="138"/>
        <v/>
      </c>
      <c r="E2925" s="18" t="str">
        <f t="shared" si="136"/>
        <v/>
      </c>
      <c r="F2925" s="17" t="str">
        <f t="shared" si="137"/>
        <v/>
      </c>
    </row>
    <row r="2926" spans="2:6" x14ac:dyDescent="0.2">
      <c r="B2926" s="12"/>
      <c r="C2926" s="12"/>
      <c r="D2926" s="17" t="str">
        <f t="shared" si="138"/>
        <v/>
      </c>
      <c r="E2926" s="18" t="str">
        <f t="shared" si="136"/>
        <v/>
      </c>
      <c r="F2926" s="17" t="str">
        <f t="shared" si="137"/>
        <v/>
      </c>
    </row>
    <row r="2927" spans="2:6" x14ac:dyDescent="0.2">
      <c r="B2927" s="12"/>
      <c r="C2927" s="12"/>
      <c r="D2927" s="17" t="str">
        <f t="shared" si="138"/>
        <v/>
      </c>
      <c r="E2927" s="18" t="str">
        <f t="shared" si="136"/>
        <v/>
      </c>
      <c r="F2927" s="17" t="str">
        <f t="shared" si="137"/>
        <v/>
      </c>
    </row>
    <row r="2928" spans="2:6" x14ac:dyDescent="0.2">
      <c r="B2928" s="12"/>
      <c r="C2928" s="12"/>
      <c r="D2928" s="17" t="str">
        <f t="shared" si="138"/>
        <v/>
      </c>
      <c r="E2928" s="18" t="str">
        <f t="shared" si="136"/>
        <v/>
      </c>
      <c r="F2928" s="17" t="str">
        <f t="shared" si="137"/>
        <v/>
      </c>
    </row>
    <row r="2929" spans="2:6" x14ac:dyDescent="0.2">
      <c r="B2929" s="12"/>
      <c r="C2929" s="12"/>
      <c r="D2929" s="17" t="str">
        <f t="shared" si="138"/>
        <v/>
      </c>
      <c r="E2929" s="18" t="str">
        <f t="shared" si="136"/>
        <v/>
      </c>
      <c r="F2929" s="17" t="str">
        <f t="shared" si="137"/>
        <v/>
      </c>
    </row>
    <row r="2930" spans="2:6" x14ac:dyDescent="0.2">
      <c r="B2930" s="12"/>
      <c r="C2930" s="12"/>
      <c r="D2930" s="17" t="str">
        <f t="shared" si="138"/>
        <v/>
      </c>
      <c r="E2930" s="18" t="str">
        <f t="shared" si="136"/>
        <v/>
      </c>
      <c r="F2930" s="17" t="str">
        <f t="shared" si="137"/>
        <v/>
      </c>
    </row>
    <row r="2931" spans="2:6" x14ac:dyDescent="0.2">
      <c r="B2931" s="12"/>
      <c r="C2931" s="12"/>
      <c r="D2931" s="17" t="str">
        <f t="shared" si="138"/>
        <v/>
      </c>
      <c r="E2931" s="18" t="str">
        <f t="shared" si="136"/>
        <v/>
      </c>
      <c r="F2931" s="17" t="str">
        <f t="shared" si="137"/>
        <v/>
      </c>
    </row>
    <row r="2932" spans="2:6" x14ac:dyDescent="0.2">
      <c r="B2932" s="12"/>
      <c r="C2932" s="12"/>
      <c r="D2932" s="17" t="str">
        <f t="shared" si="138"/>
        <v/>
      </c>
      <c r="E2932" s="18" t="str">
        <f t="shared" si="136"/>
        <v/>
      </c>
      <c r="F2932" s="17" t="str">
        <f t="shared" si="137"/>
        <v/>
      </c>
    </row>
    <row r="2933" spans="2:6" x14ac:dyDescent="0.2">
      <c r="B2933" s="12"/>
      <c r="C2933" s="12"/>
      <c r="D2933" s="17" t="str">
        <f t="shared" si="138"/>
        <v/>
      </c>
      <c r="E2933" s="18" t="str">
        <f t="shared" si="136"/>
        <v/>
      </c>
      <c r="F2933" s="17" t="str">
        <f t="shared" si="137"/>
        <v/>
      </c>
    </row>
    <row r="2934" spans="2:6" x14ac:dyDescent="0.2">
      <c r="B2934" s="12"/>
      <c r="C2934" s="12"/>
      <c r="D2934" s="17" t="str">
        <f t="shared" si="138"/>
        <v/>
      </c>
      <c r="E2934" s="18" t="str">
        <f t="shared" si="136"/>
        <v/>
      </c>
      <c r="F2934" s="17" t="str">
        <f t="shared" si="137"/>
        <v/>
      </c>
    </row>
    <row r="2935" spans="2:6" x14ac:dyDescent="0.2">
      <c r="B2935" s="12"/>
      <c r="C2935" s="12"/>
      <c r="D2935" s="17" t="str">
        <f t="shared" si="138"/>
        <v/>
      </c>
      <c r="E2935" s="18" t="str">
        <f t="shared" si="136"/>
        <v/>
      </c>
      <c r="F2935" s="17" t="str">
        <f t="shared" si="137"/>
        <v/>
      </c>
    </row>
    <row r="2936" spans="2:6" x14ac:dyDescent="0.2">
      <c r="B2936" s="12"/>
      <c r="C2936" s="12"/>
      <c r="D2936" s="17" t="str">
        <f t="shared" si="138"/>
        <v/>
      </c>
      <c r="E2936" s="18" t="str">
        <f t="shared" si="136"/>
        <v/>
      </c>
      <c r="F2936" s="17" t="str">
        <f t="shared" si="137"/>
        <v/>
      </c>
    </row>
    <row r="2937" spans="2:6" x14ac:dyDescent="0.2">
      <c r="B2937" s="12"/>
      <c r="C2937" s="12"/>
      <c r="D2937" s="17" t="str">
        <f t="shared" si="138"/>
        <v/>
      </c>
      <c r="E2937" s="18" t="str">
        <f t="shared" si="136"/>
        <v/>
      </c>
      <c r="F2937" s="17" t="str">
        <f t="shared" si="137"/>
        <v/>
      </c>
    </row>
    <row r="2938" spans="2:6" x14ac:dyDescent="0.2">
      <c r="B2938" s="12"/>
      <c r="C2938" s="12"/>
      <c r="D2938" s="17" t="str">
        <f t="shared" si="138"/>
        <v/>
      </c>
      <c r="E2938" s="18" t="str">
        <f t="shared" si="136"/>
        <v/>
      </c>
      <c r="F2938" s="17" t="str">
        <f t="shared" si="137"/>
        <v/>
      </c>
    </row>
    <row r="2939" spans="2:6" x14ac:dyDescent="0.2">
      <c r="B2939" s="12"/>
      <c r="C2939" s="12"/>
      <c r="D2939" s="17" t="str">
        <f t="shared" si="138"/>
        <v/>
      </c>
      <c r="E2939" s="18" t="str">
        <f t="shared" si="136"/>
        <v/>
      </c>
      <c r="F2939" s="17" t="str">
        <f t="shared" si="137"/>
        <v/>
      </c>
    </row>
    <row r="2940" spans="2:6" x14ac:dyDescent="0.2">
      <c r="B2940" s="12"/>
      <c r="C2940" s="12"/>
      <c r="D2940" s="17" t="str">
        <f t="shared" si="138"/>
        <v/>
      </c>
      <c r="E2940" s="18" t="str">
        <f t="shared" si="136"/>
        <v/>
      </c>
      <c r="F2940" s="17" t="str">
        <f t="shared" si="137"/>
        <v/>
      </c>
    </row>
    <row r="2941" spans="2:6" x14ac:dyDescent="0.2">
      <c r="B2941" s="12"/>
      <c r="C2941" s="12"/>
      <c r="D2941" s="17" t="str">
        <f t="shared" si="138"/>
        <v/>
      </c>
      <c r="E2941" s="18" t="str">
        <f t="shared" si="136"/>
        <v/>
      </c>
      <c r="F2941" s="17" t="str">
        <f t="shared" si="137"/>
        <v/>
      </c>
    </row>
    <row r="2942" spans="2:6" x14ac:dyDescent="0.2">
      <c r="B2942" s="12"/>
      <c r="C2942" s="12"/>
      <c r="D2942" s="17" t="str">
        <f t="shared" si="138"/>
        <v/>
      </c>
      <c r="E2942" s="18" t="str">
        <f t="shared" si="136"/>
        <v/>
      </c>
      <c r="F2942" s="17" t="str">
        <f t="shared" si="137"/>
        <v/>
      </c>
    </row>
    <row r="2943" spans="2:6" x14ac:dyDescent="0.2">
      <c r="B2943" s="12"/>
      <c r="C2943" s="12"/>
      <c r="D2943" s="17" t="str">
        <f t="shared" si="138"/>
        <v/>
      </c>
      <c r="E2943" s="18" t="str">
        <f t="shared" si="136"/>
        <v/>
      </c>
      <c r="F2943" s="17" t="str">
        <f t="shared" si="137"/>
        <v/>
      </c>
    </row>
    <row r="2944" spans="2:6" x14ac:dyDescent="0.2">
      <c r="B2944" s="12"/>
      <c r="C2944" s="12"/>
      <c r="D2944" s="17" t="str">
        <f t="shared" si="138"/>
        <v/>
      </c>
      <c r="E2944" s="18" t="str">
        <f t="shared" si="136"/>
        <v/>
      </c>
      <c r="F2944" s="17" t="str">
        <f t="shared" si="137"/>
        <v/>
      </c>
    </row>
    <row r="2945" spans="2:6" x14ac:dyDescent="0.2">
      <c r="B2945" s="12"/>
      <c r="C2945" s="12"/>
      <c r="D2945" s="17" t="str">
        <f t="shared" si="138"/>
        <v/>
      </c>
      <c r="E2945" s="18" t="str">
        <f t="shared" si="136"/>
        <v/>
      </c>
      <c r="F2945" s="17" t="str">
        <f t="shared" si="137"/>
        <v/>
      </c>
    </row>
    <row r="2946" spans="2:6" x14ac:dyDescent="0.2">
      <c r="B2946" s="12"/>
      <c r="C2946" s="12"/>
      <c r="D2946" s="17" t="str">
        <f t="shared" si="138"/>
        <v/>
      </c>
      <c r="E2946" s="18" t="str">
        <f t="shared" si="136"/>
        <v/>
      </c>
      <c r="F2946" s="17" t="str">
        <f t="shared" si="137"/>
        <v/>
      </c>
    </row>
    <row r="2947" spans="2:6" x14ac:dyDescent="0.2">
      <c r="B2947" s="12"/>
      <c r="C2947" s="12"/>
      <c r="D2947" s="17" t="str">
        <f t="shared" si="138"/>
        <v/>
      </c>
      <c r="E2947" s="18" t="str">
        <f t="shared" si="136"/>
        <v/>
      </c>
      <c r="F2947" s="17" t="str">
        <f t="shared" si="137"/>
        <v/>
      </c>
    </row>
    <row r="2948" spans="2:6" x14ac:dyDescent="0.2">
      <c r="B2948" s="12"/>
      <c r="C2948" s="12"/>
      <c r="D2948" s="17" t="str">
        <f t="shared" si="138"/>
        <v/>
      </c>
      <c r="E2948" s="18" t="str">
        <f t="shared" si="136"/>
        <v/>
      </c>
      <c r="F2948" s="17" t="str">
        <f t="shared" si="137"/>
        <v/>
      </c>
    </row>
    <row r="2949" spans="2:6" x14ac:dyDescent="0.2">
      <c r="B2949" s="12"/>
      <c r="C2949" s="12"/>
      <c r="D2949" s="17" t="str">
        <f t="shared" si="138"/>
        <v/>
      </c>
      <c r="E2949" s="18" t="str">
        <f t="shared" ref="E2949:E3012" si="139">IF(B2949="","",ABS(C2949-D2949))</f>
        <v/>
      </c>
      <c r="F2949" s="17" t="str">
        <f t="shared" ref="F2949:F3012" si="140">IF(B2949="","",E2949^2)</f>
        <v/>
      </c>
    </row>
    <row r="2950" spans="2:6" x14ac:dyDescent="0.2">
      <c r="B2950" s="12"/>
      <c r="C2950" s="12"/>
      <c r="D2950" s="17" t="str">
        <f t="shared" si="138"/>
        <v/>
      </c>
      <c r="E2950" s="18" t="str">
        <f t="shared" si="139"/>
        <v/>
      </c>
      <c r="F2950" s="17" t="str">
        <f t="shared" si="140"/>
        <v/>
      </c>
    </row>
    <row r="2951" spans="2:6" x14ac:dyDescent="0.2">
      <c r="B2951" s="12"/>
      <c r="C2951" s="12"/>
      <c r="D2951" s="17" t="str">
        <f t="shared" si="138"/>
        <v/>
      </c>
      <c r="E2951" s="18" t="str">
        <f t="shared" si="139"/>
        <v/>
      </c>
      <c r="F2951" s="17" t="str">
        <f t="shared" si="140"/>
        <v/>
      </c>
    </row>
    <row r="2952" spans="2:6" x14ac:dyDescent="0.2">
      <c r="B2952" s="12"/>
      <c r="C2952" s="12"/>
      <c r="D2952" s="17" t="str">
        <f t="shared" si="138"/>
        <v/>
      </c>
      <c r="E2952" s="18" t="str">
        <f t="shared" si="139"/>
        <v/>
      </c>
      <c r="F2952" s="17" t="str">
        <f t="shared" si="140"/>
        <v/>
      </c>
    </row>
    <row r="2953" spans="2:6" x14ac:dyDescent="0.2">
      <c r="B2953" s="12"/>
      <c r="C2953" s="12"/>
      <c r="D2953" s="17" t="str">
        <f t="shared" si="138"/>
        <v/>
      </c>
      <c r="E2953" s="18" t="str">
        <f t="shared" si="139"/>
        <v/>
      </c>
      <c r="F2953" s="17" t="str">
        <f t="shared" si="140"/>
        <v/>
      </c>
    </row>
    <row r="2954" spans="2:6" x14ac:dyDescent="0.2">
      <c r="B2954" s="12"/>
      <c r="C2954" s="12"/>
      <c r="D2954" s="17" t="str">
        <f t="shared" si="138"/>
        <v/>
      </c>
      <c r="E2954" s="18" t="str">
        <f t="shared" si="139"/>
        <v/>
      </c>
      <c r="F2954" s="17" t="str">
        <f t="shared" si="140"/>
        <v/>
      </c>
    </row>
    <row r="2955" spans="2:6" x14ac:dyDescent="0.2">
      <c r="B2955" s="12"/>
      <c r="C2955" s="12"/>
      <c r="D2955" s="17" t="str">
        <f t="shared" si="138"/>
        <v/>
      </c>
      <c r="E2955" s="18" t="str">
        <f t="shared" si="139"/>
        <v/>
      </c>
      <c r="F2955" s="17" t="str">
        <f t="shared" si="140"/>
        <v/>
      </c>
    </row>
    <row r="2956" spans="2:6" x14ac:dyDescent="0.2">
      <c r="B2956" s="12"/>
      <c r="C2956" s="12"/>
      <c r="D2956" s="17" t="str">
        <f t="shared" si="138"/>
        <v/>
      </c>
      <c r="E2956" s="18" t="str">
        <f t="shared" si="139"/>
        <v/>
      </c>
      <c r="F2956" s="17" t="str">
        <f t="shared" si="140"/>
        <v/>
      </c>
    </row>
    <row r="2957" spans="2:6" x14ac:dyDescent="0.2">
      <c r="B2957" s="12"/>
      <c r="C2957" s="12"/>
      <c r="D2957" s="17" t="str">
        <f t="shared" si="138"/>
        <v/>
      </c>
      <c r="E2957" s="18" t="str">
        <f t="shared" si="139"/>
        <v/>
      </c>
      <c r="F2957" s="17" t="str">
        <f t="shared" si="140"/>
        <v/>
      </c>
    </row>
    <row r="2958" spans="2:6" x14ac:dyDescent="0.2">
      <c r="B2958" s="12"/>
      <c r="C2958" s="12"/>
      <c r="D2958" s="17" t="str">
        <f t="shared" si="138"/>
        <v/>
      </c>
      <c r="E2958" s="18" t="str">
        <f t="shared" si="139"/>
        <v/>
      </c>
      <c r="F2958" s="17" t="str">
        <f t="shared" si="140"/>
        <v/>
      </c>
    </row>
    <row r="2959" spans="2:6" x14ac:dyDescent="0.2">
      <c r="B2959" s="12"/>
      <c r="C2959" s="12"/>
      <c r="D2959" s="17" t="str">
        <f t="shared" si="138"/>
        <v/>
      </c>
      <c r="E2959" s="18" t="str">
        <f t="shared" si="139"/>
        <v/>
      </c>
      <c r="F2959" s="17" t="str">
        <f t="shared" si="140"/>
        <v/>
      </c>
    </row>
    <row r="2960" spans="2:6" x14ac:dyDescent="0.2">
      <c r="B2960" s="12"/>
      <c r="C2960" s="12"/>
      <c r="D2960" s="17" t="str">
        <f t="shared" si="138"/>
        <v/>
      </c>
      <c r="E2960" s="18" t="str">
        <f t="shared" si="139"/>
        <v/>
      </c>
      <c r="F2960" s="17" t="str">
        <f t="shared" si="140"/>
        <v/>
      </c>
    </row>
    <row r="2961" spans="2:6" x14ac:dyDescent="0.2">
      <c r="B2961" s="12"/>
      <c r="C2961" s="12"/>
      <c r="D2961" s="17" t="str">
        <f t="shared" si="138"/>
        <v/>
      </c>
      <c r="E2961" s="18" t="str">
        <f t="shared" si="139"/>
        <v/>
      </c>
      <c r="F2961" s="17" t="str">
        <f t="shared" si="140"/>
        <v/>
      </c>
    </row>
    <row r="2962" spans="2:6" x14ac:dyDescent="0.2">
      <c r="B2962" s="12"/>
      <c r="C2962" s="12"/>
      <c r="D2962" s="17" t="str">
        <f t="shared" ref="D2962:D3025" si="141">IF(B2962="","",a+b*B2962)</f>
        <v/>
      </c>
      <c r="E2962" s="18" t="str">
        <f t="shared" si="139"/>
        <v/>
      </c>
      <c r="F2962" s="17" t="str">
        <f t="shared" si="140"/>
        <v/>
      </c>
    </row>
    <row r="2963" spans="2:6" x14ac:dyDescent="0.2">
      <c r="B2963" s="12"/>
      <c r="C2963" s="12"/>
      <c r="D2963" s="17" t="str">
        <f t="shared" si="141"/>
        <v/>
      </c>
      <c r="E2963" s="18" t="str">
        <f t="shared" si="139"/>
        <v/>
      </c>
      <c r="F2963" s="17" t="str">
        <f t="shared" si="140"/>
        <v/>
      </c>
    </row>
    <row r="2964" spans="2:6" x14ac:dyDescent="0.2">
      <c r="B2964" s="12"/>
      <c r="C2964" s="12"/>
      <c r="D2964" s="17" t="str">
        <f t="shared" si="141"/>
        <v/>
      </c>
      <c r="E2964" s="18" t="str">
        <f t="shared" si="139"/>
        <v/>
      </c>
      <c r="F2964" s="17" t="str">
        <f t="shared" si="140"/>
        <v/>
      </c>
    </row>
    <row r="2965" spans="2:6" x14ac:dyDescent="0.2">
      <c r="B2965" s="12"/>
      <c r="C2965" s="12"/>
      <c r="D2965" s="17" t="str">
        <f t="shared" si="141"/>
        <v/>
      </c>
      <c r="E2965" s="18" t="str">
        <f t="shared" si="139"/>
        <v/>
      </c>
      <c r="F2965" s="17" t="str">
        <f t="shared" si="140"/>
        <v/>
      </c>
    </row>
    <row r="2966" spans="2:6" x14ac:dyDescent="0.2">
      <c r="B2966" s="12"/>
      <c r="C2966" s="12"/>
      <c r="D2966" s="17" t="str">
        <f t="shared" si="141"/>
        <v/>
      </c>
      <c r="E2966" s="18" t="str">
        <f t="shared" si="139"/>
        <v/>
      </c>
      <c r="F2966" s="17" t="str">
        <f t="shared" si="140"/>
        <v/>
      </c>
    </row>
    <row r="2967" spans="2:6" x14ac:dyDescent="0.2">
      <c r="B2967" s="12"/>
      <c r="C2967" s="12"/>
      <c r="D2967" s="17" t="str">
        <f t="shared" si="141"/>
        <v/>
      </c>
      <c r="E2967" s="18" t="str">
        <f t="shared" si="139"/>
        <v/>
      </c>
      <c r="F2967" s="17" t="str">
        <f t="shared" si="140"/>
        <v/>
      </c>
    </row>
    <row r="2968" spans="2:6" x14ac:dyDescent="0.2">
      <c r="B2968" s="12"/>
      <c r="C2968" s="12"/>
      <c r="D2968" s="17" t="str">
        <f t="shared" si="141"/>
        <v/>
      </c>
      <c r="E2968" s="18" t="str">
        <f t="shared" si="139"/>
        <v/>
      </c>
      <c r="F2968" s="17" t="str">
        <f t="shared" si="140"/>
        <v/>
      </c>
    </row>
    <row r="2969" spans="2:6" x14ac:dyDescent="0.2">
      <c r="B2969" s="12"/>
      <c r="C2969" s="12"/>
      <c r="D2969" s="17" t="str">
        <f t="shared" si="141"/>
        <v/>
      </c>
      <c r="E2969" s="18" t="str">
        <f t="shared" si="139"/>
        <v/>
      </c>
      <c r="F2969" s="17" t="str">
        <f t="shared" si="140"/>
        <v/>
      </c>
    </row>
    <row r="2970" spans="2:6" x14ac:dyDescent="0.2">
      <c r="B2970" s="12"/>
      <c r="C2970" s="12"/>
      <c r="D2970" s="17" t="str">
        <f t="shared" si="141"/>
        <v/>
      </c>
      <c r="E2970" s="18" t="str">
        <f t="shared" si="139"/>
        <v/>
      </c>
      <c r="F2970" s="17" t="str">
        <f t="shared" si="140"/>
        <v/>
      </c>
    </row>
    <row r="2971" spans="2:6" x14ac:dyDescent="0.2">
      <c r="B2971" s="12"/>
      <c r="C2971" s="12"/>
      <c r="D2971" s="17" t="str">
        <f t="shared" si="141"/>
        <v/>
      </c>
      <c r="E2971" s="18" t="str">
        <f t="shared" si="139"/>
        <v/>
      </c>
      <c r="F2971" s="17" t="str">
        <f t="shared" si="140"/>
        <v/>
      </c>
    </row>
    <row r="2972" spans="2:6" x14ac:dyDescent="0.2">
      <c r="B2972" s="12"/>
      <c r="C2972" s="12"/>
      <c r="D2972" s="17" t="str">
        <f t="shared" si="141"/>
        <v/>
      </c>
      <c r="E2972" s="18" t="str">
        <f t="shared" si="139"/>
        <v/>
      </c>
      <c r="F2972" s="17" t="str">
        <f t="shared" si="140"/>
        <v/>
      </c>
    </row>
    <row r="2973" spans="2:6" x14ac:dyDescent="0.2">
      <c r="B2973" s="12"/>
      <c r="C2973" s="12"/>
      <c r="D2973" s="17" t="str">
        <f t="shared" si="141"/>
        <v/>
      </c>
      <c r="E2973" s="18" t="str">
        <f t="shared" si="139"/>
        <v/>
      </c>
      <c r="F2973" s="17" t="str">
        <f t="shared" si="140"/>
        <v/>
      </c>
    </row>
    <row r="2974" spans="2:6" x14ac:dyDescent="0.2">
      <c r="B2974" s="12"/>
      <c r="C2974" s="12"/>
      <c r="D2974" s="17" t="str">
        <f t="shared" si="141"/>
        <v/>
      </c>
      <c r="E2974" s="18" t="str">
        <f t="shared" si="139"/>
        <v/>
      </c>
      <c r="F2974" s="17" t="str">
        <f t="shared" si="140"/>
        <v/>
      </c>
    </row>
    <row r="2975" spans="2:6" x14ac:dyDescent="0.2">
      <c r="B2975" s="12"/>
      <c r="C2975" s="12"/>
      <c r="D2975" s="17" t="str">
        <f t="shared" si="141"/>
        <v/>
      </c>
      <c r="E2975" s="18" t="str">
        <f t="shared" si="139"/>
        <v/>
      </c>
      <c r="F2975" s="17" t="str">
        <f t="shared" si="140"/>
        <v/>
      </c>
    </row>
    <row r="2976" spans="2:6" x14ac:dyDescent="0.2">
      <c r="B2976" s="12"/>
      <c r="C2976" s="12"/>
      <c r="D2976" s="17" t="str">
        <f t="shared" si="141"/>
        <v/>
      </c>
      <c r="E2976" s="18" t="str">
        <f t="shared" si="139"/>
        <v/>
      </c>
      <c r="F2976" s="17" t="str">
        <f t="shared" si="140"/>
        <v/>
      </c>
    </row>
    <row r="2977" spans="2:6" x14ac:dyDescent="0.2">
      <c r="B2977" s="12"/>
      <c r="C2977" s="12"/>
      <c r="D2977" s="17" t="str">
        <f t="shared" si="141"/>
        <v/>
      </c>
      <c r="E2977" s="18" t="str">
        <f t="shared" si="139"/>
        <v/>
      </c>
      <c r="F2977" s="17" t="str">
        <f t="shared" si="140"/>
        <v/>
      </c>
    </row>
    <row r="2978" spans="2:6" x14ac:dyDescent="0.2">
      <c r="B2978" s="12"/>
      <c r="C2978" s="12"/>
      <c r="D2978" s="17" t="str">
        <f t="shared" si="141"/>
        <v/>
      </c>
      <c r="E2978" s="18" t="str">
        <f t="shared" si="139"/>
        <v/>
      </c>
      <c r="F2978" s="17" t="str">
        <f t="shared" si="140"/>
        <v/>
      </c>
    </row>
    <row r="2979" spans="2:6" x14ac:dyDescent="0.2">
      <c r="B2979" s="12"/>
      <c r="C2979" s="12"/>
      <c r="D2979" s="17" t="str">
        <f t="shared" si="141"/>
        <v/>
      </c>
      <c r="E2979" s="18" t="str">
        <f t="shared" si="139"/>
        <v/>
      </c>
      <c r="F2979" s="17" t="str">
        <f t="shared" si="140"/>
        <v/>
      </c>
    </row>
    <row r="2980" spans="2:6" x14ac:dyDescent="0.2">
      <c r="B2980" s="12"/>
      <c r="C2980" s="12"/>
      <c r="D2980" s="17" t="str">
        <f t="shared" si="141"/>
        <v/>
      </c>
      <c r="E2980" s="18" t="str">
        <f t="shared" si="139"/>
        <v/>
      </c>
      <c r="F2980" s="17" t="str">
        <f t="shared" si="140"/>
        <v/>
      </c>
    </row>
    <row r="2981" spans="2:6" x14ac:dyDescent="0.2">
      <c r="B2981" s="12"/>
      <c r="C2981" s="12"/>
      <c r="D2981" s="17" t="str">
        <f t="shared" si="141"/>
        <v/>
      </c>
      <c r="E2981" s="18" t="str">
        <f t="shared" si="139"/>
        <v/>
      </c>
      <c r="F2981" s="17" t="str">
        <f t="shared" si="140"/>
        <v/>
      </c>
    </row>
    <row r="2982" spans="2:6" x14ac:dyDescent="0.2">
      <c r="B2982" s="12"/>
      <c r="C2982" s="12"/>
      <c r="D2982" s="17" t="str">
        <f t="shared" si="141"/>
        <v/>
      </c>
      <c r="E2982" s="18" t="str">
        <f t="shared" si="139"/>
        <v/>
      </c>
      <c r="F2982" s="17" t="str">
        <f t="shared" si="140"/>
        <v/>
      </c>
    </row>
    <row r="2983" spans="2:6" x14ac:dyDescent="0.2">
      <c r="B2983" s="12"/>
      <c r="C2983" s="12"/>
      <c r="D2983" s="17" t="str">
        <f t="shared" si="141"/>
        <v/>
      </c>
      <c r="E2983" s="18" t="str">
        <f t="shared" si="139"/>
        <v/>
      </c>
      <c r="F2983" s="17" t="str">
        <f t="shared" si="140"/>
        <v/>
      </c>
    </row>
    <row r="2984" spans="2:6" x14ac:dyDescent="0.2">
      <c r="B2984" s="12"/>
      <c r="C2984" s="12"/>
      <c r="D2984" s="17" t="str">
        <f t="shared" si="141"/>
        <v/>
      </c>
      <c r="E2984" s="18" t="str">
        <f t="shared" si="139"/>
        <v/>
      </c>
      <c r="F2984" s="17" t="str">
        <f t="shared" si="140"/>
        <v/>
      </c>
    </row>
    <row r="2985" spans="2:6" x14ac:dyDescent="0.2">
      <c r="B2985" s="12"/>
      <c r="C2985" s="12"/>
      <c r="D2985" s="17" t="str">
        <f t="shared" si="141"/>
        <v/>
      </c>
      <c r="E2985" s="18" t="str">
        <f t="shared" si="139"/>
        <v/>
      </c>
      <c r="F2985" s="17" t="str">
        <f t="shared" si="140"/>
        <v/>
      </c>
    </row>
    <row r="2986" spans="2:6" x14ac:dyDescent="0.2">
      <c r="B2986" s="12"/>
      <c r="C2986" s="12"/>
      <c r="D2986" s="17" t="str">
        <f t="shared" si="141"/>
        <v/>
      </c>
      <c r="E2986" s="18" t="str">
        <f t="shared" si="139"/>
        <v/>
      </c>
      <c r="F2986" s="17" t="str">
        <f t="shared" si="140"/>
        <v/>
      </c>
    </row>
    <row r="2987" spans="2:6" x14ac:dyDescent="0.2">
      <c r="B2987" s="12"/>
      <c r="C2987" s="12"/>
      <c r="D2987" s="17" t="str">
        <f t="shared" si="141"/>
        <v/>
      </c>
      <c r="E2987" s="18" t="str">
        <f t="shared" si="139"/>
        <v/>
      </c>
      <c r="F2987" s="17" t="str">
        <f t="shared" si="140"/>
        <v/>
      </c>
    </row>
    <row r="2988" spans="2:6" x14ac:dyDescent="0.2">
      <c r="B2988" s="12"/>
      <c r="C2988" s="12"/>
      <c r="D2988" s="17" t="str">
        <f t="shared" si="141"/>
        <v/>
      </c>
      <c r="E2988" s="18" t="str">
        <f t="shared" si="139"/>
        <v/>
      </c>
      <c r="F2988" s="17" t="str">
        <f t="shared" si="140"/>
        <v/>
      </c>
    </row>
    <row r="2989" spans="2:6" x14ac:dyDescent="0.2">
      <c r="B2989" s="12"/>
      <c r="C2989" s="12"/>
      <c r="D2989" s="17" t="str">
        <f t="shared" si="141"/>
        <v/>
      </c>
      <c r="E2989" s="18" t="str">
        <f t="shared" si="139"/>
        <v/>
      </c>
      <c r="F2989" s="17" t="str">
        <f t="shared" si="140"/>
        <v/>
      </c>
    </row>
    <row r="2990" spans="2:6" x14ac:dyDescent="0.2">
      <c r="B2990" s="12"/>
      <c r="C2990" s="12"/>
      <c r="D2990" s="17" t="str">
        <f t="shared" si="141"/>
        <v/>
      </c>
      <c r="E2990" s="18" t="str">
        <f t="shared" si="139"/>
        <v/>
      </c>
      <c r="F2990" s="17" t="str">
        <f t="shared" si="140"/>
        <v/>
      </c>
    </row>
    <row r="2991" spans="2:6" x14ac:dyDescent="0.2">
      <c r="B2991" s="12"/>
      <c r="C2991" s="12"/>
      <c r="D2991" s="17" t="str">
        <f t="shared" si="141"/>
        <v/>
      </c>
      <c r="E2991" s="18" t="str">
        <f t="shared" si="139"/>
        <v/>
      </c>
      <c r="F2991" s="17" t="str">
        <f t="shared" si="140"/>
        <v/>
      </c>
    </row>
    <row r="2992" spans="2:6" x14ac:dyDescent="0.2">
      <c r="B2992" s="12"/>
      <c r="C2992" s="12"/>
      <c r="D2992" s="17" t="str">
        <f t="shared" si="141"/>
        <v/>
      </c>
      <c r="E2992" s="18" t="str">
        <f t="shared" si="139"/>
        <v/>
      </c>
      <c r="F2992" s="17" t="str">
        <f t="shared" si="140"/>
        <v/>
      </c>
    </row>
    <row r="2993" spans="2:6" x14ac:dyDescent="0.2">
      <c r="B2993" s="12"/>
      <c r="C2993" s="12"/>
      <c r="D2993" s="17" t="str">
        <f t="shared" si="141"/>
        <v/>
      </c>
      <c r="E2993" s="18" t="str">
        <f t="shared" si="139"/>
        <v/>
      </c>
      <c r="F2993" s="17" t="str">
        <f t="shared" si="140"/>
        <v/>
      </c>
    </row>
    <row r="2994" spans="2:6" x14ac:dyDescent="0.2">
      <c r="B2994" s="12"/>
      <c r="C2994" s="12"/>
      <c r="D2994" s="17" t="str">
        <f t="shared" si="141"/>
        <v/>
      </c>
      <c r="E2994" s="18" t="str">
        <f t="shared" si="139"/>
        <v/>
      </c>
      <c r="F2994" s="17" t="str">
        <f t="shared" si="140"/>
        <v/>
      </c>
    </row>
    <row r="2995" spans="2:6" x14ac:dyDescent="0.2">
      <c r="B2995" s="12"/>
      <c r="C2995" s="12"/>
      <c r="D2995" s="17" t="str">
        <f t="shared" si="141"/>
        <v/>
      </c>
      <c r="E2995" s="18" t="str">
        <f t="shared" si="139"/>
        <v/>
      </c>
      <c r="F2995" s="17" t="str">
        <f t="shared" si="140"/>
        <v/>
      </c>
    </row>
    <row r="2996" spans="2:6" x14ac:dyDescent="0.2">
      <c r="B2996" s="12"/>
      <c r="C2996" s="12"/>
      <c r="D2996" s="17" t="str">
        <f t="shared" si="141"/>
        <v/>
      </c>
      <c r="E2996" s="18" t="str">
        <f t="shared" si="139"/>
        <v/>
      </c>
      <c r="F2996" s="17" t="str">
        <f t="shared" si="140"/>
        <v/>
      </c>
    </row>
    <row r="2997" spans="2:6" x14ac:dyDescent="0.2">
      <c r="B2997" s="12"/>
      <c r="C2997" s="12"/>
      <c r="D2997" s="17" t="str">
        <f t="shared" si="141"/>
        <v/>
      </c>
      <c r="E2997" s="18" t="str">
        <f t="shared" si="139"/>
        <v/>
      </c>
      <c r="F2997" s="17" t="str">
        <f t="shared" si="140"/>
        <v/>
      </c>
    </row>
    <row r="2998" spans="2:6" x14ac:dyDescent="0.2">
      <c r="B2998" s="12"/>
      <c r="C2998" s="12"/>
      <c r="D2998" s="17" t="str">
        <f t="shared" si="141"/>
        <v/>
      </c>
      <c r="E2998" s="18" t="str">
        <f t="shared" si="139"/>
        <v/>
      </c>
      <c r="F2998" s="17" t="str">
        <f t="shared" si="140"/>
        <v/>
      </c>
    </row>
    <row r="2999" spans="2:6" x14ac:dyDescent="0.2">
      <c r="B2999" s="12"/>
      <c r="C2999" s="12"/>
      <c r="D2999" s="17" t="str">
        <f t="shared" si="141"/>
        <v/>
      </c>
      <c r="E2999" s="18" t="str">
        <f t="shared" si="139"/>
        <v/>
      </c>
      <c r="F2999" s="17" t="str">
        <f t="shared" si="140"/>
        <v/>
      </c>
    </row>
    <row r="3000" spans="2:6" x14ac:dyDescent="0.2">
      <c r="B3000" s="12"/>
      <c r="C3000" s="12"/>
      <c r="D3000" s="17" t="str">
        <f t="shared" si="141"/>
        <v/>
      </c>
      <c r="E3000" s="18" t="str">
        <f t="shared" si="139"/>
        <v/>
      </c>
      <c r="F3000" s="17" t="str">
        <f t="shared" si="140"/>
        <v/>
      </c>
    </row>
    <row r="3001" spans="2:6" x14ac:dyDescent="0.2">
      <c r="B3001" s="12"/>
      <c r="C3001" s="12"/>
      <c r="D3001" s="17" t="str">
        <f t="shared" si="141"/>
        <v/>
      </c>
      <c r="E3001" s="18" t="str">
        <f t="shared" si="139"/>
        <v/>
      </c>
      <c r="F3001" s="17" t="str">
        <f t="shared" si="140"/>
        <v/>
      </c>
    </row>
    <row r="3002" spans="2:6" x14ac:dyDescent="0.2">
      <c r="B3002" s="12"/>
      <c r="C3002" s="12"/>
      <c r="D3002" s="17" t="str">
        <f t="shared" si="141"/>
        <v/>
      </c>
      <c r="E3002" s="18" t="str">
        <f t="shared" si="139"/>
        <v/>
      </c>
      <c r="F3002" s="17" t="str">
        <f t="shared" si="140"/>
        <v/>
      </c>
    </row>
    <row r="3003" spans="2:6" x14ac:dyDescent="0.2">
      <c r="B3003" s="12"/>
      <c r="C3003" s="12"/>
      <c r="D3003" s="17" t="str">
        <f t="shared" si="141"/>
        <v/>
      </c>
      <c r="E3003" s="18" t="str">
        <f t="shared" si="139"/>
        <v/>
      </c>
      <c r="F3003" s="17" t="str">
        <f t="shared" si="140"/>
        <v/>
      </c>
    </row>
    <row r="3004" spans="2:6" x14ac:dyDescent="0.2">
      <c r="B3004" s="12"/>
      <c r="C3004" s="12"/>
      <c r="D3004" s="17" t="str">
        <f t="shared" si="141"/>
        <v/>
      </c>
      <c r="E3004" s="18" t="str">
        <f t="shared" si="139"/>
        <v/>
      </c>
      <c r="F3004" s="17" t="str">
        <f t="shared" si="140"/>
        <v/>
      </c>
    </row>
    <row r="3005" spans="2:6" x14ac:dyDescent="0.2">
      <c r="B3005" s="12"/>
      <c r="C3005" s="12"/>
      <c r="D3005" s="17" t="str">
        <f t="shared" si="141"/>
        <v/>
      </c>
      <c r="E3005" s="18" t="str">
        <f t="shared" si="139"/>
        <v/>
      </c>
      <c r="F3005" s="17" t="str">
        <f t="shared" si="140"/>
        <v/>
      </c>
    </row>
    <row r="3006" spans="2:6" x14ac:dyDescent="0.2">
      <c r="B3006" s="12"/>
      <c r="C3006" s="12"/>
      <c r="D3006" s="17" t="str">
        <f t="shared" si="141"/>
        <v/>
      </c>
      <c r="E3006" s="18" t="str">
        <f t="shared" si="139"/>
        <v/>
      </c>
      <c r="F3006" s="17" t="str">
        <f t="shared" si="140"/>
        <v/>
      </c>
    </row>
    <row r="3007" spans="2:6" x14ac:dyDescent="0.2">
      <c r="B3007" s="12"/>
      <c r="C3007" s="12"/>
      <c r="D3007" s="17" t="str">
        <f t="shared" si="141"/>
        <v/>
      </c>
      <c r="E3007" s="18" t="str">
        <f t="shared" si="139"/>
        <v/>
      </c>
      <c r="F3007" s="17" t="str">
        <f t="shared" si="140"/>
        <v/>
      </c>
    </row>
    <row r="3008" spans="2:6" x14ac:dyDescent="0.2">
      <c r="B3008" s="12"/>
      <c r="C3008" s="12"/>
      <c r="D3008" s="17" t="str">
        <f t="shared" si="141"/>
        <v/>
      </c>
      <c r="E3008" s="18" t="str">
        <f t="shared" si="139"/>
        <v/>
      </c>
      <c r="F3008" s="17" t="str">
        <f t="shared" si="140"/>
        <v/>
      </c>
    </row>
    <row r="3009" spans="2:6" x14ac:dyDescent="0.2">
      <c r="B3009" s="12"/>
      <c r="C3009" s="12"/>
      <c r="D3009" s="17" t="str">
        <f t="shared" si="141"/>
        <v/>
      </c>
      <c r="E3009" s="18" t="str">
        <f t="shared" si="139"/>
        <v/>
      </c>
      <c r="F3009" s="17" t="str">
        <f t="shared" si="140"/>
        <v/>
      </c>
    </row>
    <row r="3010" spans="2:6" x14ac:dyDescent="0.2">
      <c r="B3010" s="12"/>
      <c r="C3010" s="12"/>
      <c r="D3010" s="17" t="str">
        <f t="shared" si="141"/>
        <v/>
      </c>
      <c r="E3010" s="18" t="str">
        <f t="shared" si="139"/>
        <v/>
      </c>
      <c r="F3010" s="17" t="str">
        <f t="shared" si="140"/>
        <v/>
      </c>
    </row>
    <row r="3011" spans="2:6" x14ac:dyDescent="0.2">
      <c r="B3011" s="12"/>
      <c r="C3011" s="12"/>
      <c r="D3011" s="17" t="str">
        <f t="shared" si="141"/>
        <v/>
      </c>
      <c r="E3011" s="18" t="str">
        <f t="shared" si="139"/>
        <v/>
      </c>
      <c r="F3011" s="17" t="str">
        <f t="shared" si="140"/>
        <v/>
      </c>
    </row>
    <row r="3012" spans="2:6" x14ac:dyDescent="0.2">
      <c r="B3012" s="12"/>
      <c r="C3012" s="12"/>
      <c r="D3012" s="17" t="str">
        <f t="shared" si="141"/>
        <v/>
      </c>
      <c r="E3012" s="18" t="str">
        <f t="shared" si="139"/>
        <v/>
      </c>
      <c r="F3012" s="17" t="str">
        <f t="shared" si="140"/>
        <v/>
      </c>
    </row>
    <row r="3013" spans="2:6" x14ac:dyDescent="0.2">
      <c r="B3013" s="12"/>
      <c r="C3013" s="12"/>
      <c r="D3013" s="17" t="str">
        <f t="shared" si="141"/>
        <v/>
      </c>
      <c r="E3013" s="18" t="str">
        <f t="shared" ref="E3013:E3076" si="142">IF(B3013="","",ABS(C3013-D3013))</f>
        <v/>
      </c>
      <c r="F3013" s="17" t="str">
        <f t="shared" ref="F3013:F3076" si="143">IF(B3013="","",E3013^2)</f>
        <v/>
      </c>
    </row>
    <row r="3014" spans="2:6" x14ac:dyDescent="0.2">
      <c r="B3014" s="12"/>
      <c r="C3014" s="12"/>
      <c r="D3014" s="17" t="str">
        <f t="shared" si="141"/>
        <v/>
      </c>
      <c r="E3014" s="18" t="str">
        <f t="shared" si="142"/>
        <v/>
      </c>
      <c r="F3014" s="17" t="str">
        <f t="shared" si="143"/>
        <v/>
      </c>
    </row>
    <row r="3015" spans="2:6" x14ac:dyDescent="0.2">
      <c r="B3015" s="12"/>
      <c r="C3015" s="12"/>
      <c r="D3015" s="17" t="str">
        <f t="shared" si="141"/>
        <v/>
      </c>
      <c r="E3015" s="18" t="str">
        <f t="shared" si="142"/>
        <v/>
      </c>
      <c r="F3015" s="17" t="str">
        <f t="shared" si="143"/>
        <v/>
      </c>
    </row>
    <row r="3016" spans="2:6" x14ac:dyDescent="0.2">
      <c r="B3016" s="12"/>
      <c r="C3016" s="12"/>
      <c r="D3016" s="17" t="str">
        <f t="shared" si="141"/>
        <v/>
      </c>
      <c r="E3016" s="18" t="str">
        <f t="shared" si="142"/>
        <v/>
      </c>
      <c r="F3016" s="17" t="str">
        <f t="shared" si="143"/>
        <v/>
      </c>
    </row>
    <row r="3017" spans="2:6" x14ac:dyDescent="0.2">
      <c r="B3017" s="12"/>
      <c r="C3017" s="12"/>
      <c r="D3017" s="17" t="str">
        <f t="shared" si="141"/>
        <v/>
      </c>
      <c r="E3017" s="18" t="str">
        <f t="shared" si="142"/>
        <v/>
      </c>
      <c r="F3017" s="17" t="str">
        <f t="shared" si="143"/>
        <v/>
      </c>
    </row>
    <row r="3018" spans="2:6" x14ac:dyDescent="0.2">
      <c r="B3018" s="12"/>
      <c r="C3018" s="12"/>
      <c r="D3018" s="17" t="str">
        <f t="shared" si="141"/>
        <v/>
      </c>
      <c r="E3018" s="18" t="str">
        <f t="shared" si="142"/>
        <v/>
      </c>
      <c r="F3018" s="17" t="str">
        <f t="shared" si="143"/>
        <v/>
      </c>
    </row>
    <row r="3019" spans="2:6" x14ac:dyDescent="0.2">
      <c r="B3019" s="12"/>
      <c r="C3019" s="12"/>
      <c r="D3019" s="17" t="str">
        <f t="shared" si="141"/>
        <v/>
      </c>
      <c r="E3019" s="18" t="str">
        <f t="shared" si="142"/>
        <v/>
      </c>
      <c r="F3019" s="17" t="str">
        <f t="shared" si="143"/>
        <v/>
      </c>
    </row>
    <row r="3020" spans="2:6" x14ac:dyDescent="0.2">
      <c r="B3020" s="12"/>
      <c r="C3020" s="12"/>
      <c r="D3020" s="17" t="str">
        <f t="shared" si="141"/>
        <v/>
      </c>
      <c r="E3020" s="18" t="str">
        <f t="shared" si="142"/>
        <v/>
      </c>
      <c r="F3020" s="17" t="str">
        <f t="shared" si="143"/>
        <v/>
      </c>
    </row>
    <row r="3021" spans="2:6" x14ac:dyDescent="0.2">
      <c r="B3021" s="12"/>
      <c r="C3021" s="12"/>
      <c r="D3021" s="17" t="str">
        <f t="shared" si="141"/>
        <v/>
      </c>
      <c r="E3021" s="18" t="str">
        <f t="shared" si="142"/>
        <v/>
      </c>
      <c r="F3021" s="17" t="str">
        <f t="shared" si="143"/>
        <v/>
      </c>
    </row>
    <row r="3022" spans="2:6" x14ac:dyDescent="0.2">
      <c r="B3022" s="12"/>
      <c r="C3022" s="12"/>
      <c r="D3022" s="17" t="str">
        <f t="shared" si="141"/>
        <v/>
      </c>
      <c r="E3022" s="18" t="str">
        <f t="shared" si="142"/>
        <v/>
      </c>
      <c r="F3022" s="17" t="str">
        <f t="shared" si="143"/>
        <v/>
      </c>
    </row>
    <row r="3023" spans="2:6" x14ac:dyDescent="0.2">
      <c r="B3023" s="12"/>
      <c r="C3023" s="12"/>
      <c r="D3023" s="17" t="str">
        <f t="shared" si="141"/>
        <v/>
      </c>
      <c r="E3023" s="18" t="str">
        <f t="shared" si="142"/>
        <v/>
      </c>
      <c r="F3023" s="17" t="str">
        <f t="shared" si="143"/>
        <v/>
      </c>
    </row>
    <row r="3024" spans="2:6" x14ac:dyDescent="0.2">
      <c r="B3024" s="12"/>
      <c r="C3024" s="12"/>
      <c r="D3024" s="17" t="str">
        <f t="shared" si="141"/>
        <v/>
      </c>
      <c r="E3024" s="18" t="str">
        <f t="shared" si="142"/>
        <v/>
      </c>
      <c r="F3024" s="17" t="str">
        <f t="shared" si="143"/>
        <v/>
      </c>
    </row>
    <row r="3025" spans="2:6" x14ac:dyDescent="0.2">
      <c r="B3025" s="12"/>
      <c r="C3025" s="12"/>
      <c r="D3025" s="17" t="str">
        <f t="shared" si="141"/>
        <v/>
      </c>
      <c r="E3025" s="18" t="str">
        <f t="shared" si="142"/>
        <v/>
      </c>
      <c r="F3025" s="17" t="str">
        <f t="shared" si="143"/>
        <v/>
      </c>
    </row>
    <row r="3026" spans="2:6" x14ac:dyDescent="0.2">
      <c r="B3026" s="12"/>
      <c r="C3026" s="12"/>
      <c r="D3026" s="17" t="str">
        <f t="shared" ref="D3026:D3089" si="144">IF(B3026="","",a+b*B3026)</f>
        <v/>
      </c>
      <c r="E3026" s="18" t="str">
        <f t="shared" si="142"/>
        <v/>
      </c>
      <c r="F3026" s="17" t="str">
        <f t="shared" si="143"/>
        <v/>
      </c>
    </row>
    <row r="3027" spans="2:6" x14ac:dyDescent="0.2">
      <c r="B3027" s="12"/>
      <c r="C3027" s="12"/>
      <c r="D3027" s="17" t="str">
        <f t="shared" si="144"/>
        <v/>
      </c>
      <c r="E3027" s="18" t="str">
        <f t="shared" si="142"/>
        <v/>
      </c>
      <c r="F3027" s="17" t="str">
        <f t="shared" si="143"/>
        <v/>
      </c>
    </row>
    <row r="3028" spans="2:6" x14ac:dyDescent="0.2">
      <c r="B3028" s="12"/>
      <c r="C3028" s="12"/>
      <c r="D3028" s="17" t="str">
        <f t="shared" si="144"/>
        <v/>
      </c>
      <c r="E3028" s="18" t="str">
        <f t="shared" si="142"/>
        <v/>
      </c>
      <c r="F3028" s="17" t="str">
        <f t="shared" si="143"/>
        <v/>
      </c>
    </row>
    <row r="3029" spans="2:6" x14ac:dyDescent="0.2">
      <c r="B3029" s="12"/>
      <c r="C3029" s="12"/>
      <c r="D3029" s="17" t="str">
        <f t="shared" si="144"/>
        <v/>
      </c>
      <c r="E3029" s="18" t="str">
        <f t="shared" si="142"/>
        <v/>
      </c>
      <c r="F3029" s="17" t="str">
        <f t="shared" si="143"/>
        <v/>
      </c>
    </row>
    <row r="3030" spans="2:6" x14ac:dyDescent="0.2">
      <c r="B3030" s="12"/>
      <c r="C3030" s="12"/>
      <c r="D3030" s="17" t="str">
        <f t="shared" si="144"/>
        <v/>
      </c>
      <c r="E3030" s="18" t="str">
        <f t="shared" si="142"/>
        <v/>
      </c>
      <c r="F3030" s="17" t="str">
        <f t="shared" si="143"/>
        <v/>
      </c>
    </row>
    <row r="3031" spans="2:6" x14ac:dyDescent="0.2">
      <c r="B3031" s="12"/>
      <c r="C3031" s="12"/>
      <c r="D3031" s="17" t="str">
        <f t="shared" si="144"/>
        <v/>
      </c>
      <c r="E3031" s="18" t="str">
        <f t="shared" si="142"/>
        <v/>
      </c>
      <c r="F3031" s="17" t="str">
        <f t="shared" si="143"/>
        <v/>
      </c>
    </row>
    <row r="3032" spans="2:6" x14ac:dyDescent="0.2">
      <c r="B3032" s="12"/>
      <c r="C3032" s="12"/>
      <c r="D3032" s="17" t="str">
        <f t="shared" si="144"/>
        <v/>
      </c>
      <c r="E3032" s="18" t="str">
        <f t="shared" si="142"/>
        <v/>
      </c>
      <c r="F3032" s="17" t="str">
        <f t="shared" si="143"/>
        <v/>
      </c>
    </row>
    <row r="3033" spans="2:6" x14ac:dyDescent="0.2">
      <c r="B3033" s="12"/>
      <c r="C3033" s="12"/>
      <c r="D3033" s="17" t="str">
        <f t="shared" si="144"/>
        <v/>
      </c>
      <c r="E3033" s="18" t="str">
        <f t="shared" si="142"/>
        <v/>
      </c>
      <c r="F3033" s="17" t="str">
        <f t="shared" si="143"/>
        <v/>
      </c>
    </row>
    <row r="3034" spans="2:6" x14ac:dyDescent="0.2">
      <c r="B3034" s="12"/>
      <c r="C3034" s="12"/>
      <c r="D3034" s="17" t="str">
        <f t="shared" si="144"/>
        <v/>
      </c>
      <c r="E3034" s="18" t="str">
        <f t="shared" si="142"/>
        <v/>
      </c>
      <c r="F3034" s="17" t="str">
        <f t="shared" si="143"/>
        <v/>
      </c>
    </row>
    <row r="3035" spans="2:6" x14ac:dyDescent="0.2">
      <c r="B3035" s="12"/>
      <c r="C3035" s="12"/>
      <c r="D3035" s="17" t="str">
        <f t="shared" si="144"/>
        <v/>
      </c>
      <c r="E3035" s="18" t="str">
        <f t="shared" si="142"/>
        <v/>
      </c>
      <c r="F3035" s="17" t="str">
        <f t="shared" si="143"/>
        <v/>
      </c>
    </row>
    <row r="3036" spans="2:6" x14ac:dyDescent="0.2">
      <c r="B3036" s="12"/>
      <c r="C3036" s="12"/>
      <c r="D3036" s="17" t="str">
        <f t="shared" si="144"/>
        <v/>
      </c>
      <c r="E3036" s="18" t="str">
        <f t="shared" si="142"/>
        <v/>
      </c>
      <c r="F3036" s="17" t="str">
        <f t="shared" si="143"/>
        <v/>
      </c>
    </row>
    <row r="3037" spans="2:6" x14ac:dyDescent="0.2">
      <c r="B3037" s="12"/>
      <c r="C3037" s="12"/>
      <c r="D3037" s="17" t="str">
        <f t="shared" si="144"/>
        <v/>
      </c>
      <c r="E3037" s="18" t="str">
        <f t="shared" si="142"/>
        <v/>
      </c>
      <c r="F3037" s="17" t="str">
        <f t="shared" si="143"/>
        <v/>
      </c>
    </row>
    <row r="3038" spans="2:6" x14ac:dyDescent="0.2">
      <c r="B3038" s="12"/>
      <c r="C3038" s="12"/>
      <c r="D3038" s="17" t="str">
        <f t="shared" si="144"/>
        <v/>
      </c>
      <c r="E3038" s="18" t="str">
        <f t="shared" si="142"/>
        <v/>
      </c>
      <c r="F3038" s="17" t="str">
        <f t="shared" si="143"/>
        <v/>
      </c>
    </row>
    <row r="3039" spans="2:6" x14ac:dyDescent="0.2">
      <c r="B3039" s="12"/>
      <c r="C3039" s="12"/>
      <c r="D3039" s="17" t="str">
        <f t="shared" si="144"/>
        <v/>
      </c>
      <c r="E3039" s="18" t="str">
        <f t="shared" si="142"/>
        <v/>
      </c>
      <c r="F3039" s="17" t="str">
        <f t="shared" si="143"/>
        <v/>
      </c>
    </row>
    <row r="3040" spans="2:6" x14ac:dyDescent="0.2">
      <c r="B3040" s="12"/>
      <c r="C3040" s="12"/>
      <c r="D3040" s="17" t="str">
        <f t="shared" si="144"/>
        <v/>
      </c>
      <c r="E3040" s="18" t="str">
        <f t="shared" si="142"/>
        <v/>
      </c>
      <c r="F3040" s="17" t="str">
        <f t="shared" si="143"/>
        <v/>
      </c>
    </row>
    <row r="3041" spans="2:6" x14ac:dyDescent="0.2">
      <c r="B3041" s="12"/>
      <c r="C3041" s="12"/>
      <c r="D3041" s="17" t="str">
        <f t="shared" si="144"/>
        <v/>
      </c>
      <c r="E3041" s="18" t="str">
        <f t="shared" si="142"/>
        <v/>
      </c>
      <c r="F3041" s="17" t="str">
        <f t="shared" si="143"/>
        <v/>
      </c>
    </row>
    <row r="3042" spans="2:6" x14ac:dyDescent="0.2">
      <c r="B3042" s="12"/>
      <c r="C3042" s="12"/>
      <c r="D3042" s="17" t="str">
        <f t="shared" si="144"/>
        <v/>
      </c>
      <c r="E3042" s="18" t="str">
        <f t="shared" si="142"/>
        <v/>
      </c>
      <c r="F3042" s="17" t="str">
        <f t="shared" si="143"/>
        <v/>
      </c>
    </row>
    <row r="3043" spans="2:6" x14ac:dyDescent="0.2">
      <c r="B3043" s="12"/>
      <c r="C3043" s="12"/>
      <c r="D3043" s="17" t="str">
        <f t="shared" si="144"/>
        <v/>
      </c>
      <c r="E3043" s="18" t="str">
        <f t="shared" si="142"/>
        <v/>
      </c>
      <c r="F3043" s="17" t="str">
        <f t="shared" si="143"/>
        <v/>
      </c>
    </row>
    <row r="3044" spans="2:6" x14ac:dyDescent="0.2">
      <c r="B3044" s="12"/>
      <c r="C3044" s="12"/>
      <c r="D3044" s="17" t="str">
        <f t="shared" si="144"/>
        <v/>
      </c>
      <c r="E3044" s="18" t="str">
        <f t="shared" si="142"/>
        <v/>
      </c>
      <c r="F3044" s="17" t="str">
        <f t="shared" si="143"/>
        <v/>
      </c>
    </row>
    <row r="3045" spans="2:6" x14ac:dyDescent="0.2">
      <c r="B3045" s="12"/>
      <c r="C3045" s="12"/>
      <c r="D3045" s="17" t="str">
        <f t="shared" si="144"/>
        <v/>
      </c>
      <c r="E3045" s="18" t="str">
        <f t="shared" si="142"/>
        <v/>
      </c>
      <c r="F3045" s="17" t="str">
        <f t="shared" si="143"/>
        <v/>
      </c>
    </row>
    <row r="3046" spans="2:6" x14ac:dyDescent="0.2">
      <c r="B3046" s="12"/>
      <c r="C3046" s="12"/>
      <c r="D3046" s="17" t="str">
        <f t="shared" si="144"/>
        <v/>
      </c>
      <c r="E3046" s="18" t="str">
        <f t="shared" si="142"/>
        <v/>
      </c>
      <c r="F3046" s="17" t="str">
        <f t="shared" si="143"/>
        <v/>
      </c>
    </row>
    <row r="3047" spans="2:6" x14ac:dyDescent="0.2">
      <c r="B3047" s="12"/>
      <c r="C3047" s="12"/>
      <c r="D3047" s="17" t="str">
        <f t="shared" si="144"/>
        <v/>
      </c>
      <c r="E3047" s="18" t="str">
        <f t="shared" si="142"/>
        <v/>
      </c>
      <c r="F3047" s="17" t="str">
        <f t="shared" si="143"/>
        <v/>
      </c>
    </row>
    <row r="3048" spans="2:6" x14ac:dyDescent="0.2">
      <c r="B3048" s="12"/>
      <c r="C3048" s="12"/>
      <c r="D3048" s="17" t="str">
        <f t="shared" si="144"/>
        <v/>
      </c>
      <c r="E3048" s="18" t="str">
        <f t="shared" si="142"/>
        <v/>
      </c>
      <c r="F3048" s="17" t="str">
        <f t="shared" si="143"/>
        <v/>
      </c>
    </row>
    <row r="3049" spans="2:6" x14ac:dyDescent="0.2">
      <c r="B3049" s="12"/>
      <c r="C3049" s="12"/>
      <c r="D3049" s="17" t="str">
        <f t="shared" si="144"/>
        <v/>
      </c>
      <c r="E3049" s="18" t="str">
        <f t="shared" si="142"/>
        <v/>
      </c>
      <c r="F3049" s="17" t="str">
        <f t="shared" si="143"/>
        <v/>
      </c>
    </row>
    <row r="3050" spans="2:6" x14ac:dyDescent="0.2">
      <c r="B3050" s="12"/>
      <c r="C3050" s="12"/>
      <c r="D3050" s="17" t="str">
        <f t="shared" si="144"/>
        <v/>
      </c>
      <c r="E3050" s="18" t="str">
        <f t="shared" si="142"/>
        <v/>
      </c>
      <c r="F3050" s="17" t="str">
        <f t="shared" si="143"/>
        <v/>
      </c>
    </row>
    <row r="3051" spans="2:6" x14ac:dyDescent="0.2">
      <c r="B3051" s="12"/>
      <c r="C3051" s="12"/>
      <c r="D3051" s="17" t="str">
        <f t="shared" si="144"/>
        <v/>
      </c>
      <c r="E3051" s="18" t="str">
        <f t="shared" si="142"/>
        <v/>
      </c>
      <c r="F3051" s="17" t="str">
        <f t="shared" si="143"/>
        <v/>
      </c>
    </row>
    <row r="3052" spans="2:6" x14ac:dyDescent="0.2">
      <c r="B3052" s="12"/>
      <c r="C3052" s="12"/>
      <c r="D3052" s="17" t="str">
        <f t="shared" si="144"/>
        <v/>
      </c>
      <c r="E3052" s="18" t="str">
        <f t="shared" si="142"/>
        <v/>
      </c>
      <c r="F3052" s="17" t="str">
        <f t="shared" si="143"/>
        <v/>
      </c>
    </row>
    <row r="3053" spans="2:6" x14ac:dyDescent="0.2">
      <c r="B3053" s="12"/>
      <c r="C3053" s="12"/>
      <c r="D3053" s="17" t="str">
        <f t="shared" si="144"/>
        <v/>
      </c>
      <c r="E3053" s="18" t="str">
        <f t="shared" si="142"/>
        <v/>
      </c>
      <c r="F3053" s="17" t="str">
        <f t="shared" si="143"/>
        <v/>
      </c>
    </row>
    <row r="3054" spans="2:6" x14ac:dyDescent="0.2">
      <c r="B3054" s="12"/>
      <c r="C3054" s="12"/>
      <c r="D3054" s="17" t="str">
        <f t="shared" si="144"/>
        <v/>
      </c>
      <c r="E3054" s="18" t="str">
        <f t="shared" si="142"/>
        <v/>
      </c>
      <c r="F3054" s="17" t="str">
        <f t="shared" si="143"/>
        <v/>
      </c>
    </row>
    <row r="3055" spans="2:6" x14ac:dyDescent="0.2">
      <c r="B3055" s="12"/>
      <c r="C3055" s="12"/>
      <c r="D3055" s="17" t="str">
        <f t="shared" si="144"/>
        <v/>
      </c>
      <c r="E3055" s="18" t="str">
        <f t="shared" si="142"/>
        <v/>
      </c>
      <c r="F3055" s="17" t="str">
        <f t="shared" si="143"/>
        <v/>
      </c>
    </row>
    <row r="3056" spans="2:6" x14ac:dyDescent="0.2">
      <c r="B3056" s="12"/>
      <c r="C3056" s="12"/>
      <c r="D3056" s="17" t="str">
        <f t="shared" si="144"/>
        <v/>
      </c>
      <c r="E3056" s="18" t="str">
        <f t="shared" si="142"/>
        <v/>
      </c>
      <c r="F3056" s="17" t="str">
        <f t="shared" si="143"/>
        <v/>
      </c>
    </row>
    <row r="3057" spans="2:6" x14ac:dyDescent="0.2">
      <c r="B3057" s="12"/>
      <c r="C3057" s="12"/>
      <c r="D3057" s="17" t="str">
        <f t="shared" si="144"/>
        <v/>
      </c>
      <c r="E3057" s="18" t="str">
        <f t="shared" si="142"/>
        <v/>
      </c>
      <c r="F3057" s="17" t="str">
        <f t="shared" si="143"/>
        <v/>
      </c>
    </row>
    <row r="3058" spans="2:6" x14ac:dyDescent="0.2">
      <c r="B3058" s="12"/>
      <c r="C3058" s="12"/>
      <c r="D3058" s="17" t="str">
        <f t="shared" si="144"/>
        <v/>
      </c>
      <c r="E3058" s="18" t="str">
        <f t="shared" si="142"/>
        <v/>
      </c>
      <c r="F3058" s="17" t="str">
        <f t="shared" si="143"/>
        <v/>
      </c>
    </row>
    <row r="3059" spans="2:6" x14ac:dyDescent="0.2">
      <c r="B3059" s="12"/>
      <c r="C3059" s="12"/>
      <c r="D3059" s="17" t="str">
        <f t="shared" si="144"/>
        <v/>
      </c>
      <c r="E3059" s="18" t="str">
        <f t="shared" si="142"/>
        <v/>
      </c>
      <c r="F3059" s="17" t="str">
        <f t="shared" si="143"/>
        <v/>
      </c>
    </row>
    <row r="3060" spans="2:6" x14ac:dyDescent="0.2">
      <c r="B3060" s="12"/>
      <c r="C3060" s="12"/>
      <c r="D3060" s="17" t="str">
        <f t="shared" si="144"/>
        <v/>
      </c>
      <c r="E3060" s="18" t="str">
        <f t="shared" si="142"/>
        <v/>
      </c>
      <c r="F3060" s="17" t="str">
        <f t="shared" si="143"/>
        <v/>
      </c>
    </row>
    <row r="3061" spans="2:6" x14ac:dyDescent="0.2">
      <c r="B3061" s="12"/>
      <c r="C3061" s="12"/>
      <c r="D3061" s="17" t="str">
        <f t="shared" si="144"/>
        <v/>
      </c>
      <c r="E3061" s="18" t="str">
        <f t="shared" si="142"/>
        <v/>
      </c>
      <c r="F3061" s="17" t="str">
        <f t="shared" si="143"/>
        <v/>
      </c>
    </row>
    <row r="3062" spans="2:6" x14ac:dyDescent="0.2">
      <c r="B3062" s="12"/>
      <c r="C3062" s="12"/>
      <c r="D3062" s="17" t="str">
        <f t="shared" si="144"/>
        <v/>
      </c>
      <c r="E3062" s="18" t="str">
        <f t="shared" si="142"/>
        <v/>
      </c>
      <c r="F3062" s="17" t="str">
        <f t="shared" si="143"/>
        <v/>
      </c>
    </row>
    <row r="3063" spans="2:6" x14ac:dyDescent="0.2">
      <c r="B3063" s="12"/>
      <c r="C3063" s="12"/>
      <c r="D3063" s="17" t="str">
        <f t="shared" si="144"/>
        <v/>
      </c>
      <c r="E3063" s="18" t="str">
        <f t="shared" si="142"/>
        <v/>
      </c>
      <c r="F3063" s="17" t="str">
        <f t="shared" si="143"/>
        <v/>
      </c>
    </row>
    <row r="3064" spans="2:6" x14ac:dyDescent="0.2">
      <c r="B3064" s="12"/>
      <c r="C3064" s="12"/>
      <c r="D3064" s="17" t="str">
        <f t="shared" si="144"/>
        <v/>
      </c>
      <c r="E3064" s="18" t="str">
        <f t="shared" si="142"/>
        <v/>
      </c>
      <c r="F3064" s="17" t="str">
        <f t="shared" si="143"/>
        <v/>
      </c>
    </row>
    <row r="3065" spans="2:6" x14ac:dyDescent="0.2">
      <c r="B3065" s="12"/>
      <c r="C3065" s="12"/>
      <c r="D3065" s="17" t="str">
        <f t="shared" si="144"/>
        <v/>
      </c>
      <c r="E3065" s="18" t="str">
        <f t="shared" si="142"/>
        <v/>
      </c>
      <c r="F3065" s="17" t="str">
        <f t="shared" si="143"/>
        <v/>
      </c>
    </row>
    <row r="3066" spans="2:6" x14ac:dyDescent="0.2">
      <c r="B3066" s="12"/>
      <c r="C3066" s="12"/>
      <c r="D3066" s="17" t="str">
        <f t="shared" si="144"/>
        <v/>
      </c>
      <c r="E3066" s="18" t="str">
        <f t="shared" si="142"/>
        <v/>
      </c>
      <c r="F3066" s="17" t="str">
        <f t="shared" si="143"/>
        <v/>
      </c>
    </row>
    <row r="3067" spans="2:6" x14ac:dyDescent="0.2">
      <c r="B3067" s="12"/>
      <c r="C3067" s="12"/>
      <c r="D3067" s="17" t="str">
        <f t="shared" si="144"/>
        <v/>
      </c>
      <c r="E3067" s="18" t="str">
        <f t="shared" si="142"/>
        <v/>
      </c>
      <c r="F3067" s="17" t="str">
        <f t="shared" si="143"/>
        <v/>
      </c>
    </row>
    <row r="3068" spans="2:6" x14ac:dyDescent="0.2">
      <c r="B3068" s="12"/>
      <c r="C3068" s="12"/>
      <c r="D3068" s="17" t="str">
        <f t="shared" si="144"/>
        <v/>
      </c>
      <c r="E3068" s="18" t="str">
        <f t="shared" si="142"/>
        <v/>
      </c>
      <c r="F3068" s="17" t="str">
        <f t="shared" si="143"/>
        <v/>
      </c>
    </row>
    <row r="3069" spans="2:6" x14ac:dyDescent="0.2">
      <c r="B3069" s="12"/>
      <c r="C3069" s="12"/>
      <c r="D3069" s="17" t="str">
        <f t="shared" si="144"/>
        <v/>
      </c>
      <c r="E3069" s="18" t="str">
        <f t="shared" si="142"/>
        <v/>
      </c>
      <c r="F3069" s="17" t="str">
        <f t="shared" si="143"/>
        <v/>
      </c>
    </row>
    <row r="3070" spans="2:6" x14ac:dyDescent="0.2">
      <c r="B3070" s="12"/>
      <c r="C3070" s="12"/>
      <c r="D3070" s="17" t="str">
        <f t="shared" si="144"/>
        <v/>
      </c>
      <c r="E3070" s="18" t="str">
        <f t="shared" si="142"/>
        <v/>
      </c>
      <c r="F3070" s="17" t="str">
        <f t="shared" si="143"/>
        <v/>
      </c>
    </row>
    <row r="3071" spans="2:6" x14ac:dyDescent="0.2">
      <c r="B3071" s="12"/>
      <c r="C3071" s="12"/>
      <c r="D3071" s="17" t="str">
        <f t="shared" si="144"/>
        <v/>
      </c>
      <c r="E3071" s="18" t="str">
        <f t="shared" si="142"/>
        <v/>
      </c>
      <c r="F3071" s="17" t="str">
        <f t="shared" si="143"/>
        <v/>
      </c>
    </row>
    <row r="3072" spans="2:6" x14ac:dyDescent="0.2">
      <c r="B3072" s="12"/>
      <c r="C3072" s="12"/>
      <c r="D3072" s="17" t="str">
        <f t="shared" si="144"/>
        <v/>
      </c>
      <c r="E3072" s="18" t="str">
        <f t="shared" si="142"/>
        <v/>
      </c>
      <c r="F3072" s="17" t="str">
        <f t="shared" si="143"/>
        <v/>
      </c>
    </row>
    <row r="3073" spans="2:6" x14ac:dyDescent="0.2">
      <c r="B3073" s="12"/>
      <c r="C3073" s="12"/>
      <c r="D3073" s="17" t="str">
        <f t="shared" si="144"/>
        <v/>
      </c>
      <c r="E3073" s="18" t="str">
        <f t="shared" si="142"/>
        <v/>
      </c>
      <c r="F3073" s="17" t="str">
        <f t="shared" si="143"/>
        <v/>
      </c>
    </row>
    <row r="3074" spans="2:6" x14ac:dyDescent="0.2">
      <c r="B3074" s="12"/>
      <c r="C3074" s="12"/>
      <c r="D3074" s="17" t="str">
        <f t="shared" si="144"/>
        <v/>
      </c>
      <c r="E3074" s="18" t="str">
        <f t="shared" si="142"/>
        <v/>
      </c>
      <c r="F3074" s="17" t="str">
        <f t="shared" si="143"/>
        <v/>
      </c>
    </row>
    <row r="3075" spans="2:6" x14ac:dyDescent="0.2">
      <c r="B3075" s="12"/>
      <c r="C3075" s="12"/>
      <c r="D3075" s="17" t="str">
        <f t="shared" si="144"/>
        <v/>
      </c>
      <c r="E3075" s="18" t="str">
        <f t="shared" si="142"/>
        <v/>
      </c>
      <c r="F3075" s="17" t="str">
        <f t="shared" si="143"/>
        <v/>
      </c>
    </row>
    <row r="3076" spans="2:6" x14ac:dyDescent="0.2">
      <c r="B3076" s="12"/>
      <c r="C3076" s="12"/>
      <c r="D3076" s="17" t="str">
        <f t="shared" si="144"/>
        <v/>
      </c>
      <c r="E3076" s="18" t="str">
        <f t="shared" si="142"/>
        <v/>
      </c>
      <c r="F3076" s="17" t="str">
        <f t="shared" si="143"/>
        <v/>
      </c>
    </row>
    <row r="3077" spans="2:6" x14ac:dyDescent="0.2">
      <c r="B3077" s="12"/>
      <c r="C3077" s="12"/>
      <c r="D3077" s="17" t="str">
        <f t="shared" si="144"/>
        <v/>
      </c>
      <c r="E3077" s="18" t="str">
        <f t="shared" ref="E3077:E3140" si="145">IF(B3077="","",ABS(C3077-D3077))</f>
        <v/>
      </c>
      <c r="F3077" s="17" t="str">
        <f t="shared" ref="F3077:F3140" si="146">IF(B3077="","",E3077^2)</f>
        <v/>
      </c>
    </row>
    <row r="3078" spans="2:6" x14ac:dyDescent="0.2">
      <c r="B3078" s="12"/>
      <c r="C3078" s="12"/>
      <c r="D3078" s="17" t="str">
        <f t="shared" si="144"/>
        <v/>
      </c>
      <c r="E3078" s="18" t="str">
        <f t="shared" si="145"/>
        <v/>
      </c>
      <c r="F3078" s="17" t="str">
        <f t="shared" si="146"/>
        <v/>
      </c>
    </row>
    <row r="3079" spans="2:6" x14ac:dyDescent="0.2">
      <c r="B3079" s="12"/>
      <c r="C3079" s="12"/>
      <c r="D3079" s="17" t="str">
        <f t="shared" si="144"/>
        <v/>
      </c>
      <c r="E3079" s="18" t="str">
        <f t="shared" si="145"/>
        <v/>
      </c>
      <c r="F3079" s="17" t="str">
        <f t="shared" si="146"/>
        <v/>
      </c>
    </row>
    <row r="3080" spans="2:6" x14ac:dyDescent="0.2">
      <c r="B3080" s="12"/>
      <c r="C3080" s="12"/>
      <c r="D3080" s="17" t="str">
        <f t="shared" si="144"/>
        <v/>
      </c>
      <c r="E3080" s="18" t="str">
        <f t="shared" si="145"/>
        <v/>
      </c>
      <c r="F3080" s="17" t="str">
        <f t="shared" si="146"/>
        <v/>
      </c>
    </row>
    <row r="3081" spans="2:6" x14ac:dyDescent="0.2">
      <c r="B3081" s="12"/>
      <c r="C3081" s="12"/>
      <c r="D3081" s="17" t="str">
        <f t="shared" si="144"/>
        <v/>
      </c>
      <c r="E3081" s="18" t="str">
        <f t="shared" si="145"/>
        <v/>
      </c>
      <c r="F3081" s="17" t="str">
        <f t="shared" si="146"/>
        <v/>
      </c>
    </row>
    <row r="3082" spans="2:6" x14ac:dyDescent="0.2">
      <c r="B3082" s="12"/>
      <c r="C3082" s="12"/>
      <c r="D3082" s="17" t="str">
        <f t="shared" si="144"/>
        <v/>
      </c>
      <c r="E3082" s="18" t="str">
        <f t="shared" si="145"/>
        <v/>
      </c>
      <c r="F3082" s="17" t="str">
        <f t="shared" si="146"/>
        <v/>
      </c>
    </row>
    <row r="3083" spans="2:6" x14ac:dyDescent="0.2">
      <c r="B3083" s="12"/>
      <c r="C3083" s="12"/>
      <c r="D3083" s="17" t="str">
        <f t="shared" si="144"/>
        <v/>
      </c>
      <c r="E3083" s="18" t="str">
        <f t="shared" si="145"/>
        <v/>
      </c>
      <c r="F3083" s="17" t="str">
        <f t="shared" si="146"/>
        <v/>
      </c>
    </row>
    <row r="3084" spans="2:6" x14ac:dyDescent="0.2">
      <c r="B3084" s="12"/>
      <c r="C3084" s="12"/>
      <c r="D3084" s="17" t="str">
        <f t="shared" si="144"/>
        <v/>
      </c>
      <c r="E3084" s="18" t="str">
        <f t="shared" si="145"/>
        <v/>
      </c>
      <c r="F3084" s="17" t="str">
        <f t="shared" si="146"/>
        <v/>
      </c>
    </row>
    <row r="3085" spans="2:6" x14ac:dyDescent="0.2">
      <c r="B3085" s="12"/>
      <c r="C3085" s="12"/>
      <c r="D3085" s="17" t="str">
        <f t="shared" si="144"/>
        <v/>
      </c>
      <c r="E3085" s="18" t="str">
        <f t="shared" si="145"/>
        <v/>
      </c>
      <c r="F3085" s="17" t="str">
        <f t="shared" si="146"/>
        <v/>
      </c>
    </row>
    <row r="3086" spans="2:6" x14ac:dyDescent="0.2">
      <c r="B3086" s="12"/>
      <c r="C3086" s="12"/>
      <c r="D3086" s="17" t="str">
        <f t="shared" si="144"/>
        <v/>
      </c>
      <c r="E3086" s="18" t="str">
        <f t="shared" si="145"/>
        <v/>
      </c>
      <c r="F3086" s="17" t="str">
        <f t="shared" si="146"/>
        <v/>
      </c>
    </row>
    <row r="3087" spans="2:6" x14ac:dyDescent="0.2">
      <c r="B3087" s="12"/>
      <c r="C3087" s="12"/>
      <c r="D3087" s="17" t="str">
        <f t="shared" si="144"/>
        <v/>
      </c>
      <c r="E3087" s="18" t="str">
        <f t="shared" si="145"/>
        <v/>
      </c>
      <c r="F3087" s="17" t="str">
        <f t="shared" si="146"/>
        <v/>
      </c>
    </row>
    <row r="3088" spans="2:6" x14ac:dyDescent="0.2">
      <c r="B3088" s="12"/>
      <c r="C3088" s="12"/>
      <c r="D3088" s="17" t="str">
        <f t="shared" si="144"/>
        <v/>
      </c>
      <c r="E3088" s="18" t="str">
        <f t="shared" si="145"/>
        <v/>
      </c>
      <c r="F3088" s="17" t="str">
        <f t="shared" si="146"/>
        <v/>
      </c>
    </row>
    <row r="3089" spans="2:6" x14ac:dyDescent="0.2">
      <c r="B3089" s="12"/>
      <c r="C3089" s="12"/>
      <c r="D3089" s="17" t="str">
        <f t="shared" si="144"/>
        <v/>
      </c>
      <c r="E3089" s="18" t="str">
        <f t="shared" si="145"/>
        <v/>
      </c>
      <c r="F3089" s="17" t="str">
        <f t="shared" si="146"/>
        <v/>
      </c>
    </row>
    <row r="3090" spans="2:6" x14ac:dyDescent="0.2">
      <c r="B3090" s="12"/>
      <c r="C3090" s="12"/>
      <c r="D3090" s="17" t="str">
        <f t="shared" ref="D3090:D3153" si="147">IF(B3090="","",a+b*B3090)</f>
        <v/>
      </c>
      <c r="E3090" s="18" t="str">
        <f t="shared" si="145"/>
        <v/>
      </c>
      <c r="F3090" s="17" t="str">
        <f t="shared" si="146"/>
        <v/>
      </c>
    </row>
    <row r="3091" spans="2:6" x14ac:dyDescent="0.2">
      <c r="B3091" s="12"/>
      <c r="C3091" s="12"/>
      <c r="D3091" s="17" t="str">
        <f t="shared" si="147"/>
        <v/>
      </c>
      <c r="E3091" s="18" t="str">
        <f t="shared" si="145"/>
        <v/>
      </c>
      <c r="F3091" s="17" t="str">
        <f t="shared" si="146"/>
        <v/>
      </c>
    </row>
    <row r="3092" spans="2:6" x14ac:dyDescent="0.2">
      <c r="B3092" s="12"/>
      <c r="C3092" s="12"/>
      <c r="D3092" s="17" t="str">
        <f t="shared" si="147"/>
        <v/>
      </c>
      <c r="E3092" s="18" t="str">
        <f t="shared" si="145"/>
        <v/>
      </c>
      <c r="F3092" s="17" t="str">
        <f t="shared" si="146"/>
        <v/>
      </c>
    </row>
    <row r="3093" spans="2:6" x14ac:dyDescent="0.2">
      <c r="B3093" s="12"/>
      <c r="C3093" s="12"/>
      <c r="D3093" s="17" t="str">
        <f t="shared" si="147"/>
        <v/>
      </c>
      <c r="E3093" s="18" t="str">
        <f t="shared" si="145"/>
        <v/>
      </c>
      <c r="F3093" s="17" t="str">
        <f t="shared" si="146"/>
        <v/>
      </c>
    </row>
    <row r="3094" spans="2:6" x14ac:dyDescent="0.2">
      <c r="B3094" s="12"/>
      <c r="C3094" s="12"/>
      <c r="D3094" s="17" t="str">
        <f t="shared" si="147"/>
        <v/>
      </c>
      <c r="E3094" s="18" t="str">
        <f t="shared" si="145"/>
        <v/>
      </c>
      <c r="F3094" s="17" t="str">
        <f t="shared" si="146"/>
        <v/>
      </c>
    </row>
    <row r="3095" spans="2:6" x14ac:dyDescent="0.2">
      <c r="B3095" s="12"/>
      <c r="C3095" s="12"/>
      <c r="D3095" s="17" t="str">
        <f t="shared" si="147"/>
        <v/>
      </c>
      <c r="E3095" s="18" t="str">
        <f t="shared" si="145"/>
        <v/>
      </c>
      <c r="F3095" s="17" t="str">
        <f t="shared" si="146"/>
        <v/>
      </c>
    </row>
    <row r="3096" spans="2:6" x14ac:dyDescent="0.2">
      <c r="B3096" s="12"/>
      <c r="C3096" s="12"/>
      <c r="D3096" s="17" t="str">
        <f t="shared" si="147"/>
        <v/>
      </c>
      <c r="E3096" s="18" t="str">
        <f t="shared" si="145"/>
        <v/>
      </c>
      <c r="F3096" s="17" t="str">
        <f t="shared" si="146"/>
        <v/>
      </c>
    </row>
    <row r="3097" spans="2:6" x14ac:dyDescent="0.2">
      <c r="B3097" s="12"/>
      <c r="C3097" s="12"/>
      <c r="D3097" s="17" t="str">
        <f t="shared" si="147"/>
        <v/>
      </c>
      <c r="E3097" s="18" t="str">
        <f t="shared" si="145"/>
        <v/>
      </c>
      <c r="F3097" s="17" t="str">
        <f t="shared" si="146"/>
        <v/>
      </c>
    </row>
    <row r="3098" spans="2:6" x14ac:dyDescent="0.2">
      <c r="B3098" s="12"/>
      <c r="C3098" s="12"/>
      <c r="D3098" s="17" t="str">
        <f t="shared" si="147"/>
        <v/>
      </c>
      <c r="E3098" s="18" t="str">
        <f t="shared" si="145"/>
        <v/>
      </c>
      <c r="F3098" s="17" t="str">
        <f t="shared" si="146"/>
        <v/>
      </c>
    </row>
    <row r="3099" spans="2:6" x14ac:dyDescent="0.2">
      <c r="B3099" s="12"/>
      <c r="C3099" s="12"/>
      <c r="D3099" s="17" t="str">
        <f t="shared" si="147"/>
        <v/>
      </c>
      <c r="E3099" s="18" t="str">
        <f t="shared" si="145"/>
        <v/>
      </c>
      <c r="F3099" s="17" t="str">
        <f t="shared" si="146"/>
        <v/>
      </c>
    </row>
    <row r="3100" spans="2:6" x14ac:dyDescent="0.2">
      <c r="B3100" s="12"/>
      <c r="C3100" s="12"/>
      <c r="D3100" s="17" t="str">
        <f t="shared" si="147"/>
        <v/>
      </c>
      <c r="E3100" s="18" t="str">
        <f t="shared" si="145"/>
        <v/>
      </c>
      <c r="F3100" s="17" t="str">
        <f t="shared" si="146"/>
        <v/>
      </c>
    </row>
    <row r="3101" spans="2:6" x14ac:dyDescent="0.2">
      <c r="B3101" s="12"/>
      <c r="C3101" s="12"/>
      <c r="D3101" s="17" t="str">
        <f t="shared" si="147"/>
        <v/>
      </c>
      <c r="E3101" s="18" t="str">
        <f t="shared" si="145"/>
        <v/>
      </c>
      <c r="F3101" s="17" t="str">
        <f t="shared" si="146"/>
        <v/>
      </c>
    </row>
    <row r="3102" spans="2:6" x14ac:dyDescent="0.2">
      <c r="B3102" s="12"/>
      <c r="C3102" s="12"/>
      <c r="D3102" s="17" t="str">
        <f t="shared" si="147"/>
        <v/>
      </c>
      <c r="E3102" s="18" t="str">
        <f t="shared" si="145"/>
        <v/>
      </c>
      <c r="F3102" s="17" t="str">
        <f t="shared" si="146"/>
        <v/>
      </c>
    </row>
    <row r="3103" spans="2:6" x14ac:dyDescent="0.2">
      <c r="B3103" s="12"/>
      <c r="C3103" s="12"/>
      <c r="D3103" s="17" t="str">
        <f t="shared" si="147"/>
        <v/>
      </c>
      <c r="E3103" s="18" t="str">
        <f t="shared" si="145"/>
        <v/>
      </c>
      <c r="F3103" s="17" t="str">
        <f t="shared" si="146"/>
        <v/>
      </c>
    </row>
    <row r="3104" spans="2:6" x14ac:dyDescent="0.2">
      <c r="B3104" s="12"/>
      <c r="C3104" s="12"/>
      <c r="D3104" s="17" t="str">
        <f t="shared" si="147"/>
        <v/>
      </c>
      <c r="E3104" s="18" t="str">
        <f t="shared" si="145"/>
        <v/>
      </c>
      <c r="F3104" s="17" t="str">
        <f t="shared" si="146"/>
        <v/>
      </c>
    </row>
    <row r="3105" spans="2:6" x14ac:dyDescent="0.2">
      <c r="B3105" s="12"/>
      <c r="C3105" s="12"/>
      <c r="D3105" s="17" t="str">
        <f t="shared" si="147"/>
        <v/>
      </c>
      <c r="E3105" s="18" t="str">
        <f t="shared" si="145"/>
        <v/>
      </c>
      <c r="F3105" s="17" t="str">
        <f t="shared" si="146"/>
        <v/>
      </c>
    </row>
    <row r="3106" spans="2:6" x14ac:dyDescent="0.2">
      <c r="B3106" s="12"/>
      <c r="C3106" s="12"/>
      <c r="D3106" s="17" t="str">
        <f t="shared" si="147"/>
        <v/>
      </c>
      <c r="E3106" s="18" t="str">
        <f t="shared" si="145"/>
        <v/>
      </c>
      <c r="F3106" s="17" t="str">
        <f t="shared" si="146"/>
        <v/>
      </c>
    </row>
    <row r="3107" spans="2:6" x14ac:dyDescent="0.2">
      <c r="B3107" s="12"/>
      <c r="C3107" s="12"/>
      <c r="D3107" s="17" t="str">
        <f t="shared" si="147"/>
        <v/>
      </c>
      <c r="E3107" s="18" t="str">
        <f t="shared" si="145"/>
        <v/>
      </c>
      <c r="F3107" s="17" t="str">
        <f t="shared" si="146"/>
        <v/>
      </c>
    </row>
    <row r="3108" spans="2:6" x14ac:dyDescent="0.2">
      <c r="B3108" s="12"/>
      <c r="C3108" s="12"/>
      <c r="D3108" s="17" t="str">
        <f t="shared" si="147"/>
        <v/>
      </c>
      <c r="E3108" s="18" t="str">
        <f t="shared" si="145"/>
        <v/>
      </c>
      <c r="F3108" s="17" t="str">
        <f t="shared" si="146"/>
        <v/>
      </c>
    </row>
    <row r="3109" spans="2:6" x14ac:dyDescent="0.2">
      <c r="B3109" s="12"/>
      <c r="C3109" s="12"/>
      <c r="D3109" s="17" t="str">
        <f t="shared" si="147"/>
        <v/>
      </c>
      <c r="E3109" s="18" t="str">
        <f t="shared" si="145"/>
        <v/>
      </c>
      <c r="F3109" s="17" t="str">
        <f t="shared" si="146"/>
        <v/>
      </c>
    </row>
    <row r="3110" spans="2:6" x14ac:dyDescent="0.2">
      <c r="B3110" s="12"/>
      <c r="C3110" s="12"/>
      <c r="D3110" s="17" t="str">
        <f t="shared" si="147"/>
        <v/>
      </c>
      <c r="E3110" s="18" t="str">
        <f t="shared" si="145"/>
        <v/>
      </c>
      <c r="F3110" s="17" t="str">
        <f t="shared" si="146"/>
        <v/>
      </c>
    </row>
    <row r="3111" spans="2:6" x14ac:dyDescent="0.2">
      <c r="B3111" s="12"/>
      <c r="C3111" s="12"/>
      <c r="D3111" s="17" t="str">
        <f t="shared" si="147"/>
        <v/>
      </c>
      <c r="E3111" s="18" t="str">
        <f t="shared" si="145"/>
        <v/>
      </c>
      <c r="F3111" s="17" t="str">
        <f t="shared" si="146"/>
        <v/>
      </c>
    </row>
    <row r="3112" spans="2:6" x14ac:dyDescent="0.2">
      <c r="B3112" s="12"/>
      <c r="C3112" s="12"/>
      <c r="D3112" s="17" t="str">
        <f t="shared" si="147"/>
        <v/>
      </c>
      <c r="E3112" s="18" t="str">
        <f t="shared" si="145"/>
        <v/>
      </c>
      <c r="F3112" s="17" t="str">
        <f t="shared" si="146"/>
        <v/>
      </c>
    </row>
    <row r="3113" spans="2:6" x14ac:dyDescent="0.2">
      <c r="B3113" s="12"/>
      <c r="C3113" s="12"/>
      <c r="D3113" s="17" t="str">
        <f t="shared" si="147"/>
        <v/>
      </c>
      <c r="E3113" s="18" t="str">
        <f t="shared" si="145"/>
        <v/>
      </c>
      <c r="F3113" s="17" t="str">
        <f t="shared" si="146"/>
        <v/>
      </c>
    </row>
    <row r="3114" spans="2:6" x14ac:dyDescent="0.2">
      <c r="B3114" s="12"/>
      <c r="C3114" s="12"/>
      <c r="D3114" s="17" t="str">
        <f t="shared" si="147"/>
        <v/>
      </c>
      <c r="E3114" s="18" t="str">
        <f t="shared" si="145"/>
        <v/>
      </c>
      <c r="F3114" s="17" t="str">
        <f t="shared" si="146"/>
        <v/>
      </c>
    </row>
    <row r="3115" spans="2:6" x14ac:dyDescent="0.2">
      <c r="B3115" s="12"/>
      <c r="C3115" s="12"/>
      <c r="D3115" s="17" t="str">
        <f t="shared" si="147"/>
        <v/>
      </c>
      <c r="E3115" s="18" t="str">
        <f t="shared" si="145"/>
        <v/>
      </c>
      <c r="F3115" s="17" t="str">
        <f t="shared" si="146"/>
        <v/>
      </c>
    </row>
    <row r="3116" spans="2:6" x14ac:dyDescent="0.2">
      <c r="B3116" s="12"/>
      <c r="C3116" s="12"/>
      <c r="D3116" s="17" t="str">
        <f t="shared" si="147"/>
        <v/>
      </c>
      <c r="E3116" s="18" t="str">
        <f t="shared" si="145"/>
        <v/>
      </c>
      <c r="F3116" s="17" t="str">
        <f t="shared" si="146"/>
        <v/>
      </c>
    </row>
    <row r="3117" spans="2:6" x14ac:dyDescent="0.2">
      <c r="B3117" s="12"/>
      <c r="C3117" s="12"/>
      <c r="D3117" s="17" t="str">
        <f t="shared" si="147"/>
        <v/>
      </c>
      <c r="E3117" s="18" t="str">
        <f t="shared" si="145"/>
        <v/>
      </c>
      <c r="F3117" s="17" t="str">
        <f t="shared" si="146"/>
        <v/>
      </c>
    </row>
    <row r="3118" spans="2:6" x14ac:dyDescent="0.2">
      <c r="B3118" s="12"/>
      <c r="C3118" s="12"/>
      <c r="D3118" s="17" t="str">
        <f t="shared" si="147"/>
        <v/>
      </c>
      <c r="E3118" s="18" t="str">
        <f t="shared" si="145"/>
        <v/>
      </c>
      <c r="F3118" s="17" t="str">
        <f t="shared" si="146"/>
        <v/>
      </c>
    </row>
    <row r="3119" spans="2:6" x14ac:dyDescent="0.2">
      <c r="B3119" s="12"/>
      <c r="C3119" s="12"/>
      <c r="D3119" s="17" t="str">
        <f t="shared" si="147"/>
        <v/>
      </c>
      <c r="E3119" s="18" t="str">
        <f t="shared" si="145"/>
        <v/>
      </c>
      <c r="F3119" s="17" t="str">
        <f t="shared" si="146"/>
        <v/>
      </c>
    </row>
    <row r="3120" spans="2:6" x14ac:dyDescent="0.2">
      <c r="B3120" s="12"/>
      <c r="C3120" s="12"/>
      <c r="D3120" s="17" t="str">
        <f t="shared" si="147"/>
        <v/>
      </c>
      <c r="E3120" s="18" t="str">
        <f t="shared" si="145"/>
        <v/>
      </c>
      <c r="F3120" s="17" t="str">
        <f t="shared" si="146"/>
        <v/>
      </c>
    </row>
    <row r="3121" spans="2:6" x14ac:dyDescent="0.2">
      <c r="B3121" s="12"/>
      <c r="C3121" s="12"/>
      <c r="D3121" s="17" t="str">
        <f t="shared" si="147"/>
        <v/>
      </c>
      <c r="E3121" s="18" t="str">
        <f t="shared" si="145"/>
        <v/>
      </c>
      <c r="F3121" s="17" t="str">
        <f t="shared" si="146"/>
        <v/>
      </c>
    </row>
    <row r="3122" spans="2:6" x14ac:dyDescent="0.2">
      <c r="B3122" s="12"/>
      <c r="C3122" s="12"/>
      <c r="D3122" s="17" t="str">
        <f t="shared" si="147"/>
        <v/>
      </c>
      <c r="E3122" s="18" t="str">
        <f t="shared" si="145"/>
        <v/>
      </c>
      <c r="F3122" s="17" t="str">
        <f t="shared" si="146"/>
        <v/>
      </c>
    </row>
    <row r="3123" spans="2:6" x14ac:dyDescent="0.2">
      <c r="B3123" s="12"/>
      <c r="C3123" s="12"/>
      <c r="D3123" s="17" t="str">
        <f t="shared" si="147"/>
        <v/>
      </c>
      <c r="E3123" s="18" t="str">
        <f t="shared" si="145"/>
        <v/>
      </c>
      <c r="F3123" s="17" t="str">
        <f t="shared" si="146"/>
        <v/>
      </c>
    </row>
    <row r="3124" spans="2:6" x14ac:dyDescent="0.2">
      <c r="B3124" s="12"/>
      <c r="C3124" s="12"/>
      <c r="D3124" s="17" t="str">
        <f t="shared" si="147"/>
        <v/>
      </c>
      <c r="E3124" s="18" t="str">
        <f t="shared" si="145"/>
        <v/>
      </c>
      <c r="F3124" s="17" t="str">
        <f t="shared" si="146"/>
        <v/>
      </c>
    </row>
    <row r="3125" spans="2:6" x14ac:dyDescent="0.2">
      <c r="B3125" s="12"/>
      <c r="C3125" s="12"/>
      <c r="D3125" s="17" t="str">
        <f t="shared" si="147"/>
        <v/>
      </c>
      <c r="E3125" s="18" t="str">
        <f t="shared" si="145"/>
        <v/>
      </c>
      <c r="F3125" s="17" t="str">
        <f t="shared" si="146"/>
        <v/>
      </c>
    </row>
    <row r="3126" spans="2:6" x14ac:dyDescent="0.2">
      <c r="B3126" s="12"/>
      <c r="C3126" s="12"/>
      <c r="D3126" s="17" t="str">
        <f t="shared" si="147"/>
        <v/>
      </c>
      <c r="E3126" s="18" t="str">
        <f t="shared" si="145"/>
        <v/>
      </c>
      <c r="F3126" s="17" t="str">
        <f t="shared" si="146"/>
        <v/>
      </c>
    </row>
    <row r="3127" spans="2:6" x14ac:dyDescent="0.2">
      <c r="B3127" s="12"/>
      <c r="C3127" s="12"/>
      <c r="D3127" s="17" t="str">
        <f t="shared" si="147"/>
        <v/>
      </c>
      <c r="E3127" s="18" t="str">
        <f t="shared" si="145"/>
        <v/>
      </c>
      <c r="F3127" s="17" t="str">
        <f t="shared" si="146"/>
        <v/>
      </c>
    </row>
    <row r="3128" spans="2:6" x14ac:dyDescent="0.2">
      <c r="B3128" s="12"/>
      <c r="C3128" s="12"/>
      <c r="D3128" s="17" t="str">
        <f t="shared" si="147"/>
        <v/>
      </c>
      <c r="E3128" s="18" t="str">
        <f t="shared" si="145"/>
        <v/>
      </c>
      <c r="F3128" s="17" t="str">
        <f t="shared" si="146"/>
        <v/>
      </c>
    </row>
    <row r="3129" spans="2:6" x14ac:dyDescent="0.2">
      <c r="B3129" s="12"/>
      <c r="C3129" s="12"/>
      <c r="D3129" s="17" t="str">
        <f t="shared" si="147"/>
        <v/>
      </c>
      <c r="E3129" s="18" t="str">
        <f t="shared" si="145"/>
        <v/>
      </c>
      <c r="F3129" s="17" t="str">
        <f t="shared" si="146"/>
        <v/>
      </c>
    </row>
    <row r="3130" spans="2:6" x14ac:dyDescent="0.2">
      <c r="B3130" s="12"/>
      <c r="C3130" s="12"/>
      <c r="D3130" s="17" t="str">
        <f t="shared" si="147"/>
        <v/>
      </c>
      <c r="E3130" s="18" t="str">
        <f t="shared" si="145"/>
        <v/>
      </c>
      <c r="F3130" s="17" t="str">
        <f t="shared" si="146"/>
        <v/>
      </c>
    </row>
    <row r="3131" spans="2:6" x14ac:dyDescent="0.2">
      <c r="B3131" s="12"/>
      <c r="C3131" s="12"/>
      <c r="D3131" s="17" t="str">
        <f t="shared" si="147"/>
        <v/>
      </c>
      <c r="E3131" s="18" t="str">
        <f t="shared" si="145"/>
        <v/>
      </c>
      <c r="F3131" s="17" t="str">
        <f t="shared" si="146"/>
        <v/>
      </c>
    </row>
    <row r="3132" spans="2:6" x14ac:dyDescent="0.2">
      <c r="B3132" s="12"/>
      <c r="C3132" s="12"/>
      <c r="D3132" s="17" t="str">
        <f t="shared" si="147"/>
        <v/>
      </c>
      <c r="E3132" s="18" t="str">
        <f t="shared" si="145"/>
        <v/>
      </c>
      <c r="F3132" s="17" t="str">
        <f t="shared" si="146"/>
        <v/>
      </c>
    </row>
    <row r="3133" spans="2:6" x14ac:dyDescent="0.2">
      <c r="B3133" s="12"/>
      <c r="C3133" s="12"/>
      <c r="D3133" s="17" t="str">
        <f t="shared" si="147"/>
        <v/>
      </c>
      <c r="E3133" s="18" t="str">
        <f t="shared" si="145"/>
        <v/>
      </c>
      <c r="F3133" s="17" t="str">
        <f t="shared" si="146"/>
        <v/>
      </c>
    </row>
    <row r="3134" spans="2:6" x14ac:dyDescent="0.2">
      <c r="B3134" s="12"/>
      <c r="C3134" s="12"/>
      <c r="D3134" s="17" t="str">
        <f t="shared" si="147"/>
        <v/>
      </c>
      <c r="E3134" s="18" t="str">
        <f t="shared" si="145"/>
        <v/>
      </c>
      <c r="F3134" s="17" t="str">
        <f t="shared" si="146"/>
        <v/>
      </c>
    </row>
    <row r="3135" spans="2:6" x14ac:dyDescent="0.2">
      <c r="B3135" s="12"/>
      <c r="C3135" s="12"/>
      <c r="D3135" s="17" t="str">
        <f t="shared" si="147"/>
        <v/>
      </c>
      <c r="E3135" s="18" t="str">
        <f t="shared" si="145"/>
        <v/>
      </c>
      <c r="F3135" s="17" t="str">
        <f t="shared" si="146"/>
        <v/>
      </c>
    </row>
    <row r="3136" spans="2:6" x14ac:dyDescent="0.2">
      <c r="B3136" s="12"/>
      <c r="C3136" s="12"/>
      <c r="D3136" s="17" t="str">
        <f t="shared" si="147"/>
        <v/>
      </c>
      <c r="E3136" s="18" t="str">
        <f t="shared" si="145"/>
        <v/>
      </c>
      <c r="F3136" s="17" t="str">
        <f t="shared" si="146"/>
        <v/>
      </c>
    </row>
    <row r="3137" spans="2:6" x14ac:dyDescent="0.2">
      <c r="B3137" s="12"/>
      <c r="C3137" s="12"/>
      <c r="D3137" s="17" t="str">
        <f t="shared" si="147"/>
        <v/>
      </c>
      <c r="E3137" s="18" t="str">
        <f t="shared" si="145"/>
        <v/>
      </c>
      <c r="F3137" s="17" t="str">
        <f t="shared" si="146"/>
        <v/>
      </c>
    </row>
    <row r="3138" spans="2:6" x14ac:dyDescent="0.2">
      <c r="B3138" s="12"/>
      <c r="C3138" s="12"/>
      <c r="D3138" s="17" t="str">
        <f t="shared" si="147"/>
        <v/>
      </c>
      <c r="E3138" s="18" t="str">
        <f t="shared" si="145"/>
        <v/>
      </c>
      <c r="F3138" s="17" t="str">
        <f t="shared" si="146"/>
        <v/>
      </c>
    </row>
    <row r="3139" spans="2:6" x14ac:dyDescent="0.2">
      <c r="B3139" s="12"/>
      <c r="C3139" s="12"/>
      <c r="D3139" s="17" t="str">
        <f t="shared" si="147"/>
        <v/>
      </c>
      <c r="E3139" s="18" t="str">
        <f t="shared" si="145"/>
        <v/>
      </c>
      <c r="F3139" s="17" t="str">
        <f t="shared" si="146"/>
        <v/>
      </c>
    </row>
    <row r="3140" spans="2:6" x14ac:dyDescent="0.2">
      <c r="B3140" s="12"/>
      <c r="C3140" s="12"/>
      <c r="D3140" s="17" t="str">
        <f t="shared" si="147"/>
        <v/>
      </c>
      <c r="E3140" s="18" t="str">
        <f t="shared" si="145"/>
        <v/>
      </c>
      <c r="F3140" s="17" t="str">
        <f t="shared" si="146"/>
        <v/>
      </c>
    </row>
    <row r="3141" spans="2:6" x14ac:dyDescent="0.2">
      <c r="B3141" s="12"/>
      <c r="C3141" s="12"/>
      <c r="D3141" s="17" t="str">
        <f t="shared" si="147"/>
        <v/>
      </c>
      <c r="E3141" s="18" t="str">
        <f t="shared" ref="E3141:E3204" si="148">IF(B3141="","",ABS(C3141-D3141))</f>
        <v/>
      </c>
      <c r="F3141" s="17" t="str">
        <f t="shared" ref="F3141:F3204" si="149">IF(B3141="","",E3141^2)</f>
        <v/>
      </c>
    </row>
    <row r="3142" spans="2:6" x14ac:dyDescent="0.2">
      <c r="B3142" s="12"/>
      <c r="C3142" s="12"/>
      <c r="D3142" s="17" t="str">
        <f t="shared" si="147"/>
        <v/>
      </c>
      <c r="E3142" s="18" t="str">
        <f t="shared" si="148"/>
        <v/>
      </c>
      <c r="F3142" s="17" t="str">
        <f t="shared" si="149"/>
        <v/>
      </c>
    </row>
    <row r="3143" spans="2:6" x14ac:dyDescent="0.2">
      <c r="B3143" s="12"/>
      <c r="C3143" s="12"/>
      <c r="D3143" s="17" t="str">
        <f t="shared" si="147"/>
        <v/>
      </c>
      <c r="E3143" s="18" t="str">
        <f t="shared" si="148"/>
        <v/>
      </c>
      <c r="F3143" s="17" t="str">
        <f t="shared" si="149"/>
        <v/>
      </c>
    </row>
    <row r="3144" spans="2:6" x14ac:dyDescent="0.2">
      <c r="B3144" s="12"/>
      <c r="C3144" s="12"/>
      <c r="D3144" s="17" t="str">
        <f t="shared" si="147"/>
        <v/>
      </c>
      <c r="E3144" s="18" t="str">
        <f t="shared" si="148"/>
        <v/>
      </c>
      <c r="F3144" s="17" t="str">
        <f t="shared" si="149"/>
        <v/>
      </c>
    </row>
    <row r="3145" spans="2:6" x14ac:dyDescent="0.2">
      <c r="B3145" s="12"/>
      <c r="C3145" s="12"/>
      <c r="D3145" s="17" t="str">
        <f t="shared" si="147"/>
        <v/>
      </c>
      <c r="E3145" s="18" t="str">
        <f t="shared" si="148"/>
        <v/>
      </c>
      <c r="F3145" s="17" t="str">
        <f t="shared" si="149"/>
        <v/>
      </c>
    </row>
    <row r="3146" spans="2:6" x14ac:dyDescent="0.2">
      <c r="B3146" s="12"/>
      <c r="C3146" s="12"/>
      <c r="D3146" s="17" t="str">
        <f t="shared" si="147"/>
        <v/>
      </c>
      <c r="E3146" s="18" t="str">
        <f t="shared" si="148"/>
        <v/>
      </c>
      <c r="F3146" s="17" t="str">
        <f t="shared" si="149"/>
        <v/>
      </c>
    </row>
    <row r="3147" spans="2:6" x14ac:dyDescent="0.2">
      <c r="B3147" s="12"/>
      <c r="C3147" s="12"/>
      <c r="D3147" s="17" t="str">
        <f t="shared" si="147"/>
        <v/>
      </c>
      <c r="E3147" s="18" t="str">
        <f t="shared" si="148"/>
        <v/>
      </c>
      <c r="F3147" s="17" t="str">
        <f t="shared" si="149"/>
        <v/>
      </c>
    </row>
    <row r="3148" spans="2:6" x14ac:dyDescent="0.2">
      <c r="B3148" s="12"/>
      <c r="C3148" s="12"/>
      <c r="D3148" s="17" t="str">
        <f t="shared" si="147"/>
        <v/>
      </c>
      <c r="E3148" s="18" t="str">
        <f t="shared" si="148"/>
        <v/>
      </c>
      <c r="F3148" s="17" t="str">
        <f t="shared" si="149"/>
        <v/>
      </c>
    </row>
    <row r="3149" spans="2:6" x14ac:dyDescent="0.2">
      <c r="B3149" s="12"/>
      <c r="C3149" s="12"/>
      <c r="D3149" s="17" t="str">
        <f t="shared" si="147"/>
        <v/>
      </c>
      <c r="E3149" s="18" t="str">
        <f t="shared" si="148"/>
        <v/>
      </c>
      <c r="F3149" s="17" t="str">
        <f t="shared" si="149"/>
        <v/>
      </c>
    </row>
    <row r="3150" spans="2:6" x14ac:dyDescent="0.2">
      <c r="B3150" s="12"/>
      <c r="C3150" s="12"/>
      <c r="D3150" s="17" t="str">
        <f t="shared" si="147"/>
        <v/>
      </c>
      <c r="E3150" s="18" t="str">
        <f t="shared" si="148"/>
        <v/>
      </c>
      <c r="F3150" s="17" t="str">
        <f t="shared" si="149"/>
        <v/>
      </c>
    </row>
    <row r="3151" spans="2:6" x14ac:dyDescent="0.2">
      <c r="B3151" s="12"/>
      <c r="C3151" s="12"/>
      <c r="D3151" s="17" t="str">
        <f t="shared" si="147"/>
        <v/>
      </c>
      <c r="E3151" s="18" t="str">
        <f t="shared" si="148"/>
        <v/>
      </c>
      <c r="F3151" s="17" t="str">
        <f t="shared" si="149"/>
        <v/>
      </c>
    </row>
    <row r="3152" spans="2:6" x14ac:dyDescent="0.2">
      <c r="B3152" s="12"/>
      <c r="C3152" s="12"/>
      <c r="D3152" s="17" t="str">
        <f t="shared" si="147"/>
        <v/>
      </c>
      <c r="E3152" s="18" t="str">
        <f t="shared" si="148"/>
        <v/>
      </c>
      <c r="F3152" s="17" t="str">
        <f t="shared" si="149"/>
        <v/>
      </c>
    </row>
    <row r="3153" spans="2:6" x14ac:dyDescent="0.2">
      <c r="B3153" s="12"/>
      <c r="C3153" s="12"/>
      <c r="D3153" s="17" t="str">
        <f t="shared" si="147"/>
        <v/>
      </c>
      <c r="E3153" s="18" t="str">
        <f t="shared" si="148"/>
        <v/>
      </c>
      <c r="F3153" s="17" t="str">
        <f t="shared" si="149"/>
        <v/>
      </c>
    </row>
    <row r="3154" spans="2:6" x14ac:dyDescent="0.2">
      <c r="B3154" s="12"/>
      <c r="C3154" s="12"/>
      <c r="D3154" s="17" t="str">
        <f t="shared" ref="D3154:D3217" si="150">IF(B3154="","",a+b*B3154)</f>
        <v/>
      </c>
      <c r="E3154" s="18" t="str">
        <f t="shared" si="148"/>
        <v/>
      </c>
      <c r="F3154" s="17" t="str">
        <f t="shared" si="149"/>
        <v/>
      </c>
    </row>
    <row r="3155" spans="2:6" x14ac:dyDescent="0.2">
      <c r="B3155" s="12"/>
      <c r="C3155" s="12"/>
      <c r="D3155" s="17" t="str">
        <f t="shared" si="150"/>
        <v/>
      </c>
      <c r="E3155" s="18" t="str">
        <f t="shared" si="148"/>
        <v/>
      </c>
      <c r="F3155" s="17" t="str">
        <f t="shared" si="149"/>
        <v/>
      </c>
    </row>
    <row r="3156" spans="2:6" x14ac:dyDescent="0.2">
      <c r="B3156" s="12"/>
      <c r="C3156" s="12"/>
      <c r="D3156" s="17" t="str">
        <f t="shared" si="150"/>
        <v/>
      </c>
      <c r="E3156" s="18" t="str">
        <f t="shared" si="148"/>
        <v/>
      </c>
      <c r="F3156" s="17" t="str">
        <f t="shared" si="149"/>
        <v/>
      </c>
    </row>
    <row r="3157" spans="2:6" x14ac:dyDescent="0.2">
      <c r="B3157" s="12"/>
      <c r="C3157" s="12"/>
      <c r="D3157" s="17" t="str">
        <f t="shared" si="150"/>
        <v/>
      </c>
      <c r="E3157" s="18" t="str">
        <f t="shared" si="148"/>
        <v/>
      </c>
      <c r="F3157" s="17" t="str">
        <f t="shared" si="149"/>
        <v/>
      </c>
    </row>
    <row r="3158" spans="2:6" x14ac:dyDescent="0.2">
      <c r="B3158" s="12"/>
      <c r="C3158" s="12"/>
      <c r="D3158" s="17" t="str">
        <f t="shared" si="150"/>
        <v/>
      </c>
      <c r="E3158" s="18" t="str">
        <f t="shared" si="148"/>
        <v/>
      </c>
      <c r="F3158" s="17" t="str">
        <f t="shared" si="149"/>
        <v/>
      </c>
    </row>
    <row r="3159" spans="2:6" x14ac:dyDescent="0.2">
      <c r="B3159" s="12"/>
      <c r="C3159" s="12"/>
      <c r="D3159" s="17" t="str">
        <f t="shared" si="150"/>
        <v/>
      </c>
      <c r="E3159" s="18" t="str">
        <f t="shared" si="148"/>
        <v/>
      </c>
      <c r="F3159" s="17" t="str">
        <f t="shared" si="149"/>
        <v/>
      </c>
    </row>
    <row r="3160" spans="2:6" x14ac:dyDescent="0.2">
      <c r="B3160" s="12"/>
      <c r="C3160" s="12"/>
      <c r="D3160" s="17" t="str">
        <f t="shared" si="150"/>
        <v/>
      </c>
      <c r="E3160" s="18" t="str">
        <f t="shared" si="148"/>
        <v/>
      </c>
      <c r="F3160" s="17" t="str">
        <f t="shared" si="149"/>
        <v/>
      </c>
    </row>
    <row r="3161" spans="2:6" x14ac:dyDescent="0.2">
      <c r="B3161" s="12"/>
      <c r="C3161" s="12"/>
      <c r="D3161" s="17" t="str">
        <f t="shared" si="150"/>
        <v/>
      </c>
      <c r="E3161" s="18" t="str">
        <f t="shared" si="148"/>
        <v/>
      </c>
      <c r="F3161" s="17" t="str">
        <f t="shared" si="149"/>
        <v/>
      </c>
    </row>
    <row r="3162" spans="2:6" x14ac:dyDescent="0.2">
      <c r="B3162" s="12"/>
      <c r="C3162" s="12"/>
      <c r="D3162" s="17" t="str">
        <f t="shared" si="150"/>
        <v/>
      </c>
      <c r="E3162" s="18" t="str">
        <f t="shared" si="148"/>
        <v/>
      </c>
      <c r="F3162" s="17" t="str">
        <f t="shared" si="149"/>
        <v/>
      </c>
    </row>
    <row r="3163" spans="2:6" x14ac:dyDescent="0.2">
      <c r="B3163" s="12"/>
      <c r="C3163" s="12"/>
      <c r="D3163" s="17" t="str">
        <f t="shared" si="150"/>
        <v/>
      </c>
      <c r="E3163" s="18" t="str">
        <f t="shared" si="148"/>
        <v/>
      </c>
      <c r="F3163" s="17" t="str">
        <f t="shared" si="149"/>
        <v/>
      </c>
    </row>
    <row r="3164" spans="2:6" x14ac:dyDescent="0.2">
      <c r="B3164" s="12"/>
      <c r="C3164" s="12"/>
      <c r="D3164" s="17" t="str">
        <f t="shared" si="150"/>
        <v/>
      </c>
      <c r="E3164" s="18" t="str">
        <f t="shared" si="148"/>
        <v/>
      </c>
      <c r="F3164" s="17" t="str">
        <f t="shared" si="149"/>
        <v/>
      </c>
    </row>
    <row r="3165" spans="2:6" x14ac:dyDescent="0.2">
      <c r="B3165" s="12"/>
      <c r="C3165" s="12"/>
      <c r="D3165" s="17" t="str">
        <f t="shared" si="150"/>
        <v/>
      </c>
      <c r="E3165" s="18" t="str">
        <f t="shared" si="148"/>
        <v/>
      </c>
      <c r="F3165" s="17" t="str">
        <f t="shared" si="149"/>
        <v/>
      </c>
    </row>
    <row r="3166" spans="2:6" x14ac:dyDescent="0.2">
      <c r="B3166" s="12"/>
      <c r="C3166" s="12"/>
      <c r="D3166" s="17" t="str">
        <f t="shared" si="150"/>
        <v/>
      </c>
      <c r="E3166" s="18" t="str">
        <f t="shared" si="148"/>
        <v/>
      </c>
      <c r="F3166" s="17" t="str">
        <f t="shared" si="149"/>
        <v/>
      </c>
    </row>
    <row r="3167" spans="2:6" x14ac:dyDescent="0.2">
      <c r="B3167" s="12"/>
      <c r="C3167" s="12"/>
      <c r="D3167" s="17" t="str">
        <f t="shared" si="150"/>
        <v/>
      </c>
      <c r="E3167" s="18" t="str">
        <f t="shared" si="148"/>
        <v/>
      </c>
      <c r="F3167" s="17" t="str">
        <f t="shared" si="149"/>
        <v/>
      </c>
    </row>
    <row r="3168" spans="2:6" x14ac:dyDescent="0.2">
      <c r="B3168" s="12"/>
      <c r="C3168" s="12"/>
      <c r="D3168" s="17" t="str">
        <f t="shared" si="150"/>
        <v/>
      </c>
      <c r="E3168" s="18" t="str">
        <f t="shared" si="148"/>
        <v/>
      </c>
      <c r="F3168" s="17" t="str">
        <f t="shared" si="149"/>
        <v/>
      </c>
    </row>
    <row r="3169" spans="2:6" x14ac:dyDescent="0.2">
      <c r="B3169" s="12"/>
      <c r="C3169" s="12"/>
      <c r="D3169" s="17" t="str">
        <f t="shared" si="150"/>
        <v/>
      </c>
      <c r="E3169" s="18" t="str">
        <f t="shared" si="148"/>
        <v/>
      </c>
      <c r="F3169" s="17" t="str">
        <f t="shared" si="149"/>
        <v/>
      </c>
    </row>
    <row r="3170" spans="2:6" x14ac:dyDescent="0.2">
      <c r="B3170" s="12"/>
      <c r="C3170" s="12"/>
      <c r="D3170" s="17" t="str">
        <f t="shared" si="150"/>
        <v/>
      </c>
      <c r="E3170" s="18" t="str">
        <f t="shared" si="148"/>
        <v/>
      </c>
      <c r="F3170" s="17" t="str">
        <f t="shared" si="149"/>
        <v/>
      </c>
    </row>
    <row r="3171" spans="2:6" x14ac:dyDescent="0.2">
      <c r="B3171" s="12"/>
      <c r="C3171" s="12"/>
      <c r="D3171" s="17" t="str">
        <f t="shared" si="150"/>
        <v/>
      </c>
      <c r="E3171" s="18" t="str">
        <f t="shared" si="148"/>
        <v/>
      </c>
      <c r="F3171" s="17" t="str">
        <f t="shared" si="149"/>
        <v/>
      </c>
    </row>
    <row r="3172" spans="2:6" x14ac:dyDescent="0.2">
      <c r="B3172" s="12"/>
      <c r="C3172" s="12"/>
      <c r="D3172" s="17" t="str">
        <f t="shared" si="150"/>
        <v/>
      </c>
      <c r="E3172" s="18" t="str">
        <f t="shared" si="148"/>
        <v/>
      </c>
      <c r="F3172" s="17" t="str">
        <f t="shared" si="149"/>
        <v/>
      </c>
    </row>
    <row r="3173" spans="2:6" x14ac:dyDescent="0.2">
      <c r="B3173" s="12"/>
      <c r="C3173" s="12"/>
      <c r="D3173" s="17" t="str">
        <f t="shared" si="150"/>
        <v/>
      </c>
      <c r="E3173" s="18" t="str">
        <f t="shared" si="148"/>
        <v/>
      </c>
      <c r="F3173" s="17" t="str">
        <f t="shared" si="149"/>
        <v/>
      </c>
    </row>
    <row r="3174" spans="2:6" x14ac:dyDescent="0.2">
      <c r="B3174" s="12"/>
      <c r="C3174" s="12"/>
      <c r="D3174" s="17" t="str">
        <f t="shared" si="150"/>
        <v/>
      </c>
      <c r="E3174" s="18" t="str">
        <f t="shared" si="148"/>
        <v/>
      </c>
      <c r="F3174" s="17" t="str">
        <f t="shared" si="149"/>
        <v/>
      </c>
    </row>
    <row r="3175" spans="2:6" x14ac:dyDescent="0.2">
      <c r="B3175" s="12"/>
      <c r="C3175" s="12"/>
      <c r="D3175" s="17" t="str">
        <f t="shared" si="150"/>
        <v/>
      </c>
      <c r="E3175" s="18" t="str">
        <f t="shared" si="148"/>
        <v/>
      </c>
      <c r="F3175" s="17" t="str">
        <f t="shared" si="149"/>
        <v/>
      </c>
    </row>
    <row r="3176" spans="2:6" x14ac:dyDescent="0.2">
      <c r="B3176" s="12"/>
      <c r="C3176" s="12"/>
      <c r="D3176" s="17" t="str">
        <f t="shared" si="150"/>
        <v/>
      </c>
      <c r="E3176" s="18" t="str">
        <f t="shared" si="148"/>
        <v/>
      </c>
      <c r="F3176" s="17" t="str">
        <f t="shared" si="149"/>
        <v/>
      </c>
    </row>
    <row r="3177" spans="2:6" x14ac:dyDescent="0.2">
      <c r="B3177" s="12"/>
      <c r="C3177" s="12"/>
      <c r="D3177" s="17" t="str">
        <f t="shared" si="150"/>
        <v/>
      </c>
      <c r="E3177" s="18" t="str">
        <f t="shared" si="148"/>
        <v/>
      </c>
      <c r="F3177" s="17" t="str">
        <f t="shared" si="149"/>
        <v/>
      </c>
    </row>
    <row r="3178" spans="2:6" x14ac:dyDescent="0.2">
      <c r="B3178" s="12"/>
      <c r="C3178" s="12"/>
      <c r="D3178" s="17" t="str">
        <f t="shared" si="150"/>
        <v/>
      </c>
      <c r="E3178" s="18" t="str">
        <f t="shared" si="148"/>
        <v/>
      </c>
      <c r="F3178" s="17" t="str">
        <f t="shared" si="149"/>
        <v/>
      </c>
    </row>
    <row r="3179" spans="2:6" x14ac:dyDescent="0.2">
      <c r="B3179" s="12"/>
      <c r="C3179" s="12"/>
      <c r="D3179" s="17" t="str">
        <f t="shared" si="150"/>
        <v/>
      </c>
      <c r="E3179" s="18" t="str">
        <f t="shared" si="148"/>
        <v/>
      </c>
      <c r="F3179" s="17" t="str">
        <f t="shared" si="149"/>
        <v/>
      </c>
    </row>
    <row r="3180" spans="2:6" x14ac:dyDescent="0.2">
      <c r="B3180" s="12"/>
      <c r="C3180" s="12"/>
      <c r="D3180" s="17" t="str">
        <f t="shared" si="150"/>
        <v/>
      </c>
      <c r="E3180" s="18" t="str">
        <f t="shared" si="148"/>
        <v/>
      </c>
      <c r="F3180" s="17" t="str">
        <f t="shared" si="149"/>
        <v/>
      </c>
    </row>
    <row r="3181" spans="2:6" x14ac:dyDescent="0.2">
      <c r="B3181" s="12"/>
      <c r="C3181" s="12"/>
      <c r="D3181" s="17" t="str">
        <f t="shared" si="150"/>
        <v/>
      </c>
      <c r="E3181" s="18" t="str">
        <f t="shared" si="148"/>
        <v/>
      </c>
      <c r="F3181" s="17" t="str">
        <f t="shared" si="149"/>
        <v/>
      </c>
    </row>
    <row r="3182" spans="2:6" x14ac:dyDescent="0.2">
      <c r="B3182" s="12"/>
      <c r="C3182" s="12"/>
      <c r="D3182" s="17" t="str">
        <f t="shared" si="150"/>
        <v/>
      </c>
      <c r="E3182" s="18" t="str">
        <f t="shared" si="148"/>
        <v/>
      </c>
      <c r="F3182" s="17" t="str">
        <f t="shared" si="149"/>
        <v/>
      </c>
    </row>
    <row r="3183" spans="2:6" x14ac:dyDescent="0.2">
      <c r="B3183" s="12"/>
      <c r="C3183" s="12"/>
      <c r="D3183" s="17" t="str">
        <f t="shared" si="150"/>
        <v/>
      </c>
      <c r="E3183" s="18" t="str">
        <f t="shared" si="148"/>
        <v/>
      </c>
      <c r="F3183" s="17" t="str">
        <f t="shared" si="149"/>
        <v/>
      </c>
    </row>
    <row r="3184" spans="2:6" x14ac:dyDescent="0.2">
      <c r="B3184" s="12"/>
      <c r="C3184" s="12"/>
      <c r="D3184" s="17" t="str">
        <f t="shared" si="150"/>
        <v/>
      </c>
      <c r="E3184" s="18" t="str">
        <f t="shared" si="148"/>
        <v/>
      </c>
      <c r="F3184" s="17" t="str">
        <f t="shared" si="149"/>
        <v/>
      </c>
    </row>
    <row r="3185" spans="2:6" x14ac:dyDescent="0.2">
      <c r="B3185" s="12"/>
      <c r="C3185" s="12"/>
      <c r="D3185" s="17" t="str">
        <f t="shared" si="150"/>
        <v/>
      </c>
      <c r="E3185" s="18" t="str">
        <f t="shared" si="148"/>
        <v/>
      </c>
      <c r="F3185" s="17" t="str">
        <f t="shared" si="149"/>
        <v/>
      </c>
    </row>
    <row r="3186" spans="2:6" x14ac:dyDescent="0.2">
      <c r="B3186" s="12"/>
      <c r="C3186" s="12"/>
      <c r="D3186" s="17" t="str">
        <f t="shared" si="150"/>
        <v/>
      </c>
      <c r="E3186" s="18" t="str">
        <f t="shared" si="148"/>
        <v/>
      </c>
      <c r="F3186" s="17" t="str">
        <f t="shared" si="149"/>
        <v/>
      </c>
    </row>
    <row r="3187" spans="2:6" x14ac:dyDescent="0.2">
      <c r="B3187" s="12"/>
      <c r="C3187" s="12"/>
      <c r="D3187" s="17" t="str">
        <f t="shared" si="150"/>
        <v/>
      </c>
      <c r="E3187" s="18" t="str">
        <f t="shared" si="148"/>
        <v/>
      </c>
      <c r="F3187" s="17" t="str">
        <f t="shared" si="149"/>
        <v/>
      </c>
    </row>
    <row r="3188" spans="2:6" x14ac:dyDescent="0.2">
      <c r="B3188" s="12"/>
      <c r="C3188" s="12"/>
      <c r="D3188" s="17" t="str">
        <f t="shared" si="150"/>
        <v/>
      </c>
      <c r="E3188" s="18" t="str">
        <f t="shared" si="148"/>
        <v/>
      </c>
      <c r="F3188" s="17" t="str">
        <f t="shared" si="149"/>
        <v/>
      </c>
    </row>
    <row r="3189" spans="2:6" x14ac:dyDescent="0.2">
      <c r="B3189" s="12"/>
      <c r="C3189" s="12"/>
      <c r="D3189" s="17" t="str">
        <f t="shared" si="150"/>
        <v/>
      </c>
      <c r="E3189" s="18" t="str">
        <f t="shared" si="148"/>
        <v/>
      </c>
      <c r="F3189" s="17" t="str">
        <f t="shared" si="149"/>
        <v/>
      </c>
    </row>
    <row r="3190" spans="2:6" x14ac:dyDescent="0.2">
      <c r="B3190" s="12"/>
      <c r="C3190" s="12"/>
      <c r="D3190" s="17" t="str">
        <f t="shared" si="150"/>
        <v/>
      </c>
      <c r="E3190" s="18" t="str">
        <f t="shared" si="148"/>
        <v/>
      </c>
      <c r="F3190" s="17" t="str">
        <f t="shared" si="149"/>
        <v/>
      </c>
    </row>
    <row r="3191" spans="2:6" x14ac:dyDescent="0.2">
      <c r="B3191" s="12"/>
      <c r="C3191" s="12"/>
      <c r="D3191" s="17" t="str">
        <f t="shared" si="150"/>
        <v/>
      </c>
      <c r="E3191" s="18" t="str">
        <f t="shared" si="148"/>
        <v/>
      </c>
      <c r="F3191" s="17" t="str">
        <f t="shared" si="149"/>
        <v/>
      </c>
    </row>
    <row r="3192" spans="2:6" x14ac:dyDescent="0.2">
      <c r="B3192" s="12"/>
      <c r="C3192" s="12"/>
      <c r="D3192" s="17" t="str">
        <f t="shared" si="150"/>
        <v/>
      </c>
      <c r="E3192" s="18" t="str">
        <f t="shared" si="148"/>
        <v/>
      </c>
      <c r="F3192" s="17" t="str">
        <f t="shared" si="149"/>
        <v/>
      </c>
    </row>
    <row r="3193" spans="2:6" x14ac:dyDescent="0.2">
      <c r="B3193" s="12"/>
      <c r="C3193" s="12"/>
      <c r="D3193" s="17" t="str">
        <f t="shared" si="150"/>
        <v/>
      </c>
      <c r="E3193" s="18" t="str">
        <f t="shared" si="148"/>
        <v/>
      </c>
      <c r="F3193" s="17" t="str">
        <f t="shared" si="149"/>
        <v/>
      </c>
    </row>
    <row r="3194" spans="2:6" x14ac:dyDescent="0.2">
      <c r="B3194" s="12"/>
      <c r="C3194" s="12"/>
      <c r="D3194" s="17" t="str">
        <f t="shared" si="150"/>
        <v/>
      </c>
      <c r="E3194" s="18" t="str">
        <f t="shared" si="148"/>
        <v/>
      </c>
      <c r="F3194" s="17" t="str">
        <f t="shared" si="149"/>
        <v/>
      </c>
    </row>
    <row r="3195" spans="2:6" x14ac:dyDescent="0.2">
      <c r="B3195" s="12"/>
      <c r="C3195" s="12"/>
      <c r="D3195" s="17" t="str">
        <f t="shared" si="150"/>
        <v/>
      </c>
      <c r="E3195" s="18" t="str">
        <f t="shared" si="148"/>
        <v/>
      </c>
      <c r="F3195" s="17" t="str">
        <f t="shared" si="149"/>
        <v/>
      </c>
    </row>
    <row r="3196" spans="2:6" x14ac:dyDescent="0.2">
      <c r="B3196" s="12"/>
      <c r="C3196" s="12"/>
      <c r="D3196" s="17" t="str">
        <f t="shared" si="150"/>
        <v/>
      </c>
      <c r="E3196" s="18" t="str">
        <f t="shared" si="148"/>
        <v/>
      </c>
      <c r="F3196" s="17" t="str">
        <f t="shared" si="149"/>
        <v/>
      </c>
    </row>
    <row r="3197" spans="2:6" x14ac:dyDescent="0.2">
      <c r="B3197" s="12"/>
      <c r="C3197" s="12"/>
      <c r="D3197" s="17" t="str">
        <f t="shared" si="150"/>
        <v/>
      </c>
      <c r="E3197" s="18" t="str">
        <f t="shared" si="148"/>
        <v/>
      </c>
      <c r="F3197" s="17" t="str">
        <f t="shared" si="149"/>
        <v/>
      </c>
    </row>
    <row r="3198" spans="2:6" x14ac:dyDescent="0.2">
      <c r="B3198" s="12"/>
      <c r="C3198" s="12"/>
      <c r="D3198" s="17" t="str">
        <f t="shared" si="150"/>
        <v/>
      </c>
      <c r="E3198" s="18" t="str">
        <f t="shared" si="148"/>
        <v/>
      </c>
      <c r="F3198" s="17" t="str">
        <f t="shared" si="149"/>
        <v/>
      </c>
    </row>
    <row r="3199" spans="2:6" x14ac:dyDescent="0.2">
      <c r="B3199" s="12"/>
      <c r="C3199" s="12"/>
      <c r="D3199" s="17" t="str">
        <f t="shared" si="150"/>
        <v/>
      </c>
      <c r="E3199" s="18" t="str">
        <f t="shared" si="148"/>
        <v/>
      </c>
      <c r="F3199" s="17" t="str">
        <f t="shared" si="149"/>
        <v/>
      </c>
    </row>
    <row r="3200" spans="2:6" x14ac:dyDescent="0.2">
      <c r="B3200" s="12"/>
      <c r="C3200" s="12"/>
      <c r="D3200" s="17" t="str">
        <f t="shared" si="150"/>
        <v/>
      </c>
      <c r="E3200" s="18" t="str">
        <f t="shared" si="148"/>
        <v/>
      </c>
      <c r="F3200" s="17" t="str">
        <f t="shared" si="149"/>
        <v/>
      </c>
    </row>
    <row r="3201" spans="2:6" x14ac:dyDescent="0.2">
      <c r="B3201" s="12"/>
      <c r="C3201" s="12"/>
      <c r="D3201" s="17" t="str">
        <f t="shared" si="150"/>
        <v/>
      </c>
      <c r="E3201" s="18" t="str">
        <f t="shared" si="148"/>
        <v/>
      </c>
      <c r="F3201" s="17" t="str">
        <f t="shared" si="149"/>
        <v/>
      </c>
    </row>
    <row r="3202" spans="2:6" x14ac:dyDescent="0.2">
      <c r="B3202" s="12"/>
      <c r="C3202" s="12"/>
      <c r="D3202" s="17" t="str">
        <f t="shared" si="150"/>
        <v/>
      </c>
      <c r="E3202" s="18" t="str">
        <f t="shared" si="148"/>
        <v/>
      </c>
      <c r="F3202" s="17" t="str">
        <f t="shared" si="149"/>
        <v/>
      </c>
    </row>
    <row r="3203" spans="2:6" x14ac:dyDescent="0.2">
      <c r="B3203" s="12"/>
      <c r="C3203" s="12"/>
      <c r="D3203" s="17" t="str">
        <f t="shared" si="150"/>
        <v/>
      </c>
      <c r="E3203" s="18" t="str">
        <f t="shared" si="148"/>
        <v/>
      </c>
      <c r="F3203" s="17" t="str">
        <f t="shared" si="149"/>
        <v/>
      </c>
    </row>
    <row r="3204" spans="2:6" x14ac:dyDescent="0.2">
      <c r="B3204" s="12"/>
      <c r="C3204" s="12"/>
      <c r="D3204" s="17" t="str">
        <f t="shared" si="150"/>
        <v/>
      </c>
      <c r="E3204" s="18" t="str">
        <f t="shared" si="148"/>
        <v/>
      </c>
      <c r="F3204" s="17" t="str">
        <f t="shared" si="149"/>
        <v/>
      </c>
    </row>
    <row r="3205" spans="2:6" x14ac:dyDescent="0.2">
      <c r="B3205" s="12"/>
      <c r="C3205" s="12"/>
      <c r="D3205" s="17" t="str">
        <f t="shared" si="150"/>
        <v/>
      </c>
      <c r="E3205" s="18" t="str">
        <f t="shared" ref="E3205:E3268" si="151">IF(B3205="","",ABS(C3205-D3205))</f>
        <v/>
      </c>
      <c r="F3205" s="17" t="str">
        <f t="shared" ref="F3205:F3268" si="152">IF(B3205="","",E3205^2)</f>
        <v/>
      </c>
    </row>
    <row r="3206" spans="2:6" x14ac:dyDescent="0.2">
      <c r="B3206" s="12"/>
      <c r="C3206" s="12"/>
      <c r="D3206" s="17" t="str">
        <f t="shared" si="150"/>
        <v/>
      </c>
      <c r="E3206" s="18" t="str">
        <f t="shared" si="151"/>
        <v/>
      </c>
      <c r="F3206" s="17" t="str">
        <f t="shared" si="152"/>
        <v/>
      </c>
    </row>
    <row r="3207" spans="2:6" x14ac:dyDescent="0.2">
      <c r="B3207" s="12"/>
      <c r="C3207" s="12"/>
      <c r="D3207" s="17" t="str">
        <f t="shared" si="150"/>
        <v/>
      </c>
      <c r="E3207" s="18" t="str">
        <f t="shared" si="151"/>
        <v/>
      </c>
      <c r="F3207" s="17" t="str">
        <f t="shared" si="152"/>
        <v/>
      </c>
    </row>
    <row r="3208" spans="2:6" x14ac:dyDescent="0.2">
      <c r="B3208" s="12"/>
      <c r="C3208" s="12"/>
      <c r="D3208" s="17" t="str">
        <f t="shared" si="150"/>
        <v/>
      </c>
      <c r="E3208" s="18" t="str">
        <f t="shared" si="151"/>
        <v/>
      </c>
      <c r="F3208" s="17" t="str">
        <f t="shared" si="152"/>
        <v/>
      </c>
    </row>
    <row r="3209" spans="2:6" x14ac:dyDescent="0.2">
      <c r="B3209" s="12"/>
      <c r="C3209" s="12"/>
      <c r="D3209" s="17" t="str">
        <f t="shared" si="150"/>
        <v/>
      </c>
      <c r="E3209" s="18" t="str">
        <f t="shared" si="151"/>
        <v/>
      </c>
      <c r="F3209" s="17" t="str">
        <f t="shared" si="152"/>
        <v/>
      </c>
    </row>
    <row r="3210" spans="2:6" x14ac:dyDescent="0.2">
      <c r="B3210" s="12"/>
      <c r="C3210" s="12"/>
      <c r="D3210" s="17" t="str">
        <f t="shared" si="150"/>
        <v/>
      </c>
      <c r="E3210" s="18" t="str">
        <f t="shared" si="151"/>
        <v/>
      </c>
      <c r="F3210" s="17" t="str">
        <f t="shared" si="152"/>
        <v/>
      </c>
    </row>
    <row r="3211" spans="2:6" x14ac:dyDescent="0.2">
      <c r="B3211" s="12"/>
      <c r="C3211" s="12"/>
      <c r="D3211" s="17" t="str">
        <f t="shared" si="150"/>
        <v/>
      </c>
      <c r="E3211" s="18" t="str">
        <f t="shared" si="151"/>
        <v/>
      </c>
      <c r="F3211" s="17" t="str">
        <f t="shared" si="152"/>
        <v/>
      </c>
    </row>
    <row r="3212" spans="2:6" x14ac:dyDescent="0.2">
      <c r="B3212" s="12"/>
      <c r="C3212" s="12"/>
      <c r="D3212" s="17" t="str">
        <f t="shared" si="150"/>
        <v/>
      </c>
      <c r="E3212" s="18" t="str">
        <f t="shared" si="151"/>
        <v/>
      </c>
      <c r="F3212" s="17" t="str">
        <f t="shared" si="152"/>
        <v/>
      </c>
    </row>
    <row r="3213" spans="2:6" x14ac:dyDescent="0.2">
      <c r="B3213" s="12"/>
      <c r="C3213" s="12"/>
      <c r="D3213" s="17" t="str">
        <f t="shared" si="150"/>
        <v/>
      </c>
      <c r="E3213" s="18" t="str">
        <f t="shared" si="151"/>
        <v/>
      </c>
      <c r="F3213" s="17" t="str">
        <f t="shared" si="152"/>
        <v/>
      </c>
    </row>
    <row r="3214" spans="2:6" x14ac:dyDescent="0.2">
      <c r="B3214" s="12"/>
      <c r="C3214" s="12"/>
      <c r="D3214" s="17" t="str">
        <f t="shared" si="150"/>
        <v/>
      </c>
      <c r="E3214" s="18" t="str">
        <f t="shared" si="151"/>
        <v/>
      </c>
      <c r="F3214" s="17" t="str">
        <f t="shared" si="152"/>
        <v/>
      </c>
    </row>
    <row r="3215" spans="2:6" x14ac:dyDescent="0.2">
      <c r="B3215" s="12"/>
      <c r="C3215" s="12"/>
      <c r="D3215" s="17" t="str">
        <f t="shared" si="150"/>
        <v/>
      </c>
      <c r="E3215" s="18" t="str">
        <f t="shared" si="151"/>
        <v/>
      </c>
      <c r="F3215" s="17" t="str">
        <f t="shared" si="152"/>
        <v/>
      </c>
    </row>
    <row r="3216" spans="2:6" x14ac:dyDescent="0.2">
      <c r="B3216" s="12"/>
      <c r="C3216" s="12"/>
      <c r="D3216" s="17" t="str">
        <f t="shared" si="150"/>
        <v/>
      </c>
      <c r="E3216" s="18" t="str">
        <f t="shared" si="151"/>
        <v/>
      </c>
      <c r="F3216" s="17" t="str">
        <f t="shared" si="152"/>
        <v/>
      </c>
    </row>
    <row r="3217" spans="2:6" x14ac:dyDescent="0.2">
      <c r="B3217" s="12"/>
      <c r="C3217" s="12"/>
      <c r="D3217" s="17" t="str">
        <f t="shared" si="150"/>
        <v/>
      </c>
      <c r="E3217" s="18" t="str">
        <f t="shared" si="151"/>
        <v/>
      </c>
      <c r="F3217" s="17" t="str">
        <f t="shared" si="152"/>
        <v/>
      </c>
    </row>
    <row r="3218" spans="2:6" x14ac:dyDescent="0.2">
      <c r="B3218" s="12"/>
      <c r="C3218" s="12"/>
      <c r="D3218" s="17" t="str">
        <f t="shared" ref="D3218:D3281" si="153">IF(B3218="","",a+b*B3218)</f>
        <v/>
      </c>
      <c r="E3218" s="18" t="str">
        <f t="shared" si="151"/>
        <v/>
      </c>
      <c r="F3218" s="17" t="str">
        <f t="shared" si="152"/>
        <v/>
      </c>
    </row>
    <row r="3219" spans="2:6" x14ac:dyDescent="0.2">
      <c r="B3219" s="12"/>
      <c r="C3219" s="12"/>
      <c r="D3219" s="17" t="str">
        <f t="shared" si="153"/>
        <v/>
      </c>
      <c r="E3219" s="18" t="str">
        <f t="shared" si="151"/>
        <v/>
      </c>
      <c r="F3219" s="17" t="str">
        <f t="shared" si="152"/>
        <v/>
      </c>
    </row>
    <row r="3220" spans="2:6" x14ac:dyDescent="0.2">
      <c r="B3220" s="12"/>
      <c r="C3220" s="12"/>
      <c r="D3220" s="17" t="str">
        <f t="shared" si="153"/>
        <v/>
      </c>
      <c r="E3220" s="18" t="str">
        <f t="shared" si="151"/>
        <v/>
      </c>
      <c r="F3220" s="17" t="str">
        <f t="shared" si="152"/>
        <v/>
      </c>
    </row>
    <row r="3221" spans="2:6" x14ac:dyDescent="0.2">
      <c r="B3221" s="12"/>
      <c r="C3221" s="12"/>
      <c r="D3221" s="17" t="str">
        <f t="shared" si="153"/>
        <v/>
      </c>
      <c r="E3221" s="18" t="str">
        <f t="shared" si="151"/>
        <v/>
      </c>
      <c r="F3221" s="17" t="str">
        <f t="shared" si="152"/>
        <v/>
      </c>
    </row>
    <row r="3222" spans="2:6" x14ac:dyDescent="0.2">
      <c r="B3222" s="12"/>
      <c r="C3222" s="12"/>
      <c r="D3222" s="17" t="str">
        <f t="shared" si="153"/>
        <v/>
      </c>
      <c r="E3222" s="18" t="str">
        <f t="shared" si="151"/>
        <v/>
      </c>
      <c r="F3222" s="17" t="str">
        <f t="shared" si="152"/>
        <v/>
      </c>
    </row>
    <row r="3223" spans="2:6" x14ac:dyDescent="0.2">
      <c r="B3223" s="12"/>
      <c r="C3223" s="12"/>
      <c r="D3223" s="17" t="str">
        <f t="shared" si="153"/>
        <v/>
      </c>
      <c r="E3223" s="18" t="str">
        <f t="shared" si="151"/>
        <v/>
      </c>
      <c r="F3223" s="17" t="str">
        <f t="shared" si="152"/>
        <v/>
      </c>
    </row>
    <row r="3224" spans="2:6" x14ac:dyDescent="0.2">
      <c r="B3224" s="12"/>
      <c r="C3224" s="12"/>
      <c r="D3224" s="17" t="str">
        <f t="shared" si="153"/>
        <v/>
      </c>
      <c r="E3224" s="18" t="str">
        <f t="shared" si="151"/>
        <v/>
      </c>
      <c r="F3224" s="17" t="str">
        <f t="shared" si="152"/>
        <v/>
      </c>
    </row>
    <row r="3225" spans="2:6" x14ac:dyDescent="0.2">
      <c r="B3225" s="12"/>
      <c r="C3225" s="12"/>
      <c r="D3225" s="17" t="str">
        <f t="shared" si="153"/>
        <v/>
      </c>
      <c r="E3225" s="18" t="str">
        <f t="shared" si="151"/>
        <v/>
      </c>
      <c r="F3225" s="17" t="str">
        <f t="shared" si="152"/>
        <v/>
      </c>
    </row>
    <row r="3226" spans="2:6" x14ac:dyDescent="0.2">
      <c r="B3226" s="12"/>
      <c r="C3226" s="12"/>
      <c r="D3226" s="17" t="str">
        <f t="shared" si="153"/>
        <v/>
      </c>
      <c r="E3226" s="18" t="str">
        <f t="shared" si="151"/>
        <v/>
      </c>
      <c r="F3226" s="17" t="str">
        <f t="shared" si="152"/>
        <v/>
      </c>
    </row>
    <row r="3227" spans="2:6" x14ac:dyDescent="0.2">
      <c r="B3227" s="12"/>
      <c r="C3227" s="12"/>
      <c r="D3227" s="17" t="str">
        <f t="shared" si="153"/>
        <v/>
      </c>
      <c r="E3227" s="18" t="str">
        <f t="shared" si="151"/>
        <v/>
      </c>
      <c r="F3227" s="17" t="str">
        <f t="shared" si="152"/>
        <v/>
      </c>
    </row>
    <row r="3228" spans="2:6" x14ac:dyDescent="0.2">
      <c r="B3228" s="12"/>
      <c r="C3228" s="12"/>
      <c r="D3228" s="17" t="str">
        <f t="shared" si="153"/>
        <v/>
      </c>
      <c r="E3228" s="18" t="str">
        <f t="shared" si="151"/>
        <v/>
      </c>
      <c r="F3228" s="17" t="str">
        <f t="shared" si="152"/>
        <v/>
      </c>
    </row>
    <row r="3229" spans="2:6" x14ac:dyDescent="0.2">
      <c r="B3229" s="12"/>
      <c r="C3229" s="12"/>
      <c r="D3229" s="17" t="str">
        <f t="shared" si="153"/>
        <v/>
      </c>
      <c r="E3229" s="18" t="str">
        <f t="shared" si="151"/>
        <v/>
      </c>
      <c r="F3229" s="17" t="str">
        <f t="shared" si="152"/>
        <v/>
      </c>
    </row>
    <row r="3230" spans="2:6" x14ac:dyDescent="0.2">
      <c r="B3230" s="12"/>
      <c r="C3230" s="12"/>
      <c r="D3230" s="17" t="str">
        <f t="shared" si="153"/>
        <v/>
      </c>
      <c r="E3230" s="18" t="str">
        <f t="shared" si="151"/>
        <v/>
      </c>
      <c r="F3230" s="17" t="str">
        <f t="shared" si="152"/>
        <v/>
      </c>
    </row>
    <row r="3231" spans="2:6" x14ac:dyDescent="0.2">
      <c r="B3231" s="12"/>
      <c r="C3231" s="12"/>
      <c r="D3231" s="17" t="str">
        <f t="shared" si="153"/>
        <v/>
      </c>
      <c r="E3231" s="18" t="str">
        <f t="shared" si="151"/>
        <v/>
      </c>
      <c r="F3231" s="17" t="str">
        <f t="shared" si="152"/>
        <v/>
      </c>
    </row>
    <row r="3232" spans="2:6" x14ac:dyDescent="0.2">
      <c r="B3232" s="12"/>
      <c r="C3232" s="12"/>
      <c r="D3232" s="17" t="str">
        <f t="shared" si="153"/>
        <v/>
      </c>
      <c r="E3232" s="18" t="str">
        <f t="shared" si="151"/>
        <v/>
      </c>
      <c r="F3232" s="17" t="str">
        <f t="shared" si="152"/>
        <v/>
      </c>
    </row>
    <row r="3233" spans="2:6" x14ac:dyDescent="0.2">
      <c r="B3233" s="12"/>
      <c r="C3233" s="12"/>
      <c r="D3233" s="17" t="str">
        <f t="shared" si="153"/>
        <v/>
      </c>
      <c r="E3233" s="18" t="str">
        <f t="shared" si="151"/>
        <v/>
      </c>
      <c r="F3233" s="17" t="str">
        <f t="shared" si="152"/>
        <v/>
      </c>
    </row>
    <row r="3234" spans="2:6" x14ac:dyDescent="0.2">
      <c r="B3234" s="12"/>
      <c r="C3234" s="12"/>
      <c r="D3234" s="17" t="str">
        <f t="shared" si="153"/>
        <v/>
      </c>
      <c r="E3234" s="18" t="str">
        <f t="shared" si="151"/>
        <v/>
      </c>
      <c r="F3234" s="17" t="str">
        <f t="shared" si="152"/>
        <v/>
      </c>
    </row>
    <row r="3235" spans="2:6" x14ac:dyDescent="0.2">
      <c r="B3235" s="12"/>
      <c r="C3235" s="12"/>
      <c r="D3235" s="17" t="str">
        <f t="shared" si="153"/>
        <v/>
      </c>
      <c r="E3235" s="18" t="str">
        <f t="shared" si="151"/>
        <v/>
      </c>
      <c r="F3235" s="17" t="str">
        <f t="shared" si="152"/>
        <v/>
      </c>
    </row>
    <row r="3236" spans="2:6" x14ac:dyDescent="0.2">
      <c r="B3236" s="12"/>
      <c r="C3236" s="12"/>
      <c r="D3236" s="17" t="str">
        <f t="shared" si="153"/>
        <v/>
      </c>
      <c r="E3236" s="18" t="str">
        <f t="shared" si="151"/>
        <v/>
      </c>
      <c r="F3236" s="17" t="str">
        <f t="shared" si="152"/>
        <v/>
      </c>
    </row>
    <row r="3237" spans="2:6" x14ac:dyDescent="0.2">
      <c r="B3237" s="12"/>
      <c r="C3237" s="12"/>
      <c r="D3237" s="17" t="str">
        <f t="shared" si="153"/>
        <v/>
      </c>
      <c r="E3237" s="18" t="str">
        <f t="shared" si="151"/>
        <v/>
      </c>
      <c r="F3237" s="17" t="str">
        <f t="shared" si="152"/>
        <v/>
      </c>
    </row>
    <row r="3238" spans="2:6" x14ac:dyDescent="0.2">
      <c r="B3238" s="12"/>
      <c r="C3238" s="12"/>
      <c r="D3238" s="17" t="str">
        <f t="shared" si="153"/>
        <v/>
      </c>
      <c r="E3238" s="18" t="str">
        <f t="shared" si="151"/>
        <v/>
      </c>
      <c r="F3238" s="17" t="str">
        <f t="shared" si="152"/>
        <v/>
      </c>
    </row>
    <row r="3239" spans="2:6" x14ac:dyDescent="0.2">
      <c r="B3239" s="12"/>
      <c r="C3239" s="12"/>
      <c r="D3239" s="17" t="str">
        <f t="shared" si="153"/>
        <v/>
      </c>
      <c r="E3239" s="18" t="str">
        <f t="shared" si="151"/>
        <v/>
      </c>
      <c r="F3239" s="17" t="str">
        <f t="shared" si="152"/>
        <v/>
      </c>
    </row>
    <row r="3240" spans="2:6" x14ac:dyDescent="0.2">
      <c r="B3240" s="12"/>
      <c r="C3240" s="12"/>
      <c r="D3240" s="17" t="str">
        <f t="shared" si="153"/>
        <v/>
      </c>
      <c r="E3240" s="18" t="str">
        <f t="shared" si="151"/>
        <v/>
      </c>
      <c r="F3240" s="17" t="str">
        <f t="shared" si="152"/>
        <v/>
      </c>
    </row>
    <row r="3241" spans="2:6" x14ac:dyDescent="0.2">
      <c r="B3241" s="12"/>
      <c r="C3241" s="12"/>
      <c r="D3241" s="17" t="str">
        <f t="shared" si="153"/>
        <v/>
      </c>
      <c r="E3241" s="18" t="str">
        <f t="shared" si="151"/>
        <v/>
      </c>
      <c r="F3241" s="17" t="str">
        <f t="shared" si="152"/>
        <v/>
      </c>
    </row>
    <row r="3242" spans="2:6" x14ac:dyDescent="0.2">
      <c r="B3242" s="12"/>
      <c r="C3242" s="12"/>
      <c r="D3242" s="17" t="str">
        <f t="shared" si="153"/>
        <v/>
      </c>
      <c r="E3242" s="18" t="str">
        <f t="shared" si="151"/>
        <v/>
      </c>
      <c r="F3242" s="17" t="str">
        <f t="shared" si="152"/>
        <v/>
      </c>
    </row>
    <row r="3243" spans="2:6" x14ac:dyDescent="0.2">
      <c r="B3243" s="12"/>
      <c r="C3243" s="12"/>
      <c r="D3243" s="17" t="str">
        <f t="shared" si="153"/>
        <v/>
      </c>
      <c r="E3243" s="18" t="str">
        <f t="shared" si="151"/>
        <v/>
      </c>
      <c r="F3243" s="17" t="str">
        <f t="shared" si="152"/>
        <v/>
      </c>
    </row>
    <row r="3244" spans="2:6" x14ac:dyDescent="0.2">
      <c r="B3244" s="12"/>
      <c r="C3244" s="12"/>
      <c r="D3244" s="17" t="str">
        <f t="shared" si="153"/>
        <v/>
      </c>
      <c r="E3244" s="18" t="str">
        <f t="shared" si="151"/>
        <v/>
      </c>
      <c r="F3244" s="17" t="str">
        <f t="shared" si="152"/>
        <v/>
      </c>
    </row>
    <row r="3245" spans="2:6" x14ac:dyDescent="0.2">
      <c r="B3245" s="12"/>
      <c r="C3245" s="12"/>
      <c r="D3245" s="17" t="str">
        <f t="shared" si="153"/>
        <v/>
      </c>
      <c r="E3245" s="18" t="str">
        <f t="shared" si="151"/>
        <v/>
      </c>
      <c r="F3245" s="17" t="str">
        <f t="shared" si="152"/>
        <v/>
      </c>
    </row>
    <row r="3246" spans="2:6" x14ac:dyDescent="0.2">
      <c r="B3246" s="12"/>
      <c r="C3246" s="12"/>
      <c r="D3246" s="17" t="str">
        <f t="shared" si="153"/>
        <v/>
      </c>
      <c r="E3246" s="18" t="str">
        <f t="shared" si="151"/>
        <v/>
      </c>
      <c r="F3246" s="17" t="str">
        <f t="shared" si="152"/>
        <v/>
      </c>
    </row>
    <row r="3247" spans="2:6" x14ac:dyDescent="0.2">
      <c r="B3247" s="12"/>
      <c r="C3247" s="12"/>
      <c r="D3247" s="17" t="str">
        <f t="shared" si="153"/>
        <v/>
      </c>
      <c r="E3247" s="18" t="str">
        <f t="shared" si="151"/>
        <v/>
      </c>
      <c r="F3247" s="17" t="str">
        <f t="shared" si="152"/>
        <v/>
      </c>
    </row>
    <row r="3248" spans="2:6" x14ac:dyDescent="0.2">
      <c r="B3248" s="12"/>
      <c r="C3248" s="12"/>
      <c r="D3248" s="17" t="str">
        <f t="shared" si="153"/>
        <v/>
      </c>
      <c r="E3248" s="18" t="str">
        <f t="shared" si="151"/>
        <v/>
      </c>
      <c r="F3248" s="17" t="str">
        <f t="shared" si="152"/>
        <v/>
      </c>
    </row>
    <row r="3249" spans="2:6" x14ac:dyDescent="0.2">
      <c r="B3249" s="12"/>
      <c r="C3249" s="12"/>
      <c r="D3249" s="17" t="str">
        <f t="shared" si="153"/>
        <v/>
      </c>
      <c r="E3249" s="18" t="str">
        <f t="shared" si="151"/>
        <v/>
      </c>
      <c r="F3249" s="17" t="str">
        <f t="shared" si="152"/>
        <v/>
      </c>
    </row>
    <row r="3250" spans="2:6" x14ac:dyDescent="0.2">
      <c r="B3250" s="12"/>
      <c r="C3250" s="12"/>
      <c r="D3250" s="17" t="str">
        <f t="shared" si="153"/>
        <v/>
      </c>
      <c r="E3250" s="18" t="str">
        <f t="shared" si="151"/>
        <v/>
      </c>
      <c r="F3250" s="17" t="str">
        <f t="shared" si="152"/>
        <v/>
      </c>
    </row>
    <row r="3251" spans="2:6" x14ac:dyDescent="0.2">
      <c r="B3251" s="12"/>
      <c r="C3251" s="12"/>
      <c r="D3251" s="17" t="str">
        <f t="shared" si="153"/>
        <v/>
      </c>
      <c r="E3251" s="18" t="str">
        <f t="shared" si="151"/>
        <v/>
      </c>
      <c r="F3251" s="17" t="str">
        <f t="shared" si="152"/>
        <v/>
      </c>
    </row>
    <row r="3252" spans="2:6" x14ac:dyDescent="0.2">
      <c r="B3252" s="12"/>
      <c r="C3252" s="12"/>
      <c r="D3252" s="17" t="str">
        <f t="shared" si="153"/>
        <v/>
      </c>
      <c r="E3252" s="18" t="str">
        <f t="shared" si="151"/>
        <v/>
      </c>
      <c r="F3252" s="17" t="str">
        <f t="shared" si="152"/>
        <v/>
      </c>
    </row>
    <row r="3253" spans="2:6" x14ac:dyDescent="0.2">
      <c r="B3253" s="12"/>
      <c r="C3253" s="12"/>
      <c r="D3253" s="17" t="str">
        <f t="shared" si="153"/>
        <v/>
      </c>
      <c r="E3253" s="18" t="str">
        <f t="shared" si="151"/>
        <v/>
      </c>
      <c r="F3253" s="17" t="str">
        <f t="shared" si="152"/>
        <v/>
      </c>
    </row>
    <row r="3254" spans="2:6" x14ac:dyDescent="0.2">
      <c r="B3254" s="12"/>
      <c r="C3254" s="12"/>
      <c r="D3254" s="17" t="str">
        <f t="shared" si="153"/>
        <v/>
      </c>
      <c r="E3254" s="18" t="str">
        <f t="shared" si="151"/>
        <v/>
      </c>
      <c r="F3254" s="17" t="str">
        <f t="shared" si="152"/>
        <v/>
      </c>
    </row>
    <row r="3255" spans="2:6" x14ac:dyDescent="0.2">
      <c r="B3255" s="12"/>
      <c r="C3255" s="12"/>
      <c r="D3255" s="17" t="str">
        <f t="shared" si="153"/>
        <v/>
      </c>
      <c r="E3255" s="18" t="str">
        <f t="shared" si="151"/>
        <v/>
      </c>
      <c r="F3255" s="17" t="str">
        <f t="shared" si="152"/>
        <v/>
      </c>
    </row>
    <row r="3256" spans="2:6" x14ac:dyDescent="0.2">
      <c r="B3256" s="12"/>
      <c r="C3256" s="12"/>
      <c r="D3256" s="17" t="str">
        <f t="shared" si="153"/>
        <v/>
      </c>
      <c r="E3256" s="18" t="str">
        <f t="shared" si="151"/>
        <v/>
      </c>
      <c r="F3256" s="17" t="str">
        <f t="shared" si="152"/>
        <v/>
      </c>
    </row>
    <row r="3257" spans="2:6" x14ac:dyDescent="0.2">
      <c r="B3257" s="12"/>
      <c r="C3257" s="12"/>
      <c r="D3257" s="17" t="str">
        <f t="shared" si="153"/>
        <v/>
      </c>
      <c r="E3257" s="18" t="str">
        <f t="shared" si="151"/>
        <v/>
      </c>
      <c r="F3257" s="17" t="str">
        <f t="shared" si="152"/>
        <v/>
      </c>
    </row>
    <row r="3258" spans="2:6" x14ac:dyDescent="0.2">
      <c r="B3258" s="12"/>
      <c r="C3258" s="12"/>
      <c r="D3258" s="17" t="str">
        <f t="shared" si="153"/>
        <v/>
      </c>
      <c r="E3258" s="18" t="str">
        <f t="shared" si="151"/>
        <v/>
      </c>
      <c r="F3258" s="17" t="str">
        <f t="shared" si="152"/>
        <v/>
      </c>
    </row>
    <row r="3259" spans="2:6" x14ac:dyDescent="0.2">
      <c r="B3259" s="12"/>
      <c r="C3259" s="12"/>
      <c r="D3259" s="17" t="str">
        <f t="shared" si="153"/>
        <v/>
      </c>
      <c r="E3259" s="18" t="str">
        <f t="shared" si="151"/>
        <v/>
      </c>
      <c r="F3259" s="17" t="str">
        <f t="shared" si="152"/>
        <v/>
      </c>
    </row>
    <row r="3260" spans="2:6" x14ac:dyDescent="0.2">
      <c r="B3260" s="12"/>
      <c r="C3260" s="12"/>
      <c r="D3260" s="17" t="str">
        <f t="shared" si="153"/>
        <v/>
      </c>
      <c r="E3260" s="18" t="str">
        <f t="shared" si="151"/>
        <v/>
      </c>
      <c r="F3260" s="17" t="str">
        <f t="shared" si="152"/>
        <v/>
      </c>
    </row>
    <row r="3261" spans="2:6" x14ac:dyDescent="0.2">
      <c r="B3261" s="12"/>
      <c r="C3261" s="12"/>
      <c r="D3261" s="17" t="str">
        <f t="shared" si="153"/>
        <v/>
      </c>
      <c r="E3261" s="18" t="str">
        <f t="shared" si="151"/>
        <v/>
      </c>
      <c r="F3261" s="17" t="str">
        <f t="shared" si="152"/>
        <v/>
      </c>
    </row>
    <row r="3262" spans="2:6" x14ac:dyDescent="0.2">
      <c r="B3262" s="12"/>
      <c r="C3262" s="12"/>
      <c r="D3262" s="17" t="str">
        <f t="shared" si="153"/>
        <v/>
      </c>
      <c r="E3262" s="18" t="str">
        <f t="shared" si="151"/>
        <v/>
      </c>
      <c r="F3262" s="17" t="str">
        <f t="shared" si="152"/>
        <v/>
      </c>
    </row>
    <row r="3263" spans="2:6" x14ac:dyDescent="0.2">
      <c r="B3263" s="12"/>
      <c r="C3263" s="12"/>
      <c r="D3263" s="17" t="str">
        <f t="shared" si="153"/>
        <v/>
      </c>
      <c r="E3263" s="18" t="str">
        <f t="shared" si="151"/>
        <v/>
      </c>
      <c r="F3263" s="17" t="str">
        <f t="shared" si="152"/>
        <v/>
      </c>
    </row>
    <row r="3264" spans="2:6" x14ac:dyDescent="0.2">
      <c r="B3264" s="12"/>
      <c r="C3264" s="12"/>
      <c r="D3264" s="17" t="str">
        <f t="shared" si="153"/>
        <v/>
      </c>
      <c r="E3264" s="18" t="str">
        <f t="shared" si="151"/>
        <v/>
      </c>
      <c r="F3264" s="17" t="str">
        <f t="shared" si="152"/>
        <v/>
      </c>
    </row>
    <row r="3265" spans="2:6" x14ac:dyDescent="0.2">
      <c r="B3265" s="12"/>
      <c r="C3265" s="12"/>
      <c r="D3265" s="17" t="str">
        <f t="shared" si="153"/>
        <v/>
      </c>
      <c r="E3265" s="18" t="str">
        <f t="shared" si="151"/>
        <v/>
      </c>
      <c r="F3265" s="17" t="str">
        <f t="shared" si="152"/>
        <v/>
      </c>
    </row>
    <row r="3266" spans="2:6" x14ac:dyDescent="0.2">
      <c r="B3266" s="12"/>
      <c r="C3266" s="12"/>
      <c r="D3266" s="17" t="str">
        <f t="shared" si="153"/>
        <v/>
      </c>
      <c r="E3266" s="18" t="str">
        <f t="shared" si="151"/>
        <v/>
      </c>
      <c r="F3266" s="17" t="str">
        <f t="shared" si="152"/>
        <v/>
      </c>
    </row>
    <row r="3267" spans="2:6" x14ac:dyDescent="0.2">
      <c r="B3267" s="12"/>
      <c r="C3267" s="12"/>
      <c r="D3267" s="17" t="str">
        <f t="shared" si="153"/>
        <v/>
      </c>
      <c r="E3267" s="18" t="str">
        <f t="shared" si="151"/>
        <v/>
      </c>
      <c r="F3267" s="17" t="str">
        <f t="shared" si="152"/>
        <v/>
      </c>
    </row>
    <row r="3268" spans="2:6" x14ac:dyDescent="0.2">
      <c r="B3268" s="12"/>
      <c r="C3268" s="12"/>
      <c r="D3268" s="17" t="str">
        <f t="shared" si="153"/>
        <v/>
      </c>
      <c r="E3268" s="18" t="str">
        <f t="shared" si="151"/>
        <v/>
      </c>
      <c r="F3268" s="17" t="str">
        <f t="shared" si="152"/>
        <v/>
      </c>
    </row>
    <row r="3269" spans="2:6" x14ac:dyDescent="0.2">
      <c r="B3269" s="12"/>
      <c r="C3269" s="12"/>
      <c r="D3269" s="17" t="str">
        <f t="shared" si="153"/>
        <v/>
      </c>
      <c r="E3269" s="18" t="str">
        <f t="shared" ref="E3269:E3332" si="154">IF(B3269="","",ABS(C3269-D3269))</f>
        <v/>
      </c>
      <c r="F3269" s="17" t="str">
        <f t="shared" ref="F3269:F3332" si="155">IF(B3269="","",E3269^2)</f>
        <v/>
      </c>
    </row>
    <row r="3270" spans="2:6" x14ac:dyDescent="0.2">
      <c r="B3270" s="12"/>
      <c r="C3270" s="12"/>
      <c r="D3270" s="17" t="str">
        <f t="shared" si="153"/>
        <v/>
      </c>
      <c r="E3270" s="18" t="str">
        <f t="shared" si="154"/>
        <v/>
      </c>
      <c r="F3270" s="17" t="str">
        <f t="shared" si="155"/>
        <v/>
      </c>
    </row>
    <row r="3271" spans="2:6" x14ac:dyDescent="0.2">
      <c r="B3271" s="12"/>
      <c r="C3271" s="12"/>
      <c r="D3271" s="17" t="str">
        <f t="shared" si="153"/>
        <v/>
      </c>
      <c r="E3271" s="18" t="str">
        <f t="shared" si="154"/>
        <v/>
      </c>
      <c r="F3271" s="17" t="str">
        <f t="shared" si="155"/>
        <v/>
      </c>
    </row>
    <row r="3272" spans="2:6" x14ac:dyDescent="0.2">
      <c r="B3272" s="12"/>
      <c r="C3272" s="12"/>
      <c r="D3272" s="17" t="str">
        <f t="shared" si="153"/>
        <v/>
      </c>
      <c r="E3272" s="18" t="str">
        <f t="shared" si="154"/>
        <v/>
      </c>
      <c r="F3272" s="17" t="str">
        <f t="shared" si="155"/>
        <v/>
      </c>
    </row>
    <row r="3273" spans="2:6" x14ac:dyDescent="0.2">
      <c r="B3273" s="12"/>
      <c r="C3273" s="12"/>
      <c r="D3273" s="17" t="str">
        <f t="shared" si="153"/>
        <v/>
      </c>
      <c r="E3273" s="18" t="str">
        <f t="shared" si="154"/>
        <v/>
      </c>
      <c r="F3273" s="17" t="str">
        <f t="shared" si="155"/>
        <v/>
      </c>
    </row>
    <row r="3274" spans="2:6" x14ac:dyDescent="0.2">
      <c r="B3274" s="12"/>
      <c r="C3274" s="12"/>
      <c r="D3274" s="17" t="str">
        <f t="shared" si="153"/>
        <v/>
      </c>
      <c r="E3274" s="18" t="str">
        <f t="shared" si="154"/>
        <v/>
      </c>
      <c r="F3274" s="17" t="str">
        <f t="shared" si="155"/>
        <v/>
      </c>
    </row>
    <row r="3275" spans="2:6" x14ac:dyDescent="0.2">
      <c r="B3275" s="12"/>
      <c r="C3275" s="12"/>
      <c r="D3275" s="17" t="str">
        <f t="shared" si="153"/>
        <v/>
      </c>
      <c r="E3275" s="18" t="str">
        <f t="shared" si="154"/>
        <v/>
      </c>
      <c r="F3275" s="17" t="str">
        <f t="shared" si="155"/>
        <v/>
      </c>
    </row>
    <row r="3276" spans="2:6" x14ac:dyDescent="0.2">
      <c r="B3276" s="12"/>
      <c r="C3276" s="12"/>
      <c r="D3276" s="17" t="str">
        <f t="shared" si="153"/>
        <v/>
      </c>
      <c r="E3276" s="18" t="str">
        <f t="shared" si="154"/>
        <v/>
      </c>
      <c r="F3276" s="17" t="str">
        <f t="shared" si="155"/>
        <v/>
      </c>
    </row>
    <row r="3277" spans="2:6" x14ac:dyDescent="0.2">
      <c r="B3277" s="12"/>
      <c r="C3277" s="12"/>
      <c r="D3277" s="17" t="str">
        <f t="shared" si="153"/>
        <v/>
      </c>
      <c r="E3277" s="18" t="str">
        <f t="shared" si="154"/>
        <v/>
      </c>
      <c r="F3277" s="17" t="str">
        <f t="shared" si="155"/>
        <v/>
      </c>
    </row>
    <row r="3278" spans="2:6" x14ac:dyDescent="0.2">
      <c r="B3278" s="12"/>
      <c r="C3278" s="12"/>
      <c r="D3278" s="17" t="str">
        <f t="shared" si="153"/>
        <v/>
      </c>
      <c r="E3278" s="18" t="str">
        <f t="shared" si="154"/>
        <v/>
      </c>
      <c r="F3278" s="17" t="str">
        <f t="shared" si="155"/>
        <v/>
      </c>
    </row>
    <row r="3279" spans="2:6" x14ac:dyDescent="0.2">
      <c r="B3279" s="12"/>
      <c r="C3279" s="12"/>
      <c r="D3279" s="17" t="str">
        <f t="shared" si="153"/>
        <v/>
      </c>
      <c r="E3279" s="18" t="str">
        <f t="shared" si="154"/>
        <v/>
      </c>
      <c r="F3279" s="17" t="str">
        <f t="shared" si="155"/>
        <v/>
      </c>
    </row>
    <row r="3280" spans="2:6" x14ac:dyDescent="0.2">
      <c r="B3280" s="12"/>
      <c r="C3280" s="12"/>
      <c r="D3280" s="17" t="str">
        <f t="shared" si="153"/>
        <v/>
      </c>
      <c r="E3280" s="18" t="str">
        <f t="shared" si="154"/>
        <v/>
      </c>
      <c r="F3280" s="17" t="str">
        <f t="shared" si="155"/>
        <v/>
      </c>
    </row>
    <row r="3281" spans="2:6" x14ac:dyDescent="0.2">
      <c r="B3281" s="12"/>
      <c r="C3281" s="12"/>
      <c r="D3281" s="17" t="str">
        <f t="shared" si="153"/>
        <v/>
      </c>
      <c r="E3281" s="18" t="str">
        <f t="shared" si="154"/>
        <v/>
      </c>
      <c r="F3281" s="17" t="str">
        <f t="shared" si="155"/>
        <v/>
      </c>
    </row>
    <row r="3282" spans="2:6" x14ac:dyDescent="0.2">
      <c r="B3282" s="12"/>
      <c r="C3282" s="12"/>
      <c r="D3282" s="17" t="str">
        <f t="shared" ref="D3282:D3345" si="156">IF(B3282="","",a+b*B3282)</f>
        <v/>
      </c>
      <c r="E3282" s="18" t="str">
        <f t="shared" si="154"/>
        <v/>
      </c>
      <c r="F3282" s="17" t="str">
        <f t="shared" si="155"/>
        <v/>
      </c>
    </row>
    <row r="3283" spans="2:6" x14ac:dyDescent="0.2">
      <c r="B3283" s="12"/>
      <c r="C3283" s="12"/>
      <c r="D3283" s="17" t="str">
        <f t="shared" si="156"/>
        <v/>
      </c>
      <c r="E3283" s="18" t="str">
        <f t="shared" si="154"/>
        <v/>
      </c>
      <c r="F3283" s="17" t="str">
        <f t="shared" si="155"/>
        <v/>
      </c>
    </row>
    <row r="3284" spans="2:6" x14ac:dyDescent="0.2">
      <c r="B3284" s="12"/>
      <c r="C3284" s="12"/>
      <c r="D3284" s="17" t="str">
        <f t="shared" si="156"/>
        <v/>
      </c>
      <c r="E3284" s="18" t="str">
        <f t="shared" si="154"/>
        <v/>
      </c>
      <c r="F3284" s="17" t="str">
        <f t="shared" si="155"/>
        <v/>
      </c>
    </row>
    <row r="3285" spans="2:6" x14ac:dyDescent="0.2">
      <c r="B3285" s="12"/>
      <c r="C3285" s="12"/>
      <c r="D3285" s="17" t="str">
        <f t="shared" si="156"/>
        <v/>
      </c>
      <c r="E3285" s="18" t="str">
        <f t="shared" si="154"/>
        <v/>
      </c>
      <c r="F3285" s="17" t="str">
        <f t="shared" si="155"/>
        <v/>
      </c>
    </row>
    <row r="3286" spans="2:6" x14ac:dyDescent="0.2">
      <c r="B3286" s="12"/>
      <c r="C3286" s="12"/>
      <c r="D3286" s="17" t="str">
        <f t="shared" si="156"/>
        <v/>
      </c>
      <c r="E3286" s="18" t="str">
        <f t="shared" si="154"/>
        <v/>
      </c>
      <c r="F3286" s="17" t="str">
        <f t="shared" si="155"/>
        <v/>
      </c>
    </row>
    <row r="3287" spans="2:6" x14ac:dyDescent="0.2">
      <c r="B3287" s="12"/>
      <c r="C3287" s="12"/>
      <c r="D3287" s="17" t="str">
        <f t="shared" si="156"/>
        <v/>
      </c>
      <c r="E3287" s="18" t="str">
        <f t="shared" si="154"/>
        <v/>
      </c>
      <c r="F3287" s="17" t="str">
        <f t="shared" si="155"/>
        <v/>
      </c>
    </row>
    <row r="3288" spans="2:6" x14ac:dyDescent="0.2">
      <c r="B3288" s="12"/>
      <c r="C3288" s="12"/>
      <c r="D3288" s="17" t="str">
        <f t="shared" si="156"/>
        <v/>
      </c>
      <c r="E3288" s="18" t="str">
        <f t="shared" si="154"/>
        <v/>
      </c>
      <c r="F3288" s="17" t="str">
        <f t="shared" si="155"/>
        <v/>
      </c>
    </row>
    <row r="3289" spans="2:6" x14ac:dyDescent="0.2">
      <c r="B3289" s="12"/>
      <c r="C3289" s="12"/>
      <c r="D3289" s="17" t="str">
        <f t="shared" si="156"/>
        <v/>
      </c>
      <c r="E3289" s="18" t="str">
        <f t="shared" si="154"/>
        <v/>
      </c>
      <c r="F3289" s="17" t="str">
        <f t="shared" si="155"/>
        <v/>
      </c>
    </row>
    <row r="3290" spans="2:6" x14ac:dyDescent="0.2">
      <c r="B3290" s="12"/>
      <c r="C3290" s="12"/>
      <c r="D3290" s="17" t="str">
        <f t="shared" si="156"/>
        <v/>
      </c>
      <c r="E3290" s="18" t="str">
        <f t="shared" si="154"/>
        <v/>
      </c>
      <c r="F3290" s="17" t="str">
        <f t="shared" si="155"/>
        <v/>
      </c>
    </row>
    <row r="3291" spans="2:6" x14ac:dyDescent="0.2">
      <c r="B3291" s="12"/>
      <c r="C3291" s="12"/>
      <c r="D3291" s="17" t="str">
        <f t="shared" si="156"/>
        <v/>
      </c>
      <c r="E3291" s="18" t="str">
        <f t="shared" si="154"/>
        <v/>
      </c>
      <c r="F3291" s="17" t="str">
        <f t="shared" si="155"/>
        <v/>
      </c>
    </row>
    <row r="3292" spans="2:6" x14ac:dyDescent="0.2">
      <c r="B3292" s="12"/>
      <c r="C3292" s="12"/>
      <c r="D3292" s="17" t="str">
        <f t="shared" si="156"/>
        <v/>
      </c>
      <c r="E3292" s="18" t="str">
        <f t="shared" si="154"/>
        <v/>
      </c>
      <c r="F3292" s="17" t="str">
        <f t="shared" si="155"/>
        <v/>
      </c>
    </row>
    <row r="3293" spans="2:6" x14ac:dyDescent="0.2">
      <c r="B3293" s="12"/>
      <c r="C3293" s="12"/>
      <c r="D3293" s="17" t="str">
        <f t="shared" si="156"/>
        <v/>
      </c>
      <c r="E3293" s="18" t="str">
        <f t="shared" si="154"/>
        <v/>
      </c>
      <c r="F3293" s="17" t="str">
        <f t="shared" si="155"/>
        <v/>
      </c>
    </row>
    <row r="3294" spans="2:6" x14ac:dyDescent="0.2">
      <c r="B3294" s="12"/>
      <c r="C3294" s="12"/>
      <c r="D3294" s="17" t="str">
        <f t="shared" si="156"/>
        <v/>
      </c>
      <c r="E3294" s="18" t="str">
        <f t="shared" si="154"/>
        <v/>
      </c>
      <c r="F3294" s="17" t="str">
        <f t="shared" si="155"/>
        <v/>
      </c>
    </row>
    <row r="3295" spans="2:6" x14ac:dyDescent="0.2">
      <c r="B3295" s="12"/>
      <c r="C3295" s="12"/>
      <c r="D3295" s="17" t="str">
        <f t="shared" si="156"/>
        <v/>
      </c>
      <c r="E3295" s="18" t="str">
        <f t="shared" si="154"/>
        <v/>
      </c>
      <c r="F3295" s="17" t="str">
        <f t="shared" si="155"/>
        <v/>
      </c>
    </row>
    <row r="3296" spans="2:6" x14ac:dyDescent="0.2">
      <c r="B3296" s="12"/>
      <c r="C3296" s="12"/>
      <c r="D3296" s="17" t="str">
        <f t="shared" si="156"/>
        <v/>
      </c>
      <c r="E3296" s="18" t="str">
        <f t="shared" si="154"/>
        <v/>
      </c>
      <c r="F3296" s="17" t="str">
        <f t="shared" si="155"/>
        <v/>
      </c>
    </row>
    <row r="3297" spans="2:6" x14ac:dyDescent="0.2">
      <c r="B3297" s="12"/>
      <c r="C3297" s="12"/>
      <c r="D3297" s="17" t="str">
        <f t="shared" si="156"/>
        <v/>
      </c>
      <c r="E3297" s="18" t="str">
        <f t="shared" si="154"/>
        <v/>
      </c>
      <c r="F3297" s="17" t="str">
        <f t="shared" si="155"/>
        <v/>
      </c>
    </row>
    <row r="3298" spans="2:6" x14ac:dyDescent="0.2">
      <c r="B3298" s="12"/>
      <c r="C3298" s="12"/>
      <c r="D3298" s="17" t="str">
        <f t="shared" si="156"/>
        <v/>
      </c>
      <c r="E3298" s="18" t="str">
        <f t="shared" si="154"/>
        <v/>
      </c>
      <c r="F3298" s="17" t="str">
        <f t="shared" si="155"/>
        <v/>
      </c>
    </row>
    <row r="3299" spans="2:6" x14ac:dyDescent="0.2">
      <c r="B3299" s="12"/>
      <c r="C3299" s="12"/>
      <c r="D3299" s="17" t="str">
        <f t="shared" si="156"/>
        <v/>
      </c>
      <c r="E3299" s="18" t="str">
        <f t="shared" si="154"/>
        <v/>
      </c>
      <c r="F3299" s="17" t="str">
        <f t="shared" si="155"/>
        <v/>
      </c>
    </row>
    <row r="3300" spans="2:6" x14ac:dyDescent="0.2">
      <c r="B3300" s="12"/>
      <c r="C3300" s="12"/>
      <c r="D3300" s="17" t="str">
        <f t="shared" si="156"/>
        <v/>
      </c>
      <c r="E3300" s="18" t="str">
        <f t="shared" si="154"/>
        <v/>
      </c>
      <c r="F3300" s="17" t="str">
        <f t="shared" si="155"/>
        <v/>
      </c>
    </row>
    <row r="3301" spans="2:6" x14ac:dyDescent="0.2">
      <c r="B3301" s="12"/>
      <c r="C3301" s="12"/>
      <c r="D3301" s="17" t="str">
        <f t="shared" si="156"/>
        <v/>
      </c>
      <c r="E3301" s="18" t="str">
        <f t="shared" si="154"/>
        <v/>
      </c>
      <c r="F3301" s="17" t="str">
        <f t="shared" si="155"/>
        <v/>
      </c>
    </row>
    <row r="3302" spans="2:6" x14ac:dyDescent="0.2">
      <c r="B3302" s="12"/>
      <c r="C3302" s="12"/>
      <c r="D3302" s="17" t="str">
        <f t="shared" si="156"/>
        <v/>
      </c>
      <c r="E3302" s="18" t="str">
        <f t="shared" si="154"/>
        <v/>
      </c>
      <c r="F3302" s="17" t="str">
        <f t="shared" si="155"/>
        <v/>
      </c>
    </row>
    <row r="3303" spans="2:6" x14ac:dyDescent="0.2">
      <c r="B3303" s="12"/>
      <c r="C3303" s="12"/>
      <c r="D3303" s="17" t="str">
        <f t="shared" si="156"/>
        <v/>
      </c>
      <c r="E3303" s="18" t="str">
        <f t="shared" si="154"/>
        <v/>
      </c>
      <c r="F3303" s="17" t="str">
        <f t="shared" si="155"/>
        <v/>
      </c>
    </row>
    <row r="3304" spans="2:6" x14ac:dyDescent="0.2">
      <c r="B3304" s="12"/>
      <c r="C3304" s="12"/>
      <c r="D3304" s="17" t="str">
        <f t="shared" si="156"/>
        <v/>
      </c>
      <c r="E3304" s="18" t="str">
        <f t="shared" si="154"/>
        <v/>
      </c>
      <c r="F3304" s="17" t="str">
        <f t="shared" si="155"/>
        <v/>
      </c>
    </row>
    <row r="3305" spans="2:6" x14ac:dyDescent="0.2">
      <c r="B3305" s="12"/>
      <c r="C3305" s="12"/>
      <c r="D3305" s="17" t="str">
        <f t="shared" si="156"/>
        <v/>
      </c>
      <c r="E3305" s="18" t="str">
        <f t="shared" si="154"/>
        <v/>
      </c>
      <c r="F3305" s="17" t="str">
        <f t="shared" si="155"/>
        <v/>
      </c>
    </row>
    <row r="3306" spans="2:6" x14ac:dyDescent="0.2">
      <c r="B3306" s="12"/>
      <c r="C3306" s="12"/>
      <c r="D3306" s="17" t="str">
        <f t="shared" si="156"/>
        <v/>
      </c>
      <c r="E3306" s="18" t="str">
        <f t="shared" si="154"/>
        <v/>
      </c>
      <c r="F3306" s="17" t="str">
        <f t="shared" si="155"/>
        <v/>
      </c>
    </row>
    <row r="3307" spans="2:6" x14ac:dyDescent="0.2">
      <c r="B3307" s="12"/>
      <c r="C3307" s="12"/>
      <c r="D3307" s="17" t="str">
        <f t="shared" si="156"/>
        <v/>
      </c>
      <c r="E3307" s="18" t="str">
        <f t="shared" si="154"/>
        <v/>
      </c>
      <c r="F3307" s="17" t="str">
        <f t="shared" si="155"/>
        <v/>
      </c>
    </row>
    <row r="3308" spans="2:6" x14ac:dyDescent="0.2">
      <c r="B3308" s="12"/>
      <c r="C3308" s="12"/>
      <c r="D3308" s="17" t="str">
        <f t="shared" si="156"/>
        <v/>
      </c>
      <c r="E3308" s="18" t="str">
        <f t="shared" si="154"/>
        <v/>
      </c>
      <c r="F3308" s="17" t="str">
        <f t="shared" si="155"/>
        <v/>
      </c>
    </row>
    <row r="3309" spans="2:6" x14ac:dyDescent="0.2">
      <c r="B3309" s="12"/>
      <c r="C3309" s="12"/>
      <c r="D3309" s="17" t="str">
        <f t="shared" si="156"/>
        <v/>
      </c>
      <c r="E3309" s="18" t="str">
        <f t="shared" si="154"/>
        <v/>
      </c>
      <c r="F3309" s="17" t="str">
        <f t="shared" si="155"/>
        <v/>
      </c>
    </row>
    <row r="3310" spans="2:6" x14ac:dyDescent="0.2">
      <c r="B3310" s="12"/>
      <c r="C3310" s="12"/>
      <c r="D3310" s="17" t="str">
        <f t="shared" si="156"/>
        <v/>
      </c>
      <c r="E3310" s="18" t="str">
        <f t="shared" si="154"/>
        <v/>
      </c>
      <c r="F3310" s="17" t="str">
        <f t="shared" si="155"/>
        <v/>
      </c>
    </row>
    <row r="3311" spans="2:6" x14ac:dyDescent="0.2">
      <c r="B3311" s="12"/>
      <c r="C3311" s="12"/>
      <c r="D3311" s="17" t="str">
        <f t="shared" si="156"/>
        <v/>
      </c>
      <c r="E3311" s="18" t="str">
        <f t="shared" si="154"/>
        <v/>
      </c>
      <c r="F3311" s="17" t="str">
        <f t="shared" si="155"/>
        <v/>
      </c>
    </row>
    <row r="3312" spans="2:6" x14ac:dyDescent="0.2">
      <c r="B3312" s="12"/>
      <c r="C3312" s="12"/>
      <c r="D3312" s="17" t="str">
        <f t="shared" si="156"/>
        <v/>
      </c>
      <c r="E3312" s="18" t="str">
        <f t="shared" si="154"/>
        <v/>
      </c>
      <c r="F3312" s="17" t="str">
        <f t="shared" si="155"/>
        <v/>
      </c>
    </row>
    <row r="3313" spans="2:6" x14ac:dyDescent="0.2">
      <c r="B3313" s="12"/>
      <c r="C3313" s="12"/>
      <c r="D3313" s="17" t="str">
        <f t="shared" si="156"/>
        <v/>
      </c>
      <c r="E3313" s="18" t="str">
        <f t="shared" si="154"/>
        <v/>
      </c>
      <c r="F3313" s="17" t="str">
        <f t="shared" si="155"/>
        <v/>
      </c>
    </row>
    <row r="3314" spans="2:6" x14ac:dyDescent="0.2">
      <c r="B3314" s="12"/>
      <c r="C3314" s="12"/>
      <c r="D3314" s="17" t="str">
        <f t="shared" si="156"/>
        <v/>
      </c>
      <c r="E3314" s="18" t="str">
        <f t="shared" si="154"/>
        <v/>
      </c>
      <c r="F3314" s="17" t="str">
        <f t="shared" si="155"/>
        <v/>
      </c>
    </row>
    <row r="3315" spans="2:6" x14ac:dyDescent="0.2">
      <c r="B3315" s="12"/>
      <c r="C3315" s="12"/>
      <c r="D3315" s="17" t="str">
        <f t="shared" si="156"/>
        <v/>
      </c>
      <c r="E3315" s="18" t="str">
        <f t="shared" si="154"/>
        <v/>
      </c>
      <c r="F3315" s="17" t="str">
        <f t="shared" si="155"/>
        <v/>
      </c>
    </row>
    <row r="3316" spans="2:6" x14ac:dyDescent="0.2">
      <c r="B3316" s="12"/>
      <c r="C3316" s="12"/>
      <c r="D3316" s="17" t="str">
        <f t="shared" si="156"/>
        <v/>
      </c>
      <c r="E3316" s="18" t="str">
        <f t="shared" si="154"/>
        <v/>
      </c>
      <c r="F3316" s="17" t="str">
        <f t="shared" si="155"/>
        <v/>
      </c>
    </row>
    <row r="3317" spans="2:6" x14ac:dyDescent="0.2">
      <c r="B3317" s="12"/>
      <c r="C3317" s="12"/>
      <c r="D3317" s="17" t="str">
        <f t="shared" si="156"/>
        <v/>
      </c>
      <c r="E3317" s="18" t="str">
        <f t="shared" si="154"/>
        <v/>
      </c>
      <c r="F3317" s="17" t="str">
        <f t="shared" si="155"/>
        <v/>
      </c>
    </row>
    <row r="3318" spans="2:6" x14ac:dyDescent="0.2">
      <c r="B3318" s="12"/>
      <c r="C3318" s="12"/>
      <c r="D3318" s="17" t="str">
        <f t="shared" si="156"/>
        <v/>
      </c>
      <c r="E3318" s="18" t="str">
        <f t="shared" si="154"/>
        <v/>
      </c>
      <c r="F3318" s="17" t="str">
        <f t="shared" si="155"/>
        <v/>
      </c>
    </row>
    <row r="3319" spans="2:6" x14ac:dyDescent="0.2">
      <c r="B3319" s="12"/>
      <c r="C3319" s="12"/>
      <c r="D3319" s="17" t="str">
        <f t="shared" si="156"/>
        <v/>
      </c>
      <c r="E3319" s="18" t="str">
        <f t="shared" si="154"/>
        <v/>
      </c>
      <c r="F3319" s="17" t="str">
        <f t="shared" si="155"/>
        <v/>
      </c>
    </row>
    <row r="3320" spans="2:6" x14ac:dyDescent="0.2">
      <c r="B3320" s="12"/>
      <c r="C3320" s="12"/>
      <c r="D3320" s="17" t="str">
        <f t="shared" si="156"/>
        <v/>
      </c>
      <c r="E3320" s="18" t="str">
        <f t="shared" si="154"/>
        <v/>
      </c>
      <c r="F3320" s="17" t="str">
        <f t="shared" si="155"/>
        <v/>
      </c>
    </row>
    <row r="3321" spans="2:6" x14ac:dyDescent="0.2">
      <c r="B3321" s="12"/>
      <c r="C3321" s="12"/>
      <c r="D3321" s="17" t="str">
        <f t="shared" si="156"/>
        <v/>
      </c>
      <c r="E3321" s="18" t="str">
        <f t="shared" si="154"/>
        <v/>
      </c>
      <c r="F3321" s="17" t="str">
        <f t="shared" si="155"/>
        <v/>
      </c>
    </row>
    <row r="3322" spans="2:6" x14ac:dyDescent="0.2">
      <c r="B3322" s="12"/>
      <c r="C3322" s="12"/>
      <c r="D3322" s="17" t="str">
        <f t="shared" si="156"/>
        <v/>
      </c>
      <c r="E3322" s="18" t="str">
        <f t="shared" si="154"/>
        <v/>
      </c>
      <c r="F3322" s="17" t="str">
        <f t="shared" si="155"/>
        <v/>
      </c>
    </row>
    <row r="3323" spans="2:6" x14ac:dyDescent="0.2">
      <c r="B3323" s="12"/>
      <c r="C3323" s="12"/>
      <c r="D3323" s="17" t="str">
        <f t="shared" si="156"/>
        <v/>
      </c>
      <c r="E3323" s="18" t="str">
        <f t="shared" si="154"/>
        <v/>
      </c>
      <c r="F3323" s="17" t="str">
        <f t="shared" si="155"/>
        <v/>
      </c>
    </row>
    <row r="3324" spans="2:6" x14ac:dyDescent="0.2">
      <c r="B3324" s="12"/>
      <c r="C3324" s="12"/>
      <c r="D3324" s="17" t="str">
        <f t="shared" si="156"/>
        <v/>
      </c>
      <c r="E3324" s="18" t="str">
        <f t="shared" si="154"/>
        <v/>
      </c>
      <c r="F3324" s="17" t="str">
        <f t="shared" si="155"/>
        <v/>
      </c>
    </row>
    <row r="3325" spans="2:6" x14ac:dyDescent="0.2">
      <c r="B3325" s="12"/>
      <c r="C3325" s="12"/>
      <c r="D3325" s="17" t="str">
        <f t="shared" si="156"/>
        <v/>
      </c>
      <c r="E3325" s="18" t="str">
        <f t="shared" si="154"/>
        <v/>
      </c>
      <c r="F3325" s="17" t="str">
        <f t="shared" si="155"/>
        <v/>
      </c>
    </row>
    <row r="3326" spans="2:6" x14ac:dyDescent="0.2">
      <c r="B3326" s="12"/>
      <c r="C3326" s="12"/>
      <c r="D3326" s="17" t="str">
        <f t="shared" si="156"/>
        <v/>
      </c>
      <c r="E3326" s="18" t="str">
        <f t="shared" si="154"/>
        <v/>
      </c>
      <c r="F3326" s="17" t="str">
        <f t="shared" si="155"/>
        <v/>
      </c>
    </row>
    <row r="3327" spans="2:6" x14ac:dyDescent="0.2">
      <c r="B3327" s="12"/>
      <c r="C3327" s="12"/>
      <c r="D3327" s="17" t="str">
        <f t="shared" si="156"/>
        <v/>
      </c>
      <c r="E3327" s="18" t="str">
        <f t="shared" si="154"/>
        <v/>
      </c>
      <c r="F3327" s="17" t="str">
        <f t="shared" si="155"/>
        <v/>
      </c>
    </row>
    <row r="3328" spans="2:6" x14ac:dyDescent="0.2">
      <c r="B3328" s="12"/>
      <c r="C3328" s="12"/>
      <c r="D3328" s="17" t="str">
        <f t="shared" si="156"/>
        <v/>
      </c>
      <c r="E3328" s="18" t="str">
        <f t="shared" si="154"/>
        <v/>
      </c>
      <c r="F3328" s="17" t="str">
        <f t="shared" si="155"/>
        <v/>
      </c>
    </row>
    <row r="3329" spans="2:6" x14ac:dyDescent="0.2">
      <c r="B3329" s="12"/>
      <c r="C3329" s="12"/>
      <c r="D3329" s="17" t="str">
        <f t="shared" si="156"/>
        <v/>
      </c>
      <c r="E3329" s="18" t="str">
        <f t="shared" si="154"/>
        <v/>
      </c>
      <c r="F3329" s="17" t="str">
        <f t="shared" si="155"/>
        <v/>
      </c>
    </row>
    <row r="3330" spans="2:6" x14ac:dyDescent="0.2">
      <c r="B3330" s="12"/>
      <c r="C3330" s="12"/>
      <c r="D3330" s="17" t="str">
        <f t="shared" si="156"/>
        <v/>
      </c>
      <c r="E3330" s="18" t="str">
        <f t="shared" si="154"/>
        <v/>
      </c>
      <c r="F3330" s="17" t="str">
        <f t="shared" si="155"/>
        <v/>
      </c>
    </row>
    <row r="3331" spans="2:6" x14ac:dyDescent="0.2">
      <c r="B3331" s="12"/>
      <c r="C3331" s="12"/>
      <c r="D3331" s="17" t="str">
        <f t="shared" si="156"/>
        <v/>
      </c>
      <c r="E3331" s="18" t="str">
        <f t="shared" si="154"/>
        <v/>
      </c>
      <c r="F3331" s="17" t="str">
        <f t="shared" si="155"/>
        <v/>
      </c>
    </row>
    <row r="3332" spans="2:6" x14ac:dyDescent="0.2">
      <c r="B3332" s="12"/>
      <c r="C3332" s="12"/>
      <c r="D3332" s="17" t="str">
        <f t="shared" si="156"/>
        <v/>
      </c>
      <c r="E3332" s="18" t="str">
        <f t="shared" si="154"/>
        <v/>
      </c>
      <c r="F3332" s="17" t="str">
        <f t="shared" si="155"/>
        <v/>
      </c>
    </row>
    <row r="3333" spans="2:6" x14ac:dyDescent="0.2">
      <c r="B3333" s="12"/>
      <c r="C3333" s="12"/>
      <c r="D3333" s="17" t="str">
        <f t="shared" si="156"/>
        <v/>
      </c>
      <c r="E3333" s="18" t="str">
        <f t="shared" ref="E3333:E3396" si="157">IF(B3333="","",ABS(C3333-D3333))</f>
        <v/>
      </c>
      <c r="F3333" s="17" t="str">
        <f t="shared" ref="F3333:F3396" si="158">IF(B3333="","",E3333^2)</f>
        <v/>
      </c>
    </row>
    <row r="3334" spans="2:6" x14ac:dyDescent="0.2">
      <c r="B3334" s="12"/>
      <c r="C3334" s="12"/>
      <c r="D3334" s="17" t="str">
        <f t="shared" si="156"/>
        <v/>
      </c>
      <c r="E3334" s="18" t="str">
        <f t="shared" si="157"/>
        <v/>
      </c>
      <c r="F3334" s="17" t="str">
        <f t="shared" si="158"/>
        <v/>
      </c>
    </row>
    <row r="3335" spans="2:6" x14ac:dyDescent="0.2">
      <c r="B3335" s="12"/>
      <c r="C3335" s="12"/>
      <c r="D3335" s="17" t="str">
        <f t="shared" si="156"/>
        <v/>
      </c>
      <c r="E3335" s="18" t="str">
        <f t="shared" si="157"/>
        <v/>
      </c>
      <c r="F3335" s="17" t="str">
        <f t="shared" si="158"/>
        <v/>
      </c>
    </row>
    <row r="3336" spans="2:6" x14ac:dyDescent="0.2">
      <c r="B3336" s="12"/>
      <c r="C3336" s="12"/>
      <c r="D3336" s="17" t="str">
        <f t="shared" si="156"/>
        <v/>
      </c>
      <c r="E3336" s="18" t="str">
        <f t="shared" si="157"/>
        <v/>
      </c>
      <c r="F3336" s="17" t="str">
        <f t="shared" si="158"/>
        <v/>
      </c>
    </row>
    <row r="3337" spans="2:6" x14ac:dyDescent="0.2">
      <c r="B3337" s="12"/>
      <c r="C3337" s="12"/>
      <c r="D3337" s="17" t="str">
        <f t="shared" si="156"/>
        <v/>
      </c>
      <c r="E3337" s="18" t="str">
        <f t="shared" si="157"/>
        <v/>
      </c>
      <c r="F3337" s="17" t="str">
        <f t="shared" si="158"/>
        <v/>
      </c>
    </row>
    <row r="3338" spans="2:6" x14ac:dyDescent="0.2">
      <c r="B3338" s="12"/>
      <c r="C3338" s="12"/>
      <c r="D3338" s="17" t="str">
        <f t="shared" si="156"/>
        <v/>
      </c>
      <c r="E3338" s="18" t="str">
        <f t="shared" si="157"/>
        <v/>
      </c>
      <c r="F3338" s="17" t="str">
        <f t="shared" si="158"/>
        <v/>
      </c>
    </row>
    <row r="3339" spans="2:6" x14ac:dyDescent="0.2">
      <c r="B3339" s="12"/>
      <c r="C3339" s="12"/>
      <c r="D3339" s="17" t="str">
        <f t="shared" si="156"/>
        <v/>
      </c>
      <c r="E3339" s="18" t="str">
        <f t="shared" si="157"/>
        <v/>
      </c>
      <c r="F3339" s="17" t="str">
        <f t="shared" si="158"/>
        <v/>
      </c>
    </row>
    <row r="3340" spans="2:6" x14ac:dyDescent="0.2">
      <c r="B3340" s="12"/>
      <c r="C3340" s="12"/>
      <c r="D3340" s="17" t="str">
        <f t="shared" si="156"/>
        <v/>
      </c>
      <c r="E3340" s="18" t="str">
        <f t="shared" si="157"/>
        <v/>
      </c>
      <c r="F3340" s="17" t="str">
        <f t="shared" si="158"/>
        <v/>
      </c>
    </row>
    <row r="3341" spans="2:6" x14ac:dyDescent="0.2">
      <c r="B3341" s="12"/>
      <c r="C3341" s="12"/>
      <c r="D3341" s="17" t="str">
        <f t="shared" si="156"/>
        <v/>
      </c>
      <c r="E3341" s="18" t="str">
        <f t="shared" si="157"/>
        <v/>
      </c>
      <c r="F3341" s="17" t="str">
        <f t="shared" si="158"/>
        <v/>
      </c>
    </row>
    <row r="3342" spans="2:6" x14ac:dyDescent="0.2">
      <c r="B3342" s="12"/>
      <c r="C3342" s="12"/>
      <c r="D3342" s="17" t="str">
        <f t="shared" si="156"/>
        <v/>
      </c>
      <c r="E3342" s="18" t="str">
        <f t="shared" si="157"/>
        <v/>
      </c>
      <c r="F3342" s="17" t="str">
        <f t="shared" si="158"/>
        <v/>
      </c>
    </row>
    <row r="3343" spans="2:6" x14ac:dyDescent="0.2">
      <c r="B3343" s="12"/>
      <c r="C3343" s="12"/>
      <c r="D3343" s="17" t="str">
        <f t="shared" si="156"/>
        <v/>
      </c>
      <c r="E3343" s="18" t="str">
        <f t="shared" si="157"/>
        <v/>
      </c>
      <c r="F3343" s="17" t="str">
        <f t="shared" si="158"/>
        <v/>
      </c>
    </row>
    <row r="3344" spans="2:6" x14ac:dyDescent="0.2">
      <c r="B3344" s="12"/>
      <c r="C3344" s="12"/>
      <c r="D3344" s="17" t="str">
        <f t="shared" si="156"/>
        <v/>
      </c>
      <c r="E3344" s="18" t="str">
        <f t="shared" si="157"/>
        <v/>
      </c>
      <c r="F3344" s="17" t="str">
        <f t="shared" si="158"/>
        <v/>
      </c>
    </row>
    <row r="3345" spans="2:6" x14ac:dyDescent="0.2">
      <c r="B3345" s="12"/>
      <c r="C3345" s="12"/>
      <c r="D3345" s="17" t="str">
        <f t="shared" si="156"/>
        <v/>
      </c>
      <c r="E3345" s="18" t="str">
        <f t="shared" si="157"/>
        <v/>
      </c>
      <c r="F3345" s="17" t="str">
        <f t="shared" si="158"/>
        <v/>
      </c>
    </row>
    <row r="3346" spans="2:6" x14ac:dyDescent="0.2">
      <c r="B3346" s="12"/>
      <c r="C3346" s="12"/>
      <c r="D3346" s="17" t="str">
        <f t="shared" ref="D3346:D3409" si="159">IF(B3346="","",a+b*B3346)</f>
        <v/>
      </c>
      <c r="E3346" s="18" t="str">
        <f t="shared" si="157"/>
        <v/>
      </c>
      <c r="F3346" s="17" t="str">
        <f t="shared" si="158"/>
        <v/>
      </c>
    </row>
    <row r="3347" spans="2:6" x14ac:dyDescent="0.2">
      <c r="B3347" s="12"/>
      <c r="C3347" s="12"/>
      <c r="D3347" s="17" t="str">
        <f t="shared" si="159"/>
        <v/>
      </c>
      <c r="E3347" s="18" t="str">
        <f t="shared" si="157"/>
        <v/>
      </c>
      <c r="F3347" s="17" t="str">
        <f t="shared" si="158"/>
        <v/>
      </c>
    </row>
    <row r="3348" spans="2:6" x14ac:dyDescent="0.2">
      <c r="B3348" s="12"/>
      <c r="C3348" s="12"/>
      <c r="D3348" s="17" t="str">
        <f t="shared" si="159"/>
        <v/>
      </c>
      <c r="E3348" s="18" t="str">
        <f t="shared" si="157"/>
        <v/>
      </c>
      <c r="F3348" s="17" t="str">
        <f t="shared" si="158"/>
        <v/>
      </c>
    </row>
    <row r="3349" spans="2:6" x14ac:dyDescent="0.2">
      <c r="B3349" s="12"/>
      <c r="C3349" s="12"/>
      <c r="D3349" s="17" t="str">
        <f t="shared" si="159"/>
        <v/>
      </c>
      <c r="E3349" s="18" t="str">
        <f t="shared" si="157"/>
        <v/>
      </c>
      <c r="F3349" s="17" t="str">
        <f t="shared" si="158"/>
        <v/>
      </c>
    </row>
    <row r="3350" spans="2:6" x14ac:dyDescent="0.2">
      <c r="B3350" s="12"/>
      <c r="C3350" s="12"/>
      <c r="D3350" s="17" t="str">
        <f t="shared" si="159"/>
        <v/>
      </c>
      <c r="E3350" s="18" t="str">
        <f t="shared" si="157"/>
        <v/>
      </c>
      <c r="F3350" s="17" t="str">
        <f t="shared" si="158"/>
        <v/>
      </c>
    </row>
    <row r="3351" spans="2:6" x14ac:dyDescent="0.2">
      <c r="B3351" s="12"/>
      <c r="C3351" s="12"/>
      <c r="D3351" s="17" t="str">
        <f t="shared" si="159"/>
        <v/>
      </c>
      <c r="E3351" s="18" t="str">
        <f t="shared" si="157"/>
        <v/>
      </c>
      <c r="F3351" s="17" t="str">
        <f t="shared" si="158"/>
        <v/>
      </c>
    </row>
    <row r="3352" spans="2:6" x14ac:dyDescent="0.2">
      <c r="B3352" s="12"/>
      <c r="C3352" s="12"/>
      <c r="D3352" s="17" t="str">
        <f t="shared" si="159"/>
        <v/>
      </c>
      <c r="E3352" s="18" t="str">
        <f t="shared" si="157"/>
        <v/>
      </c>
      <c r="F3352" s="17" t="str">
        <f t="shared" si="158"/>
        <v/>
      </c>
    </row>
    <row r="3353" spans="2:6" x14ac:dyDescent="0.2">
      <c r="B3353" s="12"/>
      <c r="C3353" s="12"/>
      <c r="D3353" s="17" t="str">
        <f t="shared" si="159"/>
        <v/>
      </c>
      <c r="E3353" s="18" t="str">
        <f t="shared" si="157"/>
        <v/>
      </c>
      <c r="F3353" s="17" t="str">
        <f t="shared" si="158"/>
        <v/>
      </c>
    </row>
    <row r="3354" spans="2:6" x14ac:dyDescent="0.2">
      <c r="B3354" s="12"/>
      <c r="C3354" s="12"/>
      <c r="D3354" s="17" t="str">
        <f t="shared" si="159"/>
        <v/>
      </c>
      <c r="E3354" s="18" t="str">
        <f t="shared" si="157"/>
        <v/>
      </c>
      <c r="F3354" s="17" t="str">
        <f t="shared" si="158"/>
        <v/>
      </c>
    </row>
    <row r="3355" spans="2:6" x14ac:dyDescent="0.2">
      <c r="B3355" s="12"/>
      <c r="C3355" s="12"/>
      <c r="D3355" s="17" t="str">
        <f t="shared" si="159"/>
        <v/>
      </c>
      <c r="E3355" s="18" t="str">
        <f t="shared" si="157"/>
        <v/>
      </c>
      <c r="F3355" s="17" t="str">
        <f t="shared" si="158"/>
        <v/>
      </c>
    </row>
    <row r="3356" spans="2:6" x14ac:dyDescent="0.2">
      <c r="B3356" s="12"/>
      <c r="C3356" s="12"/>
      <c r="D3356" s="17" t="str">
        <f t="shared" si="159"/>
        <v/>
      </c>
      <c r="E3356" s="18" t="str">
        <f t="shared" si="157"/>
        <v/>
      </c>
      <c r="F3356" s="17" t="str">
        <f t="shared" si="158"/>
        <v/>
      </c>
    </row>
    <row r="3357" spans="2:6" x14ac:dyDescent="0.2">
      <c r="B3357" s="12"/>
      <c r="C3357" s="12"/>
      <c r="D3357" s="17" t="str">
        <f t="shared" si="159"/>
        <v/>
      </c>
      <c r="E3357" s="18" t="str">
        <f t="shared" si="157"/>
        <v/>
      </c>
      <c r="F3357" s="17" t="str">
        <f t="shared" si="158"/>
        <v/>
      </c>
    </row>
    <row r="3358" spans="2:6" x14ac:dyDescent="0.2">
      <c r="B3358" s="12"/>
      <c r="C3358" s="12"/>
      <c r="D3358" s="17" t="str">
        <f t="shared" si="159"/>
        <v/>
      </c>
      <c r="E3358" s="18" t="str">
        <f t="shared" si="157"/>
        <v/>
      </c>
      <c r="F3358" s="17" t="str">
        <f t="shared" si="158"/>
        <v/>
      </c>
    </row>
    <row r="3359" spans="2:6" x14ac:dyDescent="0.2">
      <c r="B3359" s="12"/>
      <c r="C3359" s="12"/>
      <c r="D3359" s="17" t="str">
        <f t="shared" si="159"/>
        <v/>
      </c>
      <c r="E3359" s="18" t="str">
        <f t="shared" si="157"/>
        <v/>
      </c>
      <c r="F3359" s="17" t="str">
        <f t="shared" si="158"/>
        <v/>
      </c>
    </row>
    <row r="3360" spans="2:6" x14ac:dyDescent="0.2">
      <c r="B3360" s="12"/>
      <c r="C3360" s="12"/>
      <c r="D3360" s="17" t="str">
        <f t="shared" si="159"/>
        <v/>
      </c>
      <c r="E3360" s="18" t="str">
        <f t="shared" si="157"/>
        <v/>
      </c>
      <c r="F3360" s="17" t="str">
        <f t="shared" si="158"/>
        <v/>
      </c>
    </row>
    <row r="3361" spans="2:6" x14ac:dyDescent="0.2">
      <c r="B3361" s="12"/>
      <c r="C3361" s="12"/>
      <c r="D3361" s="17" t="str">
        <f t="shared" si="159"/>
        <v/>
      </c>
      <c r="E3361" s="18" t="str">
        <f t="shared" si="157"/>
        <v/>
      </c>
      <c r="F3361" s="17" t="str">
        <f t="shared" si="158"/>
        <v/>
      </c>
    </row>
    <row r="3362" spans="2:6" x14ac:dyDescent="0.2">
      <c r="B3362" s="12"/>
      <c r="C3362" s="12"/>
      <c r="D3362" s="17" t="str">
        <f t="shared" si="159"/>
        <v/>
      </c>
      <c r="E3362" s="18" t="str">
        <f t="shared" si="157"/>
        <v/>
      </c>
      <c r="F3362" s="17" t="str">
        <f t="shared" si="158"/>
        <v/>
      </c>
    </row>
    <row r="3363" spans="2:6" x14ac:dyDescent="0.2">
      <c r="B3363" s="12"/>
      <c r="C3363" s="12"/>
      <c r="D3363" s="17" t="str">
        <f t="shared" si="159"/>
        <v/>
      </c>
      <c r="E3363" s="18" t="str">
        <f t="shared" si="157"/>
        <v/>
      </c>
      <c r="F3363" s="17" t="str">
        <f t="shared" si="158"/>
        <v/>
      </c>
    </row>
    <row r="3364" spans="2:6" x14ac:dyDescent="0.2">
      <c r="B3364" s="12"/>
      <c r="C3364" s="12"/>
      <c r="D3364" s="17" t="str">
        <f t="shared" si="159"/>
        <v/>
      </c>
      <c r="E3364" s="18" t="str">
        <f t="shared" si="157"/>
        <v/>
      </c>
      <c r="F3364" s="17" t="str">
        <f t="shared" si="158"/>
        <v/>
      </c>
    </row>
    <row r="3365" spans="2:6" x14ac:dyDescent="0.2">
      <c r="B3365" s="12"/>
      <c r="C3365" s="12"/>
      <c r="D3365" s="17" t="str">
        <f t="shared" si="159"/>
        <v/>
      </c>
      <c r="E3365" s="18" t="str">
        <f t="shared" si="157"/>
        <v/>
      </c>
      <c r="F3365" s="17" t="str">
        <f t="shared" si="158"/>
        <v/>
      </c>
    </row>
    <row r="3366" spans="2:6" x14ac:dyDescent="0.2">
      <c r="B3366" s="12"/>
      <c r="C3366" s="12"/>
      <c r="D3366" s="17" t="str">
        <f t="shared" si="159"/>
        <v/>
      </c>
      <c r="E3366" s="18" t="str">
        <f t="shared" si="157"/>
        <v/>
      </c>
      <c r="F3366" s="17" t="str">
        <f t="shared" si="158"/>
        <v/>
      </c>
    </row>
    <row r="3367" spans="2:6" x14ac:dyDescent="0.2">
      <c r="B3367" s="12"/>
      <c r="C3367" s="12"/>
      <c r="D3367" s="17" t="str">
        <f t="shared" si="159"/>
        <v/>
      </c>
      <c r="E3367" s="18" t="str">
        <f t="shared" si="157"/>
        <v/>
      </c>
      <c r="F3367" s="17" t="str">
        <f t="shared" si="158"/>
        <v/>
      </c>
    </row>
    <row r="3368" spans="2:6" x14ac:dyDescent="0.2">
      <c r="B3368" s="12"/>
      <c r="C3368" s="12"/>
      <c r="D3368" s="17" t="str">
        <f t="shared" si="159"/>
        <v/>
      </c>
      <c r="E3368" s="18" t="str">
        <f t="shared" si="157"/>
        <v/>
      </c>
      <c r="F3368" s="17" t="str">
        <f t="shared" si="158"/>
        <v/>
      </c>
    </row>
    <row r="3369" spans="2:6" x14ac:dyDescent="0.2">
      <c r="B3369" s="12"/>
      <c r="C3369" s="12"/>
      <c r="D3369" s="17" t="str">
        <f t="shared" si="159"/>
        <v/>
      </c>
      <c r="E3369" s="18" t="str">
        <f t="shared" si="157"/>
        <v/>
      </c>
      <c r="F3369" s="17" t="str">
        <f t="shared" si="158"/>
        <v/>
      </c>
    </row>
    <row r="3370" spans="2:6" x14ac:dyDescent="0.2">
      <c r="B3370" s="12"/>
      <c r="C3370" s="12"/>
      <c r="D3370" s="17" t="str">
        <f t="shared" si="159"/>
        <v/>
      </c>
      <c r="E3370" s="18" t="str">
        <f t="shared" si="157"/>
        <v/>
      </c>
      <c r="F3370" s="17" t="str">
        <f t="shared" si="158"/>
        <v/>
      </c>
    </row>
    <row r="3371" spans="2:6" x14ac:dyDescent="0.2">
      <c r="B3371" s="12"/>
      <c r="C3371" s="12"/>
      <c r="D3371" s="17" t="str">
        <f t="shared" si="159"/>
        <v/>
      </c>
      <c r="E3371" s="18" t="str">
        <f t="shared" si="157"/>
        <v/>
      </c>
      <c r="F3371" s="17" t="str">
        <f t="shared" si="158"/>
        <v/>
      </c>
    </row>
    <row r="3372" spans="2:6" x14ac:dyDescent="0.2">
      <c r="B3372" s="12"/>
      <c r="C3372" s="12"/>
      <c r="D3372" s="17" t="str">
        <f t="shared" si="159"/>
        <v/>
      </c>
      <c r="E3372" s="18" t="str">
        <f t="shared" si="157"/>
        <v/>
      </c>
      <c r="F3372" s="17" t="str">
        <f t="shared" si="158"/>
        <v/>
      </c>
    </row>
    <row r="3373" spans="2:6" x14ac:dyDescent="0.2">
      <c r="B3373" s="12"/>
      <c r="C3373" s="12"/>
      <c r="D3373" s="17" t="str">
        <f t="shared" si="159"/>
        <v/>
      </c>
      <c r="E3373" s="18" t="str">
        <f t="shared" si="157"/>
        <v/>
      </c>
      <c r="F3373" s="17" t="str">
        <f t="shared" si="158"/>
        <v/>
      </c>
    </row>
    <row r="3374" spans="2:6" x14ac:dyDescent="0.2">
      <c r="B3374" s="12"/>
      <c r="C3374" s="12"/>
      <c r="D3374" s="17" t="str">
        <f t="shared" si="159"/>
        <v/>
      </c>
      <c r="E3374" s="18" t="str">
        <f t="shared" si="157"/>
        <v/>
      </c>
      <c r="F3374" s="17" t="str">
        <f t="shared" si="158"/>
        <v/>
      </c>
    </row>
    <row r="3375" spans="2:6" x14ac:dyDescent="0.2">
      <c r="B3375" s="12"/>
      <c r="C3375" s="12"/>
      <c r="D3375" s="17" t="str">
        <f t="shared" si="159"/>
        <v/>
      </c>
      <c r="E3375" s="18" t="str">
        <f t="shared" si="157"/>
        <v/>
      </c>
      <c r="F3375" s="17" t="str">
        <f t="shared" si="158"/>
        <v/>
      </c>
    </row>
    <row r="3376" spans="2:6" x14ac:dyDescent="0.2">
      <c r="B3376" s="12"/>
      <c r="C3376" s="12"/>
      <c r="D3376" s="17" t="str">
        <f t="shared" si="159"/>
        <v/>
      </c>
      <c r="E3376" s="18" t="str">
        <f t="shared" si="157"/>
        <v/>
      </c>
      <c r="F3376" s="17" t="str">
        <f t="shared" si="158"/>
        <v/>
      </c>
    </row>
    <row r="3377" spans="2:6" x14ac:dyDescent="0.2">
      <c r="B3377" s="12"/>
      <c r="C3377" s="12"/>
      <c r="D3377" s="17" t="str">
        <f t="shared" si="159"/>
        <v/>
      </c>
      <c r="E3377" s="18" t="str">
        <f t="shared" si="157"/>
        <v/>
      </c>
      <c r="F3377" s="17" t="str">
        <f t="shared" si="158"/>
        <v/>
      </c>
    </row>
    <row r="3378" spans="2:6" x14ac:dyDescent="0.2">
      <c r="B3378" s="12"/>
      <c r="C3378" s="12"/>
      <c r="D3378" s="17" t="str">
        <f t="shared" si="159"/>
        <v/>
      </c>
      <c r="E3378" s="18" t="str">
        <f t="shared" si="157"/>
        <v/>
      </c>
      <c r="F3378" s="17" t="str">
        <f t="shared" si="158"/>
        <v/>
      </c>
    </row>
    <row r="3379" spans="2:6" x14ac:dyDescent="0.2">
      <c r="B3379" s="12"/>
      <c r="C3379" s="12"/>
      <c r="D3379" s="17" t="str">
        <f t="shared" si="159"/>
        <v/>
      </c>
      <c r="E3379" s="18" t="str">
        <f t="shared" si="157"/>
        <v/>
      </c>
      <c r="F3379" s="17" t="str">
        <f t="shared" si="158"/>
        <v/>
      </c>
    </row>
    <row r="3380" spans="2:6" x14ac:dyDescent="0.2">
      <c r="B3380" s="12"/>
      <c r="C3380" s="12"/>
      <c r="D3380" s="17" t="str">
        <f t="shared" si="159"/>
        <v/>
      </c>
      <c r="E3380" s="18" t="str">
        <f t="shared" si="157"/>
        <v/>
      </c>
      <c r="F3380" s="17" t="str">
        <f t="shared" si="158"/>
        <v/>
      </c>
    </row>
    <row r="3381" spans="2:6" x14ac:dyDescent="0.2">
      <c r="B3381" s="12"/>
      <c r="C3381" s="12"/>
      <c r="D3381" s="17" t="str">
        <f t="shared" si="159"/>
        <v/>
      </c>
      <c r="E3381" s="18" t="str">
        <f t="shared" si="157"/>
        <v/>
      </c>
      <c r="F3381" s="17" t="str">
        <f t="shared" si="158"/>
        <v/>
      </c>
    </row>
    <row r="3382" spans="2:6" x14ac:dyDescent="0.2">
      <c r="B3382" s="12"/>
      <c r="C3382" s="12"/>
      <c r="D3382" s="17" t="str">
        <f t="shared" si="159"/>
        <v/>
      </c>
      <c r="E3382" s="18" t="str">
        <f t="shared" si="157"/>
        <v/>
      </c>
      <c r="F3382" s="17" t="str">
        <f t="shared" si="158"/>
        <v/>
      </c>
    </row>
    <row r="3383" spans="2:6" x14ac:dyDescent="0.2">
      <c r="B3383" s="12"/>
      <c r="C3383" s="12"/>
      <c r="D3383" s="17" t="str">
        <f t="shared" si="159"/>
        <v/>
      </c>
      <c r="E3383" s="18" t="str">
        <f t="shared" si="157"/>
        <v/>
      </c>
      <c r="F3383" s="17" t="str">
        <f t="shared" si="158"/>
        <v/>
      </c>
    </row>
    <row r="3384" spans="2:6" x14ac:dyDescent="0.2">
      <c r="B3384" s="12"/>
      <c r="C3384" s="12"/>
      <c r="D3384" s="17" t="str">
        <f t="shared" si="159"/>
        <v/>
      </c>
      <c r="E3384" s="18" t="str">
        <f t="shared" si="157"/>
        <v/>
      </c>
      <c r="F3384" s="17" t="str">
        <f t="shared" si="158"/>
        <v/>
      </c>
    </row>
    <row r="3385" spans="2:6" x14ac:dyDescent="0.2">
      <c r="B3385" s="12"/>
      <c r="C3385" s="12"/>
      <c r="D3385" s="17" t="str">
        <f t="shared" si="159"/>
        <v/>
      </c>
      <c r="E3385" s="18" t="str">
        <f t="shared" si="157"/>
        <v/>
      </c>
      <c r="F3385" s="17" t="str">
        <f t="shared" si="158"/>
        <v/>
      </c>
    </row>
    <row r="3386" spans="2:6" x14ac:dyDescent="0.2">
      <c r="B3386" s="12"/>
      <c r="C3386" s="12"/>
      <c r="D3386" s="17" t="str">
        <f t="shared" si="159"/>
        <v/>
      </c>
      <c r="E3386" s="18" t="str">
        <f t="shared" si="157"/>
        <v/>
      </c>
      <c r="F3386" s="17" t="str">
        <f t="shared" si="158"/>
        <v/>
      </c>
    </row>
    <row r="3387" spans="2:6" x14ac:dyDescent="0.2">
      <c r="B3387" s="12"/>
      <c r="C3387" s="12"/>
      <c r="D3387" s="17" t="str">
        <f t="shared" si="159"/>
        <v/>
      </c>
      <c r="E3387" s="18" t="str">
        <f t="shared" si="157"/>
        <v/>
      </c>
      <c r="F3387" s="17" t="str">
        <f t="shared" si="158"/>
        <v/>
      </c>
    </row>
    <row r="3388" spans="2:6" x14ac:dyDescent="0.2">
      <c r="B3388" s="12"/>
      <c r="C3388" s="12"/>
      <c r="D3388" s="17" t="str">
        <f t="shared" si="159"/>
        <v/>
      </c>
      <c r="E3388" s="18" t="str">
        <f t="shared" si="157"/>
        <v/>
      </c>
      <c r="F3388" s="17" t="str">
        <f t="shared" si="158"/>
        <v/>
      </c>
    </row>
    <row r="3389" spans="2:6" x14ac:dyDescent="0.2">
      <c r="B3389" s="12"/>
      <c r="C3389" s="12"/>
      <c r="D3389" s="17" t="str">
        <f t="shared" si="159"/>
        <v/>
      </c>
      <c r="E3389" s="18" t="str">
        <f t="shared" si="157"/>
        <v/>
      </c>
      <c r="F3389" s="17" t="str">
        <f t="shared" si="158"/>
        <v/>
      </c>
    </row>
    <row r="3390" spans="2:6" x14ac:dyDescent="0.2">
      <c r="B3390" s="12"/>
      <c r="C3390" s="12"/>
      <c r="D3390" s="17" t="str">
        <f t="shared" si="159"/>
        <v/>
      </c>
      <c r="E3390" s="18" t="str">
        <f t="shared" si="157"/>
        <v/>
      </c>
      <c r="F3390" s="17" t="str">
        <f t="shared" si="158"/>
        <v/>
      </c>
    </row>
    <row r="3391" spans="2:6" x14ac:dyDescent="0.2">
      <c r="B3391" s="12"/>
      <c r="C3391" s="12"/>
      <c r="D3391" s="17" t="str">
        <f t="shared" si="159"/>
        <v/>
      </c>
      <c r="E3391" s="18" t="str">
        <f t="shared" si="157"/>
        <v/>
      </c>
      <c r="F3391" s="17" t="str">
        <f t="shared" si="158"/>
        <v/>
      </c>
    </row>
    <row r="3392" spans="2:6" x14ac:dyDescent="0.2">
      <c r="B3392" s="12"/>
      <c r="C3392" s="12"/>
      <c r="D3392" s="17" t="str">
        <f t="shared" si="159"/>
        <v/>
      </c>
      <c r="E3392" s="18" t="str">
        <f t="shared" si="157"/>
        <v/>
      </c>
      <c r="F3392" s="17" t="str">
        <f t="shared" si="158"/>
        <v/>
      </c>
    </row>
    <row r="3393" spans="2:6" x14ac:dyDescent="0.2">
      <c r="B3393" s="12"/>
      <c r="C3393" s="12"/>
      <c r="D3393" s="17" t="str">
        <f t="shared" si="159"/>
        <v/>
      </c>
      <c r="E3393" s="18" t="str">
        <f t="shared" si="157"/>
        <v/>
      </c>
      <c r="F3393" s="17" t="str">
        <f t="shared" si="158"/>
        <v/>
      </c>
    </row>
    <row r="3394" spans="2:6" x14ac:dyDescent="0.2">
      <c r="B3394" s="12"/>
      <c r="C3394" s="12"/>
      <c r="D3394" s="17" t="str">
        <f t="shared" si="159"/>
        <v/>
      </c>
      <c r="E3394" s="18" t="str">
        <f t="shared" si="157"/>
        <v/>
      </c>
      <c r="F3394" s="17" t="str">
        <f t="shared" si="158"/>
        <v/>
      </c>
    </row>
    <row r="3395" spans="2:6" x14ac:dyDescent="0.2">
      <c r="B3395" s="12"/>
      <c r="C3395" s="12"/>
      <c r="D3395" s="17" t="str">
        <f t="shared" si="159"/>
        <v/>
      </c>
      <c r="E3395" s="18" t="str">
        <f t="shared" si="157"/>
        <v/>
      </c>
      <c r="F3395" s="17" t="str">
        <f t="shared" si="158"/>
        <v/>
      </c>
    </row>
    <row r="3396" spans="2:6" x14ac:dyDescent="0.2">
      <c r="B3396" s="12"/>
      <c r="C3396" s="12"/>
      <c r="D3396" s="17" t="str">
        <f t="shared" si="159"/>
        <v/>
      </c>
      <c r="E3396" s="18" t="str">
        <f t="shared" si="157"/>
        <v/>
      </c>
      <c r="F3396" s="17" t="str">
        <f t="shared" si="158"/>
        <v/>
      </c>
    </row>
    <row r="3397" spans="2:6" x14ac:dyDescent="0.2">
      <c r="B3397" s="12"/>
      <c r="C3397" s="12"/>
      <c r="D3397" s="17" t="str">
        <f t="shared" si="159"/>
        <v/>
      </c>
      <c r="E3397" s="18" t="str">
        <f t="shared" ref="E3397:E3460" si="160">IF(B3397="","",ABS(C3397-D3397))</f>
        <v/>
      </c>
      <c r="F3397" s="17" t="str">
        <f t="shared" ref="F3397:F3460" si="161">IF(B3397="","",E3397^2)</f>
        <v/>
      </c>
    </row>
    <row r="3398" spans="2:6" x14ac:dyDescent="0.2">
      <c r="B3398" s="12"/>
      <c r="C3398" s="12"/>
      <c r="D3398" s="17" t="str">
        <f t="shared" si="159"/>
        <v/>
      </c>
      <c r="E3398" s="18" t="str">
        <f t="shared" si="160"/>
        <v/>
      </c>
      <c r="F3398" s="17" t="str">
        <f t="shared" si="161"/>
        <v/>
      </c>
    </row>
    <row r="3399" spans="2:6" x14ac:dyDescent="0.2">
      <c r="B3399" s="12"/>
      <c r="C3399" s="12"/>
      <c r="D3399" s="17" t="str">
        <f t="shared" si="159"/>
        <v/>
      </c>
      <c r="E3399" s="18" t="str">
        <f t="shared" si="160"/>
        <v/>
      </c>
      <c r="F3399" s="17" t="str">
        <f t="shared" si="161"/>
        <v/>
      </c>
    </row>
    <row r="3400" spans="2:6" x14ac:dyDescent="0.2">
      <c r="B3400" s="12"/>
      <c r="C3400" s="12"/>
      <c r="D3400" s="17" t="str">
        <f t="shared" si="159"/>
        <v/>
      </c>
      <c r="E3400" s="18" t="str">
        <f t="shared" si="160"/>
        <v/>
      </c>
      <c r="F3400" s="17" t="str">
        <f t="shared" si="161"/>
        <v/>
      </c>
    </row>
    <row r="3401" spans="2:6" x14ac:dyDescent="0.2">
      <c r="B3401" s="12"/>
      <c r="C3401" s="12"/>
      <c r="D3401" s="17" t="str">
        <f t="shared" si="159"/>
        <v/>
      </c>
      <c r="E3401" s="18" t="str">
        <f t="shared" si="160"/>
        <v/>
      </c>
      <c r="F3401" s="17" t="str">
        <f t="shared" si="161"/>
        <v/>
      </c>
    </row>
    <row r="3402" spans="2:6" x14ac:dyDescent="0.2">
      <c r="B3402" s="12"/>
      <c r="C3402" s="12"/>
      <c r="D3402" s="17" t="str">
        <f t="shared" si="159"/>
        <v/>
      </c>
      <c r="E3402" s="18" t="str">
        <f t="shared" si="160"/>
        <v/>
      </c>
      <c r="F3402" s="17" t="str">
        <f t="shared" si="161"/>
        <v/>
      </c>
    </row>
    <row r="3403" spans="2:6" x14ac:dyDescent="0.2">
      <c r="B3403" s="12"/>
      <c r="C3403" s="12"/>
      <c r="D3403" s="17" t="str">
        <f t="shared" si="159"/>
        <v/>
      </c>
      <c r="E3403" s="18" t="str">
        <f t="shared" si="160"/>
        <v/>
      </c>
      <c r="F3403" s="17" t="str">
        <f t="shared" si="161"/>
        <v/>
      </c>
    </row>
    <row r="3404" spans="2:6" x14ac:dyDescent="0.2">
      <c r="B3404" s="12"/>
      <c r="C3404" s="12"/>
      <c r="D3404" s="17" t="str">
        <f t="shared" si="159"/>
        <v/>
      </c>
      <c r="E3404" s="18" t="str">
        <f t="shared" si="160"/>
        <v/>
      </c>
      <c r="F3404" s="17" t="str">
        <f t="shared" si="161"/>
        <v/>
      </c>
    </row>
    <row r="3405" spans="2:6" x14ac:dyDescent="0.2">
      <c r="B3405" s="12"/>
      <c r="C3405" s="12"/>
      <c r="D3405" s="17" t="str">
        <f t="shared" si="159"/>
        <v/>
      </c>
      <c r="E3405" s="18" t="str">
        <f t="shared" si="160"/>
        <v/>
      </c>
      <c r="F3405" s="17" t="str">
        <f t="shared" si="161"/>
        <v/>
      </c>
    </row>
    <row r="3406" spans="2:6" x14ac:dyDescent="0.2">
      <c r="B3406" s="12"/>
      <c r="C3406" s="12"/>
      <c r="D3406" s="17" t="str">
        <f t="shared" si="159"/>
        <v/>
      </c>
      <c r="E3406" s="18" t="str">
        <f t="shared" si="160"/>
        <v/>
      </c>
      <c r="F3406" s="17" t="str">
        <f t="shared" si="161"/>
        <v/>
      </c>
    </row>
    <row r="3407" spans="2:6" x14ac:dyDescent="0.2">
      <c r="B3407" s="12"/>
      <c r="C3407" s="12"/>
      <c r="D3407" s="17" t="str">
        <f t="shared" si="159"/>
        <v/>
      </c>
      <c r="E3407" s="18" t="str">
        <f t="shared" si="160"/>
        <v/>
      </c>
      <c r="F3407" s="17" t="str">
        <f t="shared" si="161"/>
        <v/>
      </c>
    </row>
    <row r="3408" spans="2:6" x14ac:dyDescent="0.2">
      <c r="B3408" s="12"/>
      <c r="C3408" s="12"/>
      <c r="D3408" s="17" t="str">
        <f t="shared" si="159"/>
        <v/>
      </c>
      <c r="E3408" s="18" t="str">
        <f t="shared" si="160"/>
        <v/>
      </c>
      <c r="F3408" s="17" t="str">
        <f t="shared" si="161"/>
        <v/>
      </c>
    </row>
    <row r="3409" spans="2:6" x14ac:dyDescent="0.2">
      <c r="B3409" s="12"/>
      <c r="C3409" s="12"/>
      <c r="D3409" s="17" t="str">
        <f t="shared" si="159"/>
        <v/>
      </c>
      <c r="E3409" s="18" t="str">
        <f t="shared" si="160"/>
        <v/>
      </c>
      <c r="F3409" s="17" t="str">
        <f t="shared" si="161"/>
        <v/>
      </c>
    </row>
    <row r="3410" spans="2:6" x14ac:dyDescent="0.2">
      <c r="B3410" s="12"/>
      <c r="C3410" s="12"/>
      <c r="D3410" s="17" t="str">
        <f t="shared" ref="D3410:D3473" si="162">IF(B3410="","",a+b*B3410)</f>
        <v/>
      </c>
      <c r="E3410" s="18" t="str">
        <f t="shared" si="160"/>
        <v/>
      </c>
      <c r="F3410" s="17" t="str">
        <f t="shared" si="161"/>
        <v/>
      </c>
    </row>
    <row r="3411" spans="2:6" x14ac:dyDescent="0.2">
      <c r="B3411" s="12"/>
      <c r="C3411" s="12"/>
      <c r="D3411" s="17" t="str">
        <f t="shared" si="162"/>
        <v/>
      </c>
      <c r="E3411" s="18" t="str">
        <f t="shared" si="160"/>
        <v/>
      </c>
      <c r="F3411" s="17" t="str">
        <f t="shared" si="161"/>
        <v/>
      </c>
    </row>
    <row r="3412" spans="2:6" x14ac:dyDescent="0.2">
      <c r="B3412" s="12"/>
      <c r="C3412" s="12"/>
      <c r="D3412" s="17" t="str">
        <f t="shared" si="162"/>
        <v/>
      </c>
      <c r="E3412" s="18" t="str">
        <f t="shared" si="160"/>
        <v/>
      </c>
      <c r="F3412" s="17" t="str">
        <f t="shared" si="161"/>
        <v/>
      </c>
    </row>
    <row r="3413" spans="2:6" x14ac:dyDescent="0.2">
      <c r="B3413" s="12"/>
      <c r="C3413" s="12"/>
      <c r="D3413" s="17" t="str">
        <f t="shared" si="162"/>
        <v/>
      </c>
      <c r="E3413" s="18" t="str">
        <f t="shared" si="160"/>
        <v/>
      </c>
      <c r="F3413" s="17" t="str">
        <f t="shared" si="161"/>
        <v/>
      </c>
    </row>
    <row r="3414" spans="2:6" x14ac:dyDescent="0.2">
      <c r="B3414" s="12"/>
      <c r="C3414" s="12"/>
      <c r="D3414" s="17" t="str">
        <f t="shared" si="162"/>
        <v/>
      </c>
      <c r="E3414" s="18" t="str">
        <f t="shared" si="160"/>
        <v/>
      </c>
      <c r="F3414" s="17" t="str">
        <f t="shared" si="161"/>
        <v/>
      </c>
    </row>
    <row r="3415" spans="2:6" x14ac:dyDescent="0.2">
      <c r="B3415" s="12"/>
      <c r="C3415" s="12"/>
      <c r="D3415" s="17" t="str">
        <f t="shared" si="162"/>
        <v/>
      </c>
      <c r="E3415" s="18" t="str">
        <f t="shared" si="160"/>
        <v/>
      </c>
      <c r="F3415" s="17" t="str">
        <f t="shared" si="161"/>
        <v/>
      </c>
    </row>
    <row r="3416" spans="2:6" x14ac:dyDescent="0.2">
      <c r="B3416" s="12"/>
      <c r="C3416" s="12"/>
      <c r="D3416" s="17" t="str">
        <f t="shared" si="162"/>
        <v/>
      </c>
      <c r="E3416" s="18" t="str">
        <f t="shared" si="160"/>
        <v/>
      </c>
      <c r="F3416" s="17" t="str">
        <f t="shared" si="161"/>
        <v/>
      </c>
    </row>
    <row r="3417" spans="2:6" x14ac:dyDescent="0.2">
      <c r="B3417" s="12"/>
      <c r="C3417" s="12"/>
      <c r="D3417" s="17" t="str">
        <f t="shared" si="162"/>
        <v/>
      </c>
      <c r="E3417" s="18" t="str">
        <f t="shared" si="160"/>
        <v/>
      </c>
      <c r="F3417" s="17" t="str">
        <f t="shared" si="161"/>
        <v/>
      </c>
    </row>
    <row r="3418" spans="2:6" x14ac:dyDescent="0.2">
      <c r="B3418" s="12"/>
      <c r="C3418" s="12"/>
      <c r="D3418" s="17" t="str">
        <f t="shared" si="162"/>
        <v/>
      </c>
      <c r="E3418" s="18" t="str">
        <f t="shared" si="160"/>
        <v/>
      </c>
      <c r="F3418" s="17" t="str">
        <f t="shared" si="161"/>
        <v/>
      </c>
    </row>
    <row r="3419" spans="2:6" x14ac:dyDescent="0.2">
      <c r="B3419" s="12"/>
      <c r="C3419" s="12"/>
      <c r="D3419" s="17" t="str">
        <f t="shared" si="162"/>
        <v/>
      </c>
      <c r="E3419" s="18" t="str">
        <f t="shared" si="160"/>
        <v/>
      </c>
      <c r="F3419" s="17" t="str">
        <f t="shared" si="161"/>
        <v/>
      </c>
    </row>
    <row r="3420" spans="2:6" x14ac:dyDescent="0.2">
      <c r="B3420" s="12"/>
      <c r="C3420" s="12"/>
      <c r="D3420" s="17" t="str">
        <f t="shared" si="162"/>
        <v/>
      </c>
      <c r="E3420" s="18" t="str">
        <f t="shared" si="160"/>
        <v/>
      </c>
      <c r="F3420" s="17" t="str">
        <f t="shared" si="161"/>
        <v/>
      </c>
    </row>
    <row r="3421" spans="2:6" x14ac:dyDescent="0.2">
      <c r="B3421" s="12"/>
      <c r="C3421" s="12"/>
      <c r="D3421" s="17" t="str">
        <f t="shared" si="162"/>
        <v/>
      </c>
      <c r="E3421" s="18" t="str">
        <f t="shared" si="160"/>
        <v/>
      </c>
      <c r="F3421" s="17" t="str">
        <f t="shared" si="161"/>
        <v/>
      </c>
    </row>
    <row r="3422" spans="2:6" x14ac:dyDescent="0.2">
      <c r="B3422" s="12"/>
      <c r="C3422" s="12"/>
      <c r="D3422" s="17" t="str">
        <f t="shared" si="162"/>
        <v/>
      </c>
      <c r="E3422" s="18" t="str">
        <f t="shared" si="160"/>
        <v/>
      </c>
      <c r="F3422" s="17" t="str">
        <f t="shared" si="161"/>
        <v/>
      </c>
    </row>
    <row r="3423" spans="2:6" x14ac:dyDescent="0.2">
      <c r="B3423" s="12"/>
      <c r="C3423" s="12"/>
      <c r="D3423" s="17" t="str">
        <f t="shared" si="162"/>
        <v/>
      </c>
      <c r="E3423" s="18" t="str">
        <f t="shared" si="160"/>
        <v/>
      </c>
      <c r="F3423" s="17" t="str">
        <f t="shared" si="161"/>
        <v/>
      </c>
    </row>
    <row r="3424" spans="2:6" x14ac:dyDescent="0.2">
      <c r="B3424" s="12"/>
      <c r="C3424" s="12"/>
      <c r="D3424" s="17" t="str">
        <f t="shared" si="162"/>
        <v/>
      </c>
      <c r="E3424" s="18" t="str">
        <f t="shared" si="160"/>
        <v/>
      </c>
      <c r="F3424" s="17" t="str">
        <f t="shared" si="161"/>
        <v/>
      </c>
    </row>
    <row r="3425" spans="2:6" x14ac:dyDescent="0.2">
      <c r="B3425" s="12"/>
      <c r="C3425" s="12"/>
      <c r="D3425" s="17" t="str">
        <f t="shared" si="162"/>
        <v/>
      </c>
      <c r="E3425" s="18" t="str">
        <f t="shared" si="160"/>
        <v/>
      </c>
      <c r="F3425" s="17" t="str">
        <f t="shared" si="161"/>
        <v/>
      </c>
    </row>
    <row r="3426" spans="2:6" x14ac:dyDescent="0.2">
      <c r="B3426" s="12"/>
      <c r="C3426" s="12"/>
      <c r="D3426" s="17" t="str">
        <f t="shared" si="162"/>
        <v/>
      </c>
      <c r="E3426" s="18" t="str">
        <f t="shared" si="160"/>
        <v/>
      </c>
      <c r="F3426" s="17" t="str">
        <f t="shared" si="161"/>
        <v/>
      </c>
    </row>
    <row r="3427" spans="2:6" x14ac:dyDescent="0.2">
      <c r="B3427" s="12"/>
      <c r="C3427" s="12"/>
      <c r="D3427" s="17" t="str">
        <f t="shared" si="162"/>
        <v/>
      </c>
      <c r="E3427" s="18" t="str">
        <f t="shared" si="160"/>
        <v/>
      </c>
      <c r="F3427" s="17" t="str">
        <f t="shared" si="161"/>
        <v/>
      </c>
    </row>
    <row r="3428" spans="2:6" x14ac:dyDescent="0.2">
      <c r="B3428" s="12"/>
      <c r="C3428" s="12"/>
      <c r="D3428" s="17" t="str">
        <f t="shared" si="162"/>
        <v/>
      </c>
      <c r="E3428" s="18" t="str">
        <f t="shared" si="160"/>
        <v/>
      </c>
      <c r="F3428" s="17" t="str">
        <f t="shared" si="161"/>
        <v/>
      </c>
    </row>
    <row r="3429" spans="2:6" x14ac:dyDescent="0.2">
      <c r="B3429" s="12"/>
      <c r="C3429" s="12"/>
      <c r="D3429" s="17" t="str">
        <f t="shared" si="162"/>
        <v/>
      </c>
      <c r="E3429" s="18" t="str">
        <f t="shared" si="160"/>
        <v/>
      </c>
      <c r="F3429" s="17" t="str">
        <f t="shared" si="161"/>
        <v/>
      </c>
    </row>
    <row r="3430" spans="2:6" x14ac:dyDescent="0.2">
      <c r="B3430" s="12"/>
      <c r="C3430" s="12"/>
      <c r="D3430" s="17" t="str">
        <f t="shared" si="162"/>
        <v/>
      </c>
      <c r="E3430" s="18" t="str">
        <f t="shared" si="160"/>
        <v/>
      </c>
      <c r="F3430" s="17" t="str">
        <f t="shared" si="161"/>
        <v/>
      </c>
    </row>
    <row r="3431" spans="2:6" x14ac:dyDescent="0.2">
      <c r="B3431" s="12"/>
      <c r="C3431" s="12"/>
      <c r="D3431" s="17" t="str">
        <f t="shared" si="162"/>
        <v/>
      </c>
      <c r="E3431" s="18" t="str">
        <f t="shared" si="160"/>
        <v/>
      </c>
      <c r="F3431" s="17" t="str">
        <f t="shared" si="161"/>
        <v/>
      </c>
    </row>
    <row r="3432" spans="2:6" x14ac:dyDescent="0.2">
      <c r="B3432" s="12"/>
      <c r="C3432" s="12"/>
      <c r="D3432" s="17" t="str">
        <f t="shared" si="162"/>
        <v/>
      </c>
      <c r="E3432" s="18" t="str">
        <f t="shared" si="160"/>
        <v/>
      </c>
      <c r="F3432" s="17" t="str">
        <f t="shared" si="161"/>
        <v/>
      </c>
    </row>
    <row r="3433" spans="2:6" x14ac:dyDescent="0.2">
      <c r="B3433" s="12"/>
      <c r="C3433" s="12"/>
      <c r="D3433" s="17" t="str">
        <f t="shared" si="162"/>
        <v/>
      </c>
      <c r="E3433" s="18" t="str">
        <f t="shared" si="160"/>
        <v/>
      </c>
      <c r="F3433" s="17" t="str">
        <f t="shared" si="161"/>
        <v/>
      </c>
    </row>
    <row r="3434" spans="2:6" x14ac:dyDescent="0.2">
      <c r="B3434" s="12"/>
      <c r="C3434" s="12"/>
      <c r="D3434" s="17" t="str">
        <f t="shared" si="162"/>
        <v/>
      </c>
      <c r="E3434" s="18" t="str">
        <f t="shared" si="160"/>
        <v/>
      </c>
      <c r="F3434" s="17" t="str">
        <f t="shared" si="161"/>
        <v/>
      </c>
    </row>
    <row r="3435" spans="2:6" x14ac:dyDescent="0.2">
      <c r="B3435" s="12"/>
      <c r="C3435" s="12"/>
      <c r="D3435" s="17" t="str">
        <f t="shared" si="162"/>
        <v/>
      </c>
      <c r="E3435" s="18" t="str">
        <f t="shared" si="160"/>
        <v/>
      </c>
      <c r="F3435" s="17" t="str">
        <f t="shared" si="161"/>
        <v/>
      </c>
    </row>
    <row r="3436" spans="2:6" x14ac:dyDescent="0.2">
      <c r="B3436" s="12"/>
      <c r="C3436" s="12"/>
      <c r="D3436" s="17" t="str">
        <f t="shared" si="162"/>
        <v/>
      </c>
      <c r="E3436" s="18" t="str">
        <f t="shared" si="160"/>
        <v/>
      </c>
      <c r="F3436" s="17" t="str">
        <f t="shared" si="161"/>
        <v/>
      </c>
    </row>
    <row r="3437" spans="2:6" x14ac:dyDescent="0.2">
      <c r="B3437" s="12"/>
      <c r="C3437" s="12"/>
      <c r="D3437" s="17" t="str">
        <f t="shared" si="162"/>
        <v/>
      </c>
      <c r="E3437" s="18" t="str">
        <f t="shared" si="160"/>
        <v/>
      </c>
      <c r="F3437" s="17" t="str">
        <f t="shared" si="161"/>
        <v/>
      </c>
    </row>
    <row r="3438" spans="2:6" x14ac:dyDescent="0.2">
      <c r="B3438" s="12"/>
      <c r="C3438" s="12"/>
      <c r="D3438" s="17" t="str">
        <f t="shared" si="162"/>
        <v/>
      </c>
      <c r="E3438" s="18" t="str">
        <f t="shared" si="160"/>
        <v/>
      </c>
      <c r="F3438" s="17" t="str">
        <f t="shared" si="161"/>
        <v/>
      </c>
    </row>
    <row r="3439" spans="2:6" x14ac:dyDescent="0.2">
      <c r="B3439" s="12"/>
      <c r="C3439" s="12"/>
      <c r="D3439" s="17" t="str">
        <f t="shared" si="162"/>
        <v/>
      </c>
      <c r="E3439" s="18" t="str">
        <f t="shared" si="160"/>
        <v/>
      </c>
      <c r="F3439" s="17" t="str">
        <f t="shared" si="161"/>
        <v/>
      </c>
    </row>
    <row r="3440" spans="2:6" x14ac:dyDescent="0.2">
      <c r="B3440" s="12"/>
      <c r="C3440" s="12"/>
      <c r="D3440" s="17" t="str">
        <f t="shared" si="162"/>
        <v/>
      </c>
      <c r="E3440" s="18" t="str">
        <f t="shared" si="160"/>
        <v/>
      </c>
      <c r="F3440" s="17" t="str">
        <f t="shared" si="161"/>
        <v/>
      </c>
    </row>
    <row r="3441" spans="2:6" x14ac:dyDescent="0.2">
      <c r="B3441" s="12"/>
      <c r="C3441" s="12"/>
      <c r="D3441" s="17" t="str">
        <f t="shared" si="162"/>
        <v/>
      </c>
      <c r="E3441" s="18" t="str">
        <f t="shared" si="160"/>
        <v/>
      </c>
      <c r="F3441" s="17" t="str">
        <f t="shared" si="161"/>
        <v/>
      </c>
    </row>
    <row r="3442" spans="2:6" x14ac:dyDescent="0.2">
      <c r="B3442" s="12"/>
      <c r="C3442" s="12"/>
      <c r="D3442" s="17" t="str">
        <f t="shared" si="162"/>
        <v/>
      </c>
      <c r="E3442" s="18" t="str">
        <f t="shared" si="160"/>
        <v/>
      </c>
      <c r="F3442" s="17" t="str">
        <f t="shared" si="161"/>
        <v/>
      </c>
    </row>
    <row r="3443" spans="2:6" x14ac:dyDescent="0.2">
      <c r="B3443" s="12"/>
      <c r="C3443" s="12"/>
      <c r="D3443" s="17" t="str">
        <f t="shared" si="162"/>
        <v/>
      </c>
      <c r="E3443" s="18" t="str">
        <f t="shared" si="160"/>
        <v/>
      </c>
      <c r="F3443" s="17" t="str">
        <f t="shared" si="161"/>
        <v/>
      </c>
    </row>
    <row r="3444" spans="2:6" x14ac:dyDescent="0.2">
      <c r="B3444" s="12"/>
      <c r="C3444" s="12"/>
      <c r="D3444" s="17" t="str">
        <f t="shared" si="162"/>
        <v/>
      </c>
      <c r="E3444" s="18" t="str">
        <f t="shared" si="160"/>
        <v/>
      </c>
      <c r="F3444" s="17" t="str">
        <f t="shared" si="161"/>
        <v/>
      </c>
    </row>
    <row r="3445" spans="2:6" x14ac:dyDescent="0.2">
      <c r="B3445" s="12"/>
      <c r="C3445" s="12"/>
      <c r="D3445" s="17" t="str">
        <f t="shared" si="162"/>
        <v/>
      </c>
      <c r="E3445" s="18" t="str">
        <f t="shared" si="160"/>
        <v/>
      </c>
      <c r="F3445" s="17" t="str">
        <f t="shared" si="161"/>
        <v/>
      </c>
    </row>
    <row r="3446" spans="2:6" x14ac:dyDescent="0.2">
      <c r="B3446" s="12"/>
      <c r="C3446" s="12"/>
      <c r="D3446" s="17" t="str">
        <f t="shared" si="162"/>
        <v/>
      </c>
      <c r="E3446" s="18" t="str">
        <f t="shared" si="160"/>
        <v/>
      </c>
      <c r="F3446" s="17" t="str">
        <f t="shared" si="161"/>
        <v/>
      </c>
    </row>
    <row r="3447" spans="2:6" x14ac:dyDescent="0.2">
      <c r="B3447" s="12"/>
      <c r="C3447" s="12"/>
      <c r="D3447" s="17" t="str">
        <f t="shared" si="162"/>
        <v/>
      </c>
      <c r="E3447" s="18" t="str">
        <f t="shared" si="160"/>
        <v/>
      </c>
      <c r="F3447" s="17" t="str">
        <f t="shared" si="161"/>
        <v/>
      </c>
    </row>
    <row r="3448" spans="2:6" x14ac:dyDescent="0.2">
      <c r="B3448" s="12"/>
      <c r="C3448" s="12"/>
      <c r="D3448" s="17" t="str">
        <f t="shared" si="162"/>
        <v/>
      </c>
      <c r="E3448" s="18" t="str">
        <f t="shared" si="160"/>
        <v/>
      </c>
      <c r="F3448" s="17" t="str">
        <f t="shared" si="161"/>
        <v/>
      </c>
    </row>
    <row r="3449" spans="2:6" x14ac:dyDescent="0.2">
      <c r="B3449" s="12"/>
      <c r="C3449" s="12"/>
      <c r="D3449" s="17" t="str">
        <f t="shared" si="162"/>
        <v/>
      </c>
      <c r="E3449" s="18" t="str">
        <f t="shared" si="160"/>
        <v/>
      </c>
      <c r="F3449" s="17" t="str">
        <f t="shared" si="161"/>
        <v/>
      </c>
    </row>
    <row r="3450" spans="2:6" x14ac:dyDescent="0.2">
      <c r="B3450" s="12"/>
      <c r="C3450" s="12"/>
      <c r="D3450" s="17" t="str">
        <f t="shared" si="162"/>
        <v/>
      </c>
      <c r="E3450" s="18" t="str">
        <f t="shared" si="160"/>
        <v/>
      </c>
      <c r="F3450" s="17" t="str">
        <f t="shared" si="161"/>
        <v/>
      </c>
    </row>
    <row r="3451" spans="2:6" x14ac:dyDescent="0.2">
      <c r="B3451" s="12"/>
      <c r="C3451" s="12"/>
      <c r="D3451" s="17" t="str">
        <f t="shared" si="162"/>
        <v/>
      </c>
      <c r="E3451" s="18" t="str">
        <f t="shared" si="160"/>
        <v/>
      </c>
      <c r="F3451" s="17" t="str">
        <f t="shared" si="161"/>
        <v/>
      </c>
    </row>
    <row r="3452" spans="2:6" x14ac:dyDescent="0.2">
      <c r="B3452" s="12"/>
      <c r="C3452" s="12"/>
      <c r="D3452" s="17" t="str">
        <f t="shared" si="162"/>
        <v/>
      </c>
      <c r="E3452" s="18" t="str">
        <f t="shared" si="160"/>
        <v/>
      </c>
      <c r="F3452" s="17" t="str">
        <f t="shared" si="161"/>
        <v/>
      </c>
    </row>
    <row r="3453" spans="2:6" x14ac:dyDescent="0.2">
      <c r="B3453" s="12"/>
      <c r="C3453" s="12"/>
      <c r="D3453" s="17" t="str">
        <f t="shared" si="162"/>
        <v/>
      </c>
      <c r="E3453" s="18" t="str">
        <f t="shared" si="160"/>
        <v/>
      </c>
      <c r="F3453" s="17" t="str">
        <f t="shared" si="161"/>
        <v/>
      </c>
    </row>
    <row r="3454" spans="2:6" x14ac:dyDescent="0.2">
      <c r="B3454" s="12"/>
      <c r="C3454" s="12"/>
      <c r="D3454" s="17" t="str">
        <f t="shared" si="162"/>
        <v/>
      </c>
      <c r="E3454" s="18" t="str">
        <f t="shared" si="160"/>
        <v/>
      </c>
      <c r="F3454" s="17" t="str">
        <f t="shared" si="161"/>
        <v/>
      </c>
    </row>
    <row r="3455" spans="2:6" x14ac:dyDescent="0.2">
      <c r="B3455" s="12"/>
      <c r="C3455" s="12"/>
      <c r="D3455" s="17" t="str">
        <f t="shared" si="162"/>
        <v/>
      </c>
      <c r="E3455" s="18" t="str">
        <f t="shared" si="160"/>
        <v/>
      </c>
      <c r="F3455" s="17" t="str">
        <f t="shared" si="161"/>
        <v/>
      </c>
    </row>
    <row r="3456" spans="2:6" x14ac:dyDescent="0.2">
      <c r="B3456" s="12"/>
      <c r="C3456" s="12"/>
      <c r="D3456" s="17" t="str">
        <f t="shared" si="162"/>
        <v/>
      </c>
      <c r="E3456" s="18" t="str">
        <f t="shared" si="160"/>
        <v/>
      </c>
      <c r="F3456" s="17" t="str">
        <f t="shared" si="161"/>
        <v/>
      </c>
    </row>
    <row r="3457" spans="2:6" x14ac:dyDescent="0.2">
      <c r="B3457" s="12"/>
      <c r="C3457" s="12"/>
      <c r="D3457" s="17" t="str">
        <f t="shared" si="162"/>
        <v/>
      </c>
      <c r="E3457" s="18" t="str">
        <f t="shared" si="160"/>
        <v/>
      </c>
      <c r="F3457" s="17" t="str">
        <f t="shared" si="161"/>
        <v/>
      </c>
    </row>
    <row r="3458" spans="2:6" x14ac:dyDescent="0.2">
      <c r="B3458" s="12"/>
      <c r="C3458" s="12"/>
      <c r="D3458" s="17" t="str">
        <f t="shared" si="162"/>
        <v/>
      </c>
      <c r="E3458" s="18" t="str">
        <f t="shared" si="160"/>
        <v/>
      </c>
      <c r="F3458" s="17" t="str">
        <f t="shared" si="161"/>
        <v/>
      </c>
    </row>
    <row r="3459" spans="2:6" x14ac:dyDescent="0.2">
      <c r="B3459" s="12"/>
      <c r="C3459" s="12"/>
      <c r="D3459" s="17" t="str">
        <f t="shared" si="162"/>
        <v/>
      </c>
      <c r="E3459" s="18" t="str">
        <f t="shared" si="160"/>
        <v/>
      </c>
      <c r="F3459" s="17" t="str">
        <f t="shared" si="161"/>
        <v/>
      </c>
    </row>
    <row r="3460" spans="2:6" x14ac:dyDescent="0.2">
      <c r="B3460" s="12"/>
      <c r="C3460" s="12"/>
      <c r="D3460" s="17" t="str">
        <f t="shared" si="162"/>
        <v/>
      </c>
      <c r="E3460" s="18" t="str">
        <f t="shared" si="160"/>
        <v/>
      </c>
      <c r="F3460" s="17" t="str">
        <f t="shared" si="161"/>
        <v/>
      </c>
    </row>
    <row r="3461" spans="2:6" x14ac:dyDescent="0.2">
      <c r="B3461" s="12"/>
      <c r="C3461" s="12"/>
      <c r="D3461" s="17" t="str">
        <f t="shared" si="162"/>
        <v/>
      </c>
      <c r="E3461" s="18" t="str">
        <f t="shared" ref="E3461:E3524" si="163">IF(B3461="","",ABS(C3461-D3461))</f>
        <v/>
      </c>
      <c r="F3461" s="17" t="str">
        <f t="shared" ref="F3461:F3524" si="164">IF(B3461="","",E3461^2)</f>
        <v/>
      </c>
    </row>
    <row r="3462" spans="2:6" x14ac:dyDescent="0.2">
      <c r="B3462" s="12"/>
      <c r="C3462" s="12"/>
      <c r="D3462" s="17" t="str">
        <f t="shared" si="162"/>
        <v/>
      </c>
      <c r="E3462" s="18" t="str">
        <f t="shared" si="163"/>
        <v/>
      </c>
      <c r="F3462" s="17" t="str">
        <f t="shared" si="164"/>
        <v/>
      </c>
    </row>
    <row r="3463" spans="2:6" x14ac:dyDescent="0.2">
      <c r="B3463" s="12"/>
      <c r="C3463" s="12"/>
      <c r="D3463" s="17" t="str">
        <f t="shared" si="162"/>
        <v/>
      </c>
      <c r="E3463" s="18" t="str">
        <f t="shared" si="163"/>
        <v/>
      </c>
      <c r="F3463" s="17" t="str">
        <f t="shared" si="164"/>
        <v/>
      </c>
    </row>
    <row r="3464" spans="2:6" x14ac:dyDescent="0.2">
      <c r="B3464" s="12"/>
      <c r="C3464" s="12"/>
      <c r="D3464" s="17" t="str">
        <f t="shared" si="162"/>
        <v/>
      </c>
      <c r="E3464" s="18" t="str">
        <f t="shared" si="163"/>
        <v/>
      </c>
      <c r="F3464" s="17" t="str">
        <f t="shared" si="164"/>
        <v/>
      </c>
    </row>
    <row r="3465" spans="2:6" x14ac:dyDescent="0.2">
      <c r="B3465" s="12"/>
      <c r="C3465" s="12"/>
      <c r="D3465" s="17" t="str">
        <f t="shared" si="162"/>
        <v/>
      </c>
      <c r="E3465" s="18" t="str">
        <f t="shared" si="163"/>
        <v/>
      </c>
      <c r="F3465" s="17" t="str">
        <f t="shared" si="164"/>
        <v/>
      </c>
    </row>
    <row r="3466" spans="2:6" x14ac:dyDescent="0.2">
      <c r="B3466" s="12"/>
      <c r="C3466" s="12"/>
      <c r="D3466" s="17" t="str">
        <f t="shared" si="162"/>
        <v/>
      </c>
      <c r="E3466" s="18" t="str">
        <f t="shared" si="163"/>
        <v/>
      </c>
      <c r="F3466" s="17" t="str">
        <f t="shared" si="164"/>
        <v/>
      </c>
    </row>
    <row r="3467" spans="2:6" x14ac:dyDescent="0.2">
      <c r="B3467" s="12"/>
      <c r="C3467" s="12"/>
      <c r="D3467" s="17" t="str">
        <f t="shared" si="162"/>
        <v/>
      </c>
      <c r="E3467" s="18" t="str">
        <f t="shared" si="163"/>
        <v/>
      </c>
      <c r="F3467" s="17" t="str">
        <f t="shared" si="164"/>
        <v/>
      </c>
    </row>
    <row r="3468" spans="2:6" x14ac:dyDescent="0.2">
      <c r="B3468" s="12"/>
      <c r="C3468" s="12"/>
      <c r="D3468" s="17" t="str">
        <f t="shared" si="162"/>
        <v/>
      </c>
      <c r="E3468" s="18" t="str">
        <f t="shared" si="163"/>
        <v/>
      </c>
      <c r="F3468" s="17" t="str">
        <f t="shared" si="164"/>
        <v/>
      </c>
    </row>
    <row r="3469" spans="2:6" x14ac:dyDescent="0.2">
      <c r="B3469" s="12"/>
      <c r="C3469" s="12"/>
      <c r="D3469" s="17" t="str">
        <f t="shared" si="162"/>
        <v/>
      </c>
      <c r="E3469" s="18" t="str">
        <f t="shared" si="163"/>
        <v/>
      </c>
      <c r="F3469" s="17" t="str">
        <f t="shared" si="164"/>
        <v/>
      </c>
    </row>
    <row r="3470" spans="2:6" x14ac:dyDescent="0.2">
      <c r="B3470" s="12"/>
      <c r="C3470" s="12"/>
      <c r="D3470" s="17" t="str">
        <f t="shared" si="162"/>
        <v/>
      </c>
      <c r="E3470" s="18" t="str">
        <f t="shared" si="163"/>
        <v/>
      </c>
      <c r="F3470" s="17" t="str">
        <f t="shared" si="164"/>
        <v/>
      </c>
    </row>
    <row r="3471" spans="2:6" x14ac:dyDescent="0.2">
      <c r="B3471" s="12"/>
      <c r="C3471" s="12"/>
      <c r="D3471" s="17" t="str">
        <f t="shared" si="162"/>
        <v/>
      </c>
      <c r="E3471" s="18" t="str">
        <f t="shared" si="163"/>
        <v/>
      </c>
      <c r="F3471" s="17" t="str">
        <f t="shared" si="164"/>
        <v/>
      </c>
    </row>
    <row r="3472" spans="2:6" x14ac:dyDescent="0.2">
      <c r="B3472" s="12"/>
      <c r="C3472" s="12"/>
      <c r="D3472" s="17" t="str">
        <f t="shared" si="162"/>
        <v/>
      </c>
      <c r="E3472" s="18" t="str">
        <f t="shared" si="163"/>
        <v/>
      </c>
      <c r="F3472" s="17" t="str">
        <f t="shared" si="164"/>
        <v/>
      </c>
    </row>
    <row r="3473" spans="2:6" x14ac:dyDescent="0.2">
      <c r="B3473" s="12"/>
      <c r="C3473" s="12"/>
      <c r="D3473" s="17" t="str">
        <f t="shared" si="162"/>
        <v/>
      </c>
      <c r="E3473" s="18" t="str">
        <f t="shared" si="163"/>
        <v/>
      </c>
      <c r="F3473" s="17" t="str">
        <f t="shared" si="164"/>
        <v/>
      </c>
    </row>
    <row r="3474" spans="2:6" x14ac:dyDescent="0.2">
      <c r="B3474" s="12"/>
      <c r="C3474" s="12"/>
      <c r="D3474" s="17" t="str">
        <f t="shared" ref="D3474:D3537" si="165">IF(B3474="","",a+b*B3474)</f>
        <v/>
      </c>
      <c r="E3474" s="18" t="str">
        <f t="shared" si="163"/>
        <v/>
      </c>
      <c r="F3474" s="17" t="str">
        <f t="shared" si="164"/>
        <v/>
      </c>
    </row>
    <row r="3475" spans="2:6" x14ac:dyDescent="0.2">
      <c r="B3475" s="12"/>
      <c r="C3475" s="12"/>
      <c r="D3475" s="17" t="str">
        <f t="shared" si="165"/>
        <v/>
      </c>
      <c r="E3475" s="18" t="str">
        <f t="shared" si="163"/>
        <v/>
      </c>
      <c r="F3475" s="17" t="str">
        <f t="shared" si="164"/>
        <v/>
      </c>
    </row>
    <row r="3476" spans="2:6" x14ac:dyDescent="0.2">
      <c r="B3476" s="12"/>
      <c r="C3476" s="12"/>
      <c r="D3476" s="17" t="str">
        <f t="shared" si="165"/>
        <v/>
      </c>
      <c r="E3476" s="18" t="str">
        <f t="shared" si="163"/>
        <v/>
      </c>
      <c r="F3476" s="17" t="str">
        <f t="shared" si="164"/>
        <v/>
      </c>
    </row>
    <row r="3477" spans="2:6" x14ac:dyDescent="0.2">
      <c r="B3477" s="12"/>
      <c r="C3477" s="12"/>
      <c r="D3477" s="17" t="str">
        <f t="shared" si="165"/>
        <v/>
      </c>
      <c r="E3477" s="18" t="str">
        <f t="shared" si="163"/>
        <v/>
      </c>
      <c r="F3477" s="17" t="str">
        <f t="shared" si="164"/>
        <v/>
      </c>
    </row>
    <row r="3478" spans="2:6" x14ac:dyDescent="0.2">
      <c r="B3478" s="12"/>
      <c r="C3478" s="12"/>
      <c r="D3478" s="17" t="str">
        <f t="shared" si="165"/>
        <v/>
      </c>
      <c r="E3478" s="18" t="str">
        <f t="shared" si="163"/>
        <v/>
      </c>
      <c r="F3478" s="17" t="str">
        <f t="shared" si="164"/>
        <v/>
      </c>
    </row>
    <row r="3479" spans="2:6" x14ac:dyDescent="0.2">
      <c r="B3479" s="12"/>
      <c r="C3479" s="12"/>
      <c r="D3479" s="17" t="str">
        <f t="shared" si="165"/>
        <v/>
      </c>
      <c r="E3479" s="18" t="str">
        <f t="shared" si="163"/>
        <v/>
      </c>
      <c r="F3479" s="17" t="str">
        <f t="shared" si="164"/>
        <v/>
      </c>
    </row>
    <row r="3480" spans="2:6" x14ac:dyDescent="0.2">
      <c r="B3480" s="12"/>
      <c r="C3480" s="12"/>
      <c r="D3480" s="17" t="str">
        <f t="shared" si="165"/>
        <v/>
      </c>
      <c r="E3480" s="18" t="str">
        <f t="shared" si="163"/>
        <v/>
      </c>
      <c r="F3480" s="17" t="str">
        <f t="shared" si="164"/>
        <v/>
      </c>
    </row>
    <row r="3481" spans="2:6" x14ac:dyDescent="0.2">
      <c r="B3481" s="12"/>
      <c r="C3481" s="12"/>
      <c r="D3481" s="17" t="str">
        <f t="shared" si="165"/>
        <v/>
      </c>
      <c r="E3481" s="18" t="str">
        <f t="shared" si="163"/>
        <v/>
      </c>
      <c r="F3481" s="17" t="str">
        <f t="shared" si="164"/>
        <v/>
      </c>
    </row>
    <row r="3482" spans="2:6" x14ac:dyDescent="0.2">
      <c r="B3482" s="12"/>
      <c r="C3482" s="12"/>
      <c r="D3482" s="17" t="str">
        <f t="shared" si="165"/>
        <v/>
      </c>
      <c r="E3482" s="18" t="str">
        <f t="shared" si="163"/>
        <v/>
      </c>
      <c r="F3482" s="17" t="str">
        <f t="shared" si="164"/>
        <v/>
      </c>
    </row>
    <row r="3483" spans="2:6" x14ac:dyDescent="0.2">
      <c r="B3483" s="12"/>
      <c r="C3483" s="12"/>
      <c r="D3483" s="17" t="str">
        <f t="shared" si="165"/>
        <v/>
      </c>
      <c r="E3483" s="18" t="str">
        <f t="shared" si="163"/>
        <v/>
      </c>
      <c r="F3483" s="17" t="str">
        <f t="shared" si="164"/>
        <v/>
      </c>
    </row>
    <row r="3484" spans="2:6" x14ac:dyDescent="0.2">
      <c r="B3484" s="12"/>
      <c r="C3484" s="12"/>
      <c r="D3484" s="17" t="str">
        <f t="shared" si="165"/>
        <v/>
      </c>
      <c r="E3484" s="18" t="str">
        <f t="shared" si="163"/>
        <v/>
      </c>
      <c r="F3484" s="17" t="str">
        <f t="shared" si="164"/>
        <v/>
      </c>
    </row>
    <row r="3485" spans="2:6" x14ac:dyDescent="0.2">
      <c r="B3485" s="12"/>
      <c r="C3485" s="12"/>
      <c r="D3485" s="17" t="str">
        <f t="shared" si="165"/>
        <v/>
      </c>
      <c r="E3485" s="18" t="str">
        <f t="shared" si="163"/>
        <v/>
      </c>
      <c r="F3485" s="17" t="str">
        <f t="shared" si="164"/>
        <v/>
      </c>
    </row>
    <row r="3486" spans="2:6" x14ac:dyDescent="0.2">
      <c r="B3486" s="12"/>
      <c r="C3486" s="12"/>
      <c r="D3486" s="17" t="str">
        <f t="shared" si="165"/>
        <v/>
      </c>
      <c r="E3486" s="18" t="str">
        <f t="shared" si="163"/>
        <v/>
      </c>
      <c r="F3486" s="17" t="str">
        <f t="shared" si="164"/>
        <v/>
      </c>
    </row>
    <row r="3487" spans="2:6" x14ac:dyDescent="0.2">
      <c r="B3487" s="12"/>
      <c r="C3487" s="12"/>
      <c r="D3487" s="17" t="str">
        <f t="shared" si="165"/>
        <v/>
      </c>
      <c r="E3487" s="18" t="str">
        <f t="shared" si="163"/>
        <v/>
      </c>
      <c r="F3487" s="17" t="str">
        <f t="shared" si="164"/>
        <v/>
      </c>
    </row>
    <row r="3488" spans="2:6" x14ac:dyDescent="0.2">
      <c r="B3488" s="12"/>
      <c r="C3488" s="12"/>
      <c r="D3488" s="17" t="str">
        <f t="shared" si="165"/>
        <v/>
      </c>
      <c r="E3488" s="18" t="str">
        <f t="shared" si="163"/>
        <v/>
      </c>
      <c r="F3488" s="17" t="str">
        <f t="shared" si="164"/>
        <v/>
      </c>
    </row>
    <row r="3489" spans="2:6" x14ac:dyDescent="0.2">
      <c r="B3489" s="12"/>
      <c r="C3489" s="12"/>
      <c r="D3489" s="17" t="str">
        <f t="shared" si="165"/>
        <v/>
      </c>
      <c r="E3489" s="18" t="str">
        <f t="shared" si="163"/>
        <v/>
      </c>
      <c r="F3489" s="17" t="str">
        <f t="shared" si="164"/>
        <v/>
      </c>
    </row>
    <row r="3490" spans="2:6" x14ac:dyDescent="0.2">
      <c r="B3490" s="12"/>
      <c r="C3490" s="12"/>
      <c r="D3490" s="17" t="str">
        <f t="shared" si="165"/>
        <v/>
      </c>
      <c r="E3490" s="18" t="str">
        <f t="shared" si="163"/>
        <v/>
      </c>
      <c r="F3490" s="17" t="str">
        <f t="shared" si="164"/>
        <v/>
      </c>
    </row>
    <row r="3491" spans="2:6" x14ac:dyDescent="0.2">
      <c r="B3491" s="12"/>
      <c r="C3491" s="12"/>
      <c r="D3491" s="17" t="str">
        <f t="shared" si="165"/>
        <v/>
      </c>
      <c r="E3491" s="18" t="str">
        <f t="shared" si="163"/>
        <v/>
      </c>
      <c r="F3491" s="17" t="str">
        <f t="shared" si="164"/>
        <v/>
      </c>
    </row>
    <row r="3492" spans="2:6" x14ac:dyDescent="0.2">
      <c r="B3492" s="12"/>
      <c r="C3492" s="12"/>
      <c r="D3492" s="17" t="str">
        <f t="shared" si="165"/>
        <v/>
      </c>
      <c r="E3492" s="18" t="str">
        <f t="shared" si="163"/>
        <v/>
      </c>
      <c r="F3492" s="17" t="str">
        <f t="shared" si="164"/>
        <v/>
      </c>
    </row>
    <row r="3493" spans="2:6" x14ac:dyDescent="0.2">
      <c r="B3493" s="12"/>
      <c r="C3493" s="12"/>
      <c r="D3493" s="17" t="str">
        <f t="shared" si="165"/>
        <v/>
      </c>
      <c r="E3493" s="18" t="str">
        <f t="shared" si="163"/>
        <v/>
      </c>
      <c r="F3493" s="17" t="str">
        <f t="shared" si="164"/>
        <v/>
      </c>
    </row>
    <row r="3494" spans="2:6" x14ac:dyDescent="0.2">
      <c r="B3494" s="12"/>
      <c r="C3494" s="12"/>
      <c r="D3494" s="17" t="str">
        <f t="shared" si="165"/>
        <v/>
      </c>
      <c r="E3494" s="18" t="str">
        <f t="shared" si="163"/>
        <v/>
      </c>
      <c r="F3494" s="17" t="str">
        <f t="shared" si="164"/>
        <v/>
      </c>
    </row>
    <row r="3495" spans="2:6" x14ac:dyDescent="0.2">
      <c r="B3495" s="12"/>
      <c r="C3495" s="12"/>
      <c r="D3495" s="17" t="str">
        <f t="shared" si="165"/>
        <v/>
      </c>
      <c r="E3495" s="18" t="str">
        <f t="shared" si="163"/>
        <v/>
      </c>
      <c r="F3495" s="17" t="str">
        <f t="shared" si="164"/>
        <v/>
      </c>
    </row>
    <row r="3496" spans="2:6" x14ac:dyDescent="0.2">
      <c r="B3496" s="12"/>
      <c r="C3496" s="12"/>
      <c r="D3496" s="17" t="str">
        <f t="shared" si="165"/>
        <v/>
      </c>
      <c r="E3496" s="18" t="str">
        <f t="shared" si="163"/>
        <v/>
      </c>
      <c r="F3496" s="17" t="str">
        <f t="shared" si="164"/>
        <v/>
      </c>
    </row>
    <row r="3497" spans="2:6" x14ac:dyDescent="0.2">
      <c r="B3497" s="12"/>
      <c r="C3497" s="12"/>
      <c r="D3497" s="17" t="str">
        <f t="shared" si="165"/>
        <v/>
      </c>
      <c r="E3497" s="18" t="str">
        <f t="shared" si="163"/>
        <v/>
      </c>
      <c r="F3497" s="17" t="str">
        <f t="shared" si="164"/>
        <v/>
      </c>
    </row>
    <row r="3498" spans="2:6" x14ac:dyDescent="0.2">
      <c r="B3498" s="12"/>
      <c r="C3498" s="12"/>
      <c r="D3498" s="17" t="str">
        <f t="shared" si="165"/>
        <v/>
      </c>
      <c r="E3498" s="18" t="str">
        <f t="shared" si="163"/>
        <v/>
      </c>
      <c r="F3498" s="17" t="str">
        <f t="shared" si="164"/>
        <v/>
      </c>
    </row>
    <row r="3499" spans="2:6" x14ac:dyDescent="0.2">
      <c r="B3499" s="12"/>
      <c r="C3499" s="12"/>
      <c r="D3499" s="17" t="str">
        <f t="shared" si="165"/>
        <v/>
      </c>
      <c r="E3499" s="18" t="str">
        <f t="shared" si="163"/>
        <v/>
      </c>
      <c r="F3499" s="17" t="str">
        <f t="shared" si="164"/>
        <v/>
      </c>
    </row>
    <row r="3500" spans="2:6" x14ac:dyDescent="0.2">
      <c r="B3500" s="12"/>
      <c r="C3500" s="12"/>
      <c r="D3500" s="17" t="str">
        <f t="shared" si="165"/>
        <v/>
      </c>
      <c r="E3500" s="18" t="str">
        <f t="shared" si="163"/>
        <v/>
      </c>
      <c r="F3500" s="17" t="str">
        <f t="shared" si="164"/>
        <v/>
      </c>
    </row>
    <row r="3501" spans="2:6" x14ac:dyDescent="0.2">
      <c r="B3501" s="12"/>
      <c r="C3501" s="12"/>
      <c r="D3501" s="17" t="str">
        <f t="shared" si="165"/>
        <v/>
      </c>
      <c r="E3501" s="18" t="str">
        <f t="shared" si="163"/>
        <v/>
      </c>
      <c r="F3501" s="17" t="str">
        <f t="shared" si="164"/>
        <v/>
      </c>
    </row>
    <row r="3502" spans="2:6" x14ac:dyDescent="0.2">
      <c r="B3502" s="12"/>
      <c r="C3502" s="12"/>
      <c r="D3502" s="17" t="str">
        <f t="shared" si="165"/>
        <v/>
      </c>
      <c r="E3502" s="18" t="str">
        <f t="shared" si="163"/>
        <v/>
      </c>
      <c r="F3502" s="17" t="str">
        <f t="shared" si="164"/>
        <v/>
      </c>
    </row>
    <row r="3503" spans="2:6" x14ac:dyDescent="0.2">
      <c r="B3503" s="12"/>
      <c r="C3503" s="12"/>
      <c r="D3503" s="17" t="str">
        <f t="shared" si="165"/>
        <v/>
      </c>
      <c r="E3503" s="18" t="str">
        <f t="shared" si="163"/>
        <v/>
      </c>
      <c r="F3503" s="17" t="str">
        <f t="shared" si="164"/>
        <v/>
      </c>
    </row>
    <row r="3504" spans="2:6" x14ac:dyDescent="0.2">
      <c r="B3504" s="12"/>
      <c r="C3504" s="12"/>
      <c r="D3504" s="17" t="str">
        <f t="shared" si="165"/>
        <v/>
      </c>
      <c r="E3504" s="18" t="str">
        <f t="shared" si="163"/>
        <v/>
      </c>
      <c r="F3504" s="17" t="str">
        <f t="shared" si="164"/>
        <v/>
      </c>
    </row>
    <row r="3505" spans="2:6" x14ac:dyDescent="0.2">
      <c r="B3505" s="12"/>
      <c r="C3505" s="12"/>
      <c r="D3505" s="17" t="str">
        <f t="shared" si="165"/>
        <v/>
      </c>
      <c r="E3505" s="18" t="str">
        <f t="shared" si="163"/>
        <v/>
      </c>
      <c r="F3505" s="17" t="str">
        <f t="shared" si="164"/>
        <v/>
      </c>
    </row>
    <row r="3506" spans="2:6" x14ac:dyDescent="0.2">
      <c r="B3506" s="12"/>
      <c r="C3506" s="12"/>
      <c r="D3506" s="17" t="str">
        <f t="shared" si="165"/>
        <v/>
      </c>
      <c r="E3506" s="18" t="str">
        <f t="shared" si="163"/>
        <v/>
      </c>
      <c r="F3506" s="17" t="str">
        <f t="shared" si="164"/>
        <v/>
      </c>
    </row>
    <row r="3507" spans="2:6" x14ac:dyDescent="0.2">
      <c r="B3507" s="12"/>
      <c r="C3507" s="12"/>
      <c r="D3507" s="17" t="str">
        <f t="shared" si="165"/>
        <v/>
      </c>
      <c r="E3507" s="18" t="str">
        <f t="shared" si="163"/>
        <v/>
      </c>
      <c r="F3507" s="17" t="str">
        <f t="shared" si="164"/>
        <v/>
      </c>
    </row>
    <row r="3508" spans="2:6" x14ac:dyDescent="0.2">
      <c r="B3508" s="12"/>
      <c r="C3508" s="12"/>
      <c r="D3508" s="17" t="str">
        <f t="shared" si="165"/>
        <v/>
      </c>
      <c r="E3508" s="18" t="str">
        <f t="shared" si="163"/>
        <v/>
      </c>
      <c r="F3508" s="17" t="str">
        <f t="shared" si="164"/>
        <v/>
      </c>
    </row>
    <row r="3509" spans="2:6" x14ac:dyDescent="0.2">
      <c r="B3509" s="12"/>
      <c r="C3509" s="12"/>
      <c r="D3509" s="17" t="str">
        <f t="shared" si="165"/>
        <v/>
      </c>
      <c r="E3509" s="18" t="str">
        <f t="shared" si="163"/>
        <v/>
      </c>
      <c r="F3509" s="17" t="str">
        <f t="shared" si="164"/>
        <v/>
      </c>
    </row>
    <row r="3510" spans="2:6" x14ac:dyDescent="0.2">
      <c r="B3510" s="12"/>
      <c r="C3510" s="12"/>
      <c r="D3510" s="17" t="str">
        <f t="shared" si="165"/>
        <v/>
      </c>
      <c r="E3510" s="18" t="str">
        <f t="shared" si="163"/>
        <v/>
      </c>
      <c r="F3510" s="17" t="str">
        <f t="shared" si="164"/>
        <v/>
      </c>
    </row>
    <row r="3511" spans="2:6" x14ac:dyDescent="0.2">
      <c r="B3511" s="12"/>
      <c r="C3511" s="12"/>
      <c r="D3511" s="17" t="str">
        <f t="shared" si="165"/>
        <v/>
      </c>
      <c r="E3511" s="18" t="str">
        <f t="shared" si="163"/>
        <v/>
      </c>
      <c r="F3511" s="17" t="str">
        <f t="shared" si="164"/>
        <v/>
      </c>
    </row>
    <row r="3512" spans="2:6" x14ac:dyDescent="0.2">
      <c r="B3512" s="12"/>
      <c r="C3512" s="12"/>
      <c r="D3512" s="17" t="str">
        <f t="shared" si="165"/>
        <v/>
      </c>
      <c r="E3512" s="18" t="str">
        <f t="shared" si="163"/>
        <v/>
      </c>
      <c r="F3512" s="17" t="str">
        <f t="shared" si="164"/>
        <v/>
      </c>
    </row>
    <row r="3513" spans="2:6" x14ac:dyDescent="0.2">
      <c r="B3513" s="12"/>
      <c r="C3513" s="12"/>
      <c r="D3513" s="17" t="str">
        <f t="shared" si="165"/>
        <v/>
      </c>
      <c r="E3513" s="18" t="str">
        <f t="shared" si="163"/>
        <v/>
      </c>
      <c r="F3513" s="17" t="str">
        <f t="shared" si="164"/>
        <v/>
      </c>
    </row>
    <row r="3514" spans="2:6" x14ac:dyDescent="0.2">
      <c r="B3514" s="12"/>
      <c r="C3514" s="12"/>
      <c r="D3514" s="17" t="str">
        <f t="shared" si="165"/>
        <v/>
      </c>
      <c r="E3514" s="18" t="str">
        <f t="shared" si="163"/>
        <v/>
      </c>
      <c r="F3514" s="17" t="str">
        <f t="shared" si="164"/>
        <v/>
      </c>
    </row>
    <row r="3515" spans="2:6" x14ac:dyDescent="0.2">
      <c r="B3515" s="12"/>
      <c r="C3515" s="12"/>
      <c r="D3515" s="17" t="str">
        <f t="shared" si="165"/>
        <v/>
      </c>
      <c r="E3515" s="18" t="str">
        <f t="shared" si="163"/>
        <v/>
      </c>
      <c r="F3515" s="17" t="str">
        <f t="shared" si="164"/>
        <v/>
      </c>
    </row>
    <row r="3516" spans="2:6" x14ac:dyDescent="0.2">
      <c r="B3516" s="12"/>
      <c r="C3516" s="12"/>
      <c r="D3516" s="17" t="str">
        <f t="shared" si="165"/>
        <v/>
      </c>
      <c r="E3516" s="18" t="str">
        <f t="shared" si="163"/>
        <v/>
      </c>
      <c r="F3516" s="17" t="str">
        <f t="shared" si="164"/>
        <v/>
      </c>
    </row>
    <row r="3517" spans="2:6" x14ac:dyDescent="0.2">
      <c r="B3517" s="12"/>
      <c r="C3517" s="12"/>
      <c r="D3517" s="17" t="str">
        <f t="shared" si="165"/>
        <v/>
      </c>
      <c r="E3517" s="18" t="str">
        <f t="shared" si="163"/>
        <v/>
      </c>
      <c r="F3517" s="17" t="str">
        <f t="shared" si="164"/>
        <v/>
      </c>
    </row>
    <row r="3518" spans="2:6" x14ac:dyDescent="0.2">
      <c r="B3518" s="12"/>
      <c r="C3518" s="12"/>
      <c r="D3518" s="17" t="str">
        <f t="shared" si="165"/>
        <v/>
      </c>
      <c r="E3518" s="18" t="str">
        <f t="shared" si="163"/>
        <v/>
      </c>
      <c r="F3518" s="17" t="str">
        <f t="shared" si="164"/>
        <v/>
      </c>
    </row>
    <row r="3519" spans="2:6" x14ac:dyDescent="0.2">
      <c r="B3519" s="12"/>
      <c r="C3519" s="12"/>
      <c r="D3519" s="17" t="str">
        <f t="shared" si="165"/>
        <v/>
      </c>
      <c r="E3519" s="18" t="str">
        <f t="shared" si="163"/>
        <v/>
      </c>
      <c r="F3519" s="17" t="str">
        <f t="shared" si="164"/>
        <v/>
      </c>
    </row>
    <row r="3520" spans="2:6" x14ac:dyDescent="0.2">
      <c r="B3520" s="12"/>
      <c r="C3520" s="12"/>
      <c r="D3520" s="17" t="str">
        <f t="shared" si="165"/>
        <v/>
      </c>
      <c r="E3520" s="18" t="str">
        <f t="shared" si="163"/>
        <v/>
      </c>
      <c r="F3520" s="17" t="str">
        <f t="shared" si="164"/>
        <v/>
      </c>
    </row>
    <row r="3521" spans="2:6" x14ac:dyDescent="0.2">
      <c r="B3521" s="12"/>
      <c r="C3521" s="12"/>
      <c r="D3521" s="17" t="str">
        <f t="shared" si="165"/>
        <v/>
      </c>
      <c r="E3521" s="18" t="str">
        <f t="shared" si="163"/>
        <v/>
      </c>
      <c r="F3521" s="17" t="str">
        <f t="shared" si="164"/>
        <v/>
      </c>
    </row>
    <row r="3522" spans="2:6" x14ac:dyDescent="0.2">
      <c r="B3522" s="12"/>
      <c r="C3522" s="12"/>
      <c r="D3522" s="17" t="str">
        <f t="shared" si="165"/>
        <v/>
      </c>
      <c r="E3522" s="18" t="str">
        <f t="shared" si="163"/>
        <v/>
      </c>
      <c r="F3522" s="17" t="str">
        <f t="shared" si="164"/>
        <v/>
      </c>
    </row>
    <row r="3523" spans="2:6" x14ac:dyDescent="0.2">
      <c r="B3523" s="12"/>
      <c r="C3523" s="12"/>
      <c r="D3523" s="17" t="str">
        <f t="shared" si="165"/>
        <v/>
      </c>
      <c r="E3523" s="18" t="str">
        <f t="shared" si="163"/>
        <v/>
      </c>
      <c r="F3523" s="17" t="str">
        <f t="shared" si="164"/>
        <v/>
      </c>
    </row>
    <row r="3524" spans="2:6" x14ac:dyDescent="0.2">
      <c r="B3524" s="12"/>
      <c r="C3524" s="12"/>
      <c r="D3524" s="17" t="str">
        <f t="shared" si="165"/>
        <v/>
      </c>
      <c r="E3524" s="18" t="str">
        <f t="shared" si="163"/>
        <v/>
      </c>
      <c r="F3524" s="17" t="str">
        <f t="shared" si="164"/>
        <v/>
      </c>
    </row>
    <row r="3525" spans="2:6" x14ac:dyDescent="0.2">
      <c r="B3525" s="12"/>
      <c r="C3525" s="12"/>
      <c r="D3525" s="17" t="str">
        <f t="shared" si="165"/>
        <v/>
      </c>
      <c r="E3525" s="18" t="str">
        <f t="shared" ref="E3525:E3588" si="166">IF(B3525="","",ABS(C3525-D3525))</f>
        <v/>
      </c>
      <c r="F3525" s="17" t="str">
        <f t="shared" ref="F3525:F3588" si="167">IF(B3525="","",E3525^2)</f>
        <v/>
      </c>
    </row>
    <row r="3526" spans="2:6" x14ac:dyDescent="0.2">
      <c r="B3526" s="12"/>
      <c r="C3526" s="12"/>
      <c r="D3526" s="17" t="str">
        <f t="shared" si="165"/>
        <v/>
      </c>
      <c r="E3526" s="18" t="str">
        <f t="shared" si="166"/>
        <v/>
      </c>
      <c r="F3526" s="17" t="str">
        <f t="shared" si="167"/>
        <v/>
      </c>
    </row>
    <row r="3527" spans="2:6" x14ac:dyDescent="0.2">
      <c r="B3527" s="12"/>
      <c r="C3527" s="12"/>
      <c r="D3527" s="17" t="str">
        <f t="shared" si="165"/>
        <v/>
      </c>
      <c r="E3527" s="18" t="str">
        <f t="shared" si="166"/>
        <v/>
      </c>
      <c r="F3527" s="17" t="str">
        <f t="shared" si="167"/>
        <v/>
      </c>
    </row>
    <row r="3528" spans="2:6" x14ac:dyDescent="0.2">
      <c r="B3528" s="12"/>
      <c r="C3528" s="12"/>
      <c r="D3528" s="17" t="str">
        <f t="shared" si="165"/>
        <v/>
      </c>
      <c r="E3528" s="18" t="str">
        <f t="shared" si="166"/>
        <v/>
      </c>
      <c r="F3528" s="17" t="str">
        <f t="shared" si="167"/>
        <v/>
      </c>
    </row>
    <row r="3529" spans="2:6" x14ac:dyDescent="0.2">
      <c r="B3529" s="12"/>
      <c r="C3529" s="12"/>
      <c r="D3529" s="17" t="str">
        <f t="shared" si="165"/>
        <v/>
      </c>
      <c r="E3529" s="18" t="str">
        <f t="shared" si="166"/>
        <v/>
      </c>
      <c r="F3529" s="17" t="str">
        <f t="shared" si="167"/>
        <v/>
      </c>
    </row>
    <row r="3530" spans="2:6" x14ac:dyDescent="0.2">
      <c r="B3530" s="12"/>
      <c r="C3530" s="12"/>
      <c r="D3530" s="17" t="str">
        <f t="shared" si="165"/>
        <v/>
      </c>
      <c r="E3530" s="18" t="str">
        <f t="shared" si="166"/>
        <v/>
      </c>
      <c r="F3530" s="17" t="str">
        <f t="shared" si="167"/>
        <v/>
      </c>
    </row>
    <row r="3531" spans="2:6" x14ac:dyDescent="0.2">
      <c r="B3531" s="12"/>
      <c r="C3531" s="12"/>
      <c r="D3531" s="17" t="str">
        <f t="shared" si="165"/>
        <v/>
      </c>
      <c r="E3531" s="18" t="str">
        <f t="shared" si="166"/>
        <v/>
      </c>
      <c r="F3531" s="17" t="str">
        <f t="shared" si="167"/>
        <v/>
      </c>
    </row>
    <row r="3532" spans="2:6" x14ac:dyDescent="0.2">
      <c r="B3532" s="12"/>
      <c r="C3532" s="12"/>
      <c r="D3532" s="17" t="str">
        <f t="shared" si="165"/>
        <v/>
      </c>
      <c r="E3532" s="18" t="str">
        <f t="shared" si="166"/>
        <v/>
      </c>
      <c r="F3532" s="17" t="str">
        <f t="shared" si="167"/>
        <v/>
      </c>
    </row>
    <row r="3533" spans="2:6" x14ac:dyDescent="0.2">
      <c r="B3533" s="12"/>
      <c r="C3533" s="12"/>
      <c r="D3533" s="17" t="str">
        <f t="shared" si="165"/>
        <v/>
      </c>
      <c r="E3533" s="18" t="str">
        <f t="shared" si="166"/>
        <v/>
      </c>
      <c r="F3533" s="17" t="str">
        <f t="shared" si="167"/>
        <v/>
      </c>
    </row>
    <row r="3534" spans="2:6" x14ac:dyDescent="0.2">
      <c r="B3534" s="12"/>
      <c r="C3534" s="12"/>
      <c r="D3534" s="17" t="str">
        <f t="shared" si="165"/>
        <v/>
      </c>
      <c r="E3534" s="18" t="str">
        <f t="shared" si="166"/>
        <v/>
      </c>
      <c r="F3534" s="17" t="str">
        <f t="shared" si="167"/>
        <v/>
      </c>
    </row>
    <row r="3535" spans="2:6" x14ac:dyDescent="0.2">
      <c r="B3535" s="12"/>
      <c r="C3535" s="12"/>
      <c r="D3535" s="17" t="str">
        <f t="shared" si="165"/>
        <v/>
      </c>
      <c r="E3535" s="18" t="str">
        <f t="shared" si="166"/>
        <v/>
      </c>
      <c r="F3535" s="17" t="str">
        <f t="shared" si="167"/>
        <v/>
      </c>
    </row>
    <row r="3536" spans="2:6" x14ac:dyDescent="0.2">
      <c r="B3536" s="12"/>
      <c r="C3536" s="12"/>
      <c r="D3536" s="17" t="str">
        <f t="shared" si="165"/>
        <v/>
      </c>
      <c r="E3536" s="18" t="str">
        <f t="shared" si="166"/>
        <v/>
      </c>
      <c r="F3536" s="17" t="str">
        <f t="shared" si="167"/>
        <v/>
      </c>
    </row>
    <row r="3537" spans="2:6" x14ac:dyDescent="0.2">
      <c r="B3537" s="12"/>
      <c r="C3537" s="12"/>
      <c r="D3537" s="17" t="str">
        <f t="shared" si="165"/>
        <v/>
      </c>
      <c r="E3537" s="18" t="str">
        <f t="shared" si="166"/>
        <v/>
      </c>
      <c r="F3537" s="17" t="str">
        <f t="shared" si="167"/>
        <v/>
      </c>
    </row>
    <row r="3538" spans="2:6" x14ac:dyDescent="0.2">
      <c r="B3538" s="12"/>
      <c r="C3538" s="12"/>
      <c r="D3538" s="17" t="str">
        <f t="shared" ref="D3538:D3601" si="168">IF(B3538="","",a+b*B3538)</f>
        <v/>
      </c>
      <c r="E3538" s="18" t="str">
        <f t="shared" si="166"/>
        <v/>
      </c>
      <c r="F3538" s="17" t="str">
        <f t="shared" si="167"/>
        <v/>
      </c>
    </row>
    <row r="3539" spans="2:6" x14ac:dyDescent="0.2">
      <c r="B3539" s="12"/>
      <c r="C3539" s="12"/>
      <c r="D3539" s="17" t="str">
        <f t="shared" si="168"/>
        <v/>
      </c>
      <c r="E3539" s="18" t="str">
        <f t="shared" si="166"/>
        <v/>
      </c>
      <c r="F3539" s="17" t="str">
        <f t="shared" si="167"/>
        <v/>
      </c>
    </row>
    <row r="3540" spans="2:6" x14ac:dyDescent="0.2">
      <c r="B3540" s="12"/>
      <c r="C3540" s="12"/>
      <c r="D3540" s="17" t="str">
        <f t="shared" si="168"/>
        <v/>
      </c>
      <c r="E3540" s="18" t="str">
        <f t="shared" si="166"/>
        <v/>
      </c>
      <c r="F3540" s="17" t="str">
        <f t="shared" si="167"/>
        <v/>
      </c>
    </row>
    <row r="3541" spans="2:6" x14ac:dyDescent="0.2">
      <c r="B3541" s="12"/>
      <c r="C3541" s="12"/>
      <c r="D3541" s="17" t="str">
        <f t="shared" si="168"/>
        <v/>
      </c>
      <c r="E3541" s="18" t="str">
        <f t="shared" si="166"/>
        <v/>
      </c>
      <c r="F3541" s="17" t="str">
        <f t="shared" si="167"/>
        <v/>
      </c>
    </row>
    <row r="3542" spans="2:6" x14ac:dyDescent="0.2">
      <c r="B3542" s="12"/>
      <c r="C3542" s="12"/>
      <c r="D3542" s="17" t="str">
        <f t="shared" si="168"/>
        <v/>
      </c>
      <c r="E3542" s="18" t="str">
        <f t="shared" si="166"/>
        <v/>
      </c>
      <c r="F3542" s="17" t="str">
        <f t="shared" si="167"/>
        <v/>
      </c>
    </row>
    <row r="3543" spans="2:6" x14ac:dyDescent="0.2">
      <c r="B3543" s="12"/>
      <c r="C3543" s="12"/>
      <c r="D3543" s="17" t="str">
        <f t="shared" si="168"/>
        <v/>
      </c>
      <c r="E3543" s="18" t="str">
        <f t="shared" si="166"/>
        <v/>
      </c>
      <c r="F3543" s="17" t="str">
        <f t="shared" si="167"/>
        <v/>
      </c>
    </row>
    <row r="3544" spans="2:6" x14ac:dyDescent="0.2">
      <c r="B3544" s="12"/>
      <c r="C3544" s="12"/>
      <c r="D3544" s="17" t="str">
        <f t="shared" si="168"/>
        <v/>
      </c>
      <c r="E3544" s="18" t="str">
        <f t="shared" si="166"/>
        <v/>
      </c>
      <c r="F3544" s="17" t="str">
        <f t="shared" si="167"/>
        <v/>
      </c>
    </row>
    <row r="3545" spans="2:6" x14ac:dyDescent="0.2">
      <c r="B3545" s="12"/>
      <c r="C3545" s="12"/>
      <c r="D3545" s="17" t="str">
        <f t="shared" si="168"/>
        <v/>
      </c>
      <c r="E3545" s="18" t="str">
        <f t="shared" si="166"/>
        <v/>
      </c>
      <c r="F3545" s="17" t="str">
        <f t="shared" si="167"/>
        <v/>
      </c>
    </row>
    <row r="3546" spans="2:6" x14ac:dyDescent="0.2">
      <c r="B3546" s="12"/>
      <c r="C3546" s="12"/>
      <c r="D3546" s="17" t="str">
        <f t="shared" si="168"/>
        <v/>
      </c>
      <c r="E3546" s="18" t="str">
        <f t="shared" si="166"/>
        <v/>
      </c>
      <c r="F3546" s="17" t="str">
        <f t="shared" si="167"/>
        <v/>
      </c>
    </row>
    <row r="3547" spans="2:6" x14ac:dyDescent="0.2">
      <c r="B3547" s="12"/>
      <c r="C3547" s="12"/>
      <c r="D3547" s="17" t="str">
        <f t="shared" si="168"/>
        <v/>
      </c>
      <c r="E3547" s="18" t="str">
        <f t="shared" si="166"/>
        <v/>
      </c>
      <c r="F3547" s="17" t="str">
        <f t="shared" si="167"/>
        <v/>
      </c>
    </row>
    <row r="3548" spans="2:6" x14ac:dyDescent="0.2">
      <c r="B3548" s="12"/>
      <c r="C3548" s="12"/>
      <c r="D3548" s="17" t="str">
        <f t="shared" si="168"/>
        <v/>
      </c>
      <c r="E3548" s="18" t="str">
        <f t="shared" si="166"/>
        <v/>
      </c>
      <c r="F3548" s="17" t="str">
        <f t="shared" si="167"/>
        <v/>
      </c>
    </row>
    <row r="3549" spans="2:6" x14ac:dyDescent="0.2">
      <c r="B3549" s="12"/>
      <c r="C3549" s="12"/>
      <c r="D3549" s="17" t="str">
        <f t="shared" si="168"/>
        <v/>
      </c>
      <c r="E3549" s="18" t="str">
        <f t="shared" si="166"/>
        <v/>
      </c>
      <c r="F3549" s="17" t="str">
        <f t="shared" si="167"/>
        <v/>
      </c>
    </row>
    <row r="3550" spans="2:6" x14ac:dyDescent="0.2">
      <c r="B3550" s="12"/>
      <c r="C3550" s="12"/>
      <c r="D3550" s="17" t="str">
        <f t="shared" si="168"/>
        <v/>
      </c>
      <c r="E3550" s="18" t="str">
        <f t="shared" si="166"/>
        <v/>
      </c>
      <c r="F3550" s="17" t="str">
        <f t="shared" si="167"/>
        <v/>
      </c>
    </row>
    <row r="3551" spans="2:6" x14ac:dyDescent="0.2">
      <c r="B3551" s="12"/>
      <c r="C3551" s="12"/>
      <c r="D3551" s="17" t="str">
        <f t="shared" si="168"/>
        <v/>
      </c>
      <c r="E3551" s="18" t="str">
        <f t="shared" si="166"/>
        <v/>
      </c>
      <c r="F3551" s="17" t="str">
        <f t="shared" si="167"/>
        <v/>
      </c>
    </row>
    <row r="3552" spans="2:6" x14ac:dyDescent="0.2">
      <c r="B3552" s="12"/>
      <c r="C3552" s="12"/>
      <c r="D3552" s="17" t="str">
        <f t="shared" si="168"/>
        <v/>
      </c>
      <c r="E3552" s="18" t="str">
        <f t="shared" si="166"/>
        <v/>
      </c>
      <c r="F3552" s="17" t="str">
        <f t="shared" si="167"/>
        <v/>
      </c>
    </row>
    <row r="3553" spans="2:6" x14ac:dyDescent="0.2">
      <c r="B3553" s="12"/>
      <c r="C3553" s="12"/>
      <c r="D3553" s="17" t="str">
        <f t="shared" si="168"/>
        <v/>
      </c>
      <c r="E3553" s="18" t="str">
        <f t="shared" si="166"/>
        <v/>
      </c>
      <c r="F3553" s="17" t="str">
        <f t="shared" si="167"/>
        <v/>
      </c>
    </row>
    <row r="3554" spans="2:6" x14ac:dyDescent="0.2">
      <c r="B3554" s="12"/>
      <c r="C3554" s="12"/>
      <c r="D3554" s="17" t="str">
        <f t="shared" si="168"/>
        <v/>
      </c>
      <c r="E3554" s="18" t="str">
        <f t="shared" si="166"/>
        <v/>
      </c>
      <c r="F3554" s="17" t="str">
        <f t="shared" si="167"/>
        <v/>
      </c>
    </row>
    <row r="3555" spans="2:6" x14ac:dyDescent="0.2">
      <c r="B3555" s="12"/>
      <c r="C3555" s="12"/>
      <c r="D3555" s="17" t="str">
        <f t="shared" si="168"/>
        <v/>
      </c>
      <c r="E3555" s="18" t="str">
        <f t="shared" si="166"/>
        <v/>
      </c>
      <c r="F3555" s="17" t="str">
        <f t="shared" si="167"/>
        <v/>
      </c>
    </row>
    <row r="3556" spans="2:6" x14ac:dyDescent="0.2">
      <c r="B3556" s="12"/>
      <c r="C3556" s="12"/>
      <c r="D3556" s="17" t="str">
        <f t="shared" si="168"/>
        <v/>
      </c>
      <c r="E3556" s="18" t="str">
        <f t="shared" si="166"/>
        <v/>
      </c>
      <c r="F3556" s="17" t="str">
        <f t="shared" si="167"/>
        <v/>
      </c>
    </row>
    <row r="3557" spans="2:6" x14ac:dyDescent="0.2">
      <c r="B3557" s="12"/>
      <c r="C3557" s="12"/>
      <c r="D3557" s="17" t="str">
        <f t="shared" si="168"/>
        <v/>
      </c>
      <c r="E3557" s="18" t="str">
        <f t="shared" si="166"/>
        <v/>
      </c>
      <c r="F3557" s="17" t="str">
        <f t="shared" si="167"/>
        <v/>
      </c>
    </row>
    <row r="3558" spans="2:6" x14ac:dyDescent="0.2">
      <c r="B3558" s="12"/>
      <c r="C3558" s="12"/>
      <c r="D3558" s="17" t="str">
        <f t="shared" si="168"/>
        <v/>
      </c>
      <c r="E3558" s="18" t="str">
        <f t="shared" si="166"/>
        <v/>
      </c>
      <c r="F3558" s="17" t="str">
        <f t="shared" si="167"/>
        <v/>
      </c>
    </row>
    <row r="3559" spans="2:6" x14ac:dyDescent="0.2">
      <c r="B3559" s="12"/>
      <c r="C3559" s="12"/>
      <c r="D3559" s="17" t="str">
        <f t="shared" si="168"/>
        <v/>
      </c>
      <c r="E3559" s="18" t="str">
        <f t="shared" si="166"/>
        <v/>
      </c>
      <c r="F3559" s="17" t="str">
        <f t="shared" si="167"/>
        <v/>
      </c>
    </row>
    <row r="3560" spans="2:6" x14ac:dyDescent="0.2">
      <c r="B3560" s="12"/>
      <c r="C3560" s="12"/>
      <c r="D3560" s="17" t="str">
        <f t="shared" si="168"/>
        <v/>
      </c>
      <c r="E3560" s="18" t="str">
        <f t="shared" si="166"/>
        <v/>
      </c>
      <c r="F3560" s="17" t="str">
        <f t="shared" si="167"/>
        <v/>
      </c>
    </row>
    <row r="3561" spans="2:6" x14ac:dyDescent="0.2">
      <c r="B3561" s="12"/>
      <c r="C3561" s="12"/>
      <c r="D3561" s="17" t="str">
        <f t="shared" si="168"/>
        <v/>
      </c>
      <c r="E3561" s="18" t="str">
        <f t="shared" si="166"/>
        <v/>
      </c>
      <c r="F3561" s="17" t="str">
        <f t="shared" si="167"/>
        <v/>
      </c>
    </row>
    <row r="3562" spans="2:6" x14ac:dyDescent="0.2">
      <c r="B3562" s="12"/>
      <c r="C3562" s="12"/>
      <c r="D3562" s="17" t="str">
        <f t="shared" si="168"/>
        <v/>
      </c>
      <c r="E3562" s="18" t="str">
        <f t="shared" si="166"/>
        <v/>
      </c>
      <c r="F3562" s="17" t="str">
        <f t="shared" si="167"/>
        <v/>
      </c>
    </row>
    <row r="3563" spans="2:6" x14ac:dyDescent="0.2">
      <c r="B3563" s="12"/>
      <c r="C3563" s="12"/>
      <c r="D3563" s="17" t="str">
        <f t="shared" si="168"/>
        <v/>
      </c>
      <c r="E3563" s="18" t="str">
        <f t="shared" si="166"/>
        <v/>
      </c>
      <c r="F3563" s="17" t="str">
        <f t="shared" si="167"/>
        <v/>
      </c>
    </row>
    <row r="3564" spans="2:6" x14ac:dyDescent="0.2">
      <c r="B3564" s="12"/>
      <c r="C3564" s="12"/>
      <c r="D3564" s="17" t="str">
        <f t="shared" si="168"/>
        <v/>
      </c>
      <c r="E3564" s="18" t="str">
        <f t="shared" si="166"/>
        <v/>
      </c>
      <c r="F3564" s="17" t="str">
        <f t="shared" si="167"/>
        <v/>
      </c>
    </row>
    <row r="3565" spans="2:6" x14ac:dyDescent="0.2">
      <c r="B3565" s="12"/>
      <c r="C3565" s="12"/>
      <c r="D3565" s="17" t="str">
        <f t="shared" si="168"/>
        <v/>
      </c>
      <c r="E3565" s="18" t="str">
        <f t="shared" si="166"/>
        <v/>
      </c>
      <c r="F3565" s="17" t="str">
        <f t="shared" si="167"/>
        <v/>
      </c>
    </row>
    <row r="3566" spans="2:6" x14ac:dyDescent="0.2">
      <c r="B3566" s="12"/>
      <c r="C3566" s="12"/>
      <c r="D3566" s="17" t="str">
        <f t="shared" si="168"/>
        <v/>
      </c>
      <c r="E3566" s="18" t="str">
        <f t="shared" si="166"/>
        <v/>
      </c>
      <c r="F3566" s="17" t="str">
        <f t="shared" si="167"/>
        <v/>
      </c>
    </row>
    <row r="3567" spans="2:6" x14ac:dyDescent="0.2">
      <c r="B3567" s="12"/>
      <c r="C3567" s="12"/>
      <c r="D3567" s="17" t="str">
        <f t="shared" si="168"/>
        <v/>
      </c>
      <c r="E3567" s="18" t="str">
        <f t="shared" si="166"/>
        <v/>
      </c>
      <c r="F3567" s="17" t="str">
        <f t="shared" si="167"/>
        <v/>
      </c>
    </row>
    <row r="3568" spans="2:6" x14ac:dyDescent="0.2">
      <c r="B3568" s="12"/>
      <c r="C3568" s="12"/>
      <c r="D3568" s="17" t="str">
        <f t="shared" si="168"/>
        <v/>
      </c>
      <c r="E3568" s="18" t="str">
        <f t="shared" si="166"/>
        <v/>
      </c>
      <c r="F3568" s="17" t="str">
        <f t="shared" si="167"/>
        <v/>
      </c>
    </row>
    <row r="3569" spans="2:6" x14ac:dyDescent="0.2">
      <c r="B3569" s="12"/>
      <c r="C3569" s="12"/>
      <c r="D3569" s="17" t="str">
        <f t="shared" si="168"/>
        <v/>
      </c>
      <c r="E3569" s="18" t="str">
        <f t="shared" si="166"/>
        <v/>
      </c>
      <c r="F3569" s="17" t="str">
        <f t="shared" si="167"/>
        <v/>
      </c>
    </row>
    <row r="3570" spans="2:6" x14ac:dyDescent="0.2">
      <c r="B3570" s="12"/>
      <c r="C3570" s="12"/>
      <c r="D3570" s="17" t="str">
        <f t="shared" si="168"/>
        <v/>
      </c>
      <c r="E3570" s="18" t="str">
        <f t="shared" si="166"/>
        <v/>
      </c>
      <c r="F3570" s="17" t="str">
        <f t="shared" si="167"/>
        <v/>
      </c>
    </row>
    <row r="3571" spans="2:6" x14ac:dyDescent="0.2">
      <c r="B3571" s="12"/>
      <c r="C3571" s="12"/>
      <c r="D3571" s="17" t="str">
        <f t="shared" si="168"/>
        <v/>
      </c>
      <c r="E3571" s="18" t="str">
        <f t="shared" si="166"/>
        <v/>
      </c>
      <c r="F3571" s="17" t="str">
        <f t="shared" si="167"/>
        <v/>
      </c>
    </row>
    <row r="3572" spans="2:6" x14ac:dyDescent="0.2">
      <c r="B3572" s="12"/>
      <c r="C3572" s="12"/>
      <c r="D3572" s="17" t="str">
        <f t="shared" si="168"/>
        <v/>
      </c>
      <c r="E3572" s="18" t="str">
        <f t="shared" si="166"/>
        <v/>
      </c>
      <c r="F3572" s="17" t="str">
        <f t="shared" si="167"/>
        <v/>
      </c>
    </row>
    <row r="3573" spans="2:6" x14ac:dyDescent="0.2">
      <c r="B3573" s="12"/>
      <c r="C3573" s="12"/>
      <c r="D3573" s="17" t="str">
        <f t="shared" si="168"/>
        <v/>
      </c>
      <c r="E3573" s="18" t="str">
        <f t="shared" si="166"/>
        <v/>
      </c>
      <c r="F3573" s="17" t="str">
        <f t="shared" si="167"/>
        <v/>
      </c>
    </row>
    <row r="3574" spans="2:6" x14ac:dyDescent="0.2">
      <c r="B3574" s="12"/>
      <c r="C3574" s="12"/>
      <c r="D3574" s="17" t="str">
        <f t="shared" si="168"/>
        <v/>
      </c>
      <c r="E3574" s="18" t="str">
        <f t="shared" si="166"/>
        <v/>
      </c>
      <c r="F3574" s="17" t="str">
        <f t="shared" si="167"/>
        <v/>
      </c>
    </row>
    <row r="3575" spans="2:6" x14ac:dyDescent="0.2">
      <c r="B3575" s="12"/>
      <c r="C3575" s="12"/>
      <c r="D3575" s="17" t="str">
        <f t="shared" si="168"/>
        <v/>
      </c>
      <c r="E3575" s="18" t="str">
        <f t="shared" si="166"/>
        <v/>
      </c>
      <c r="F3575" s="17" t="str">
        <f t="shared" si="167"/>
        <v/>
      </c>
    </row>
    <row r="3576" spans="2:6" x14ac:dyDescent="0.2">
      <c r="B3576" s="12"/>
      <c r="C3576" s="12"/>
      <c r="D3576" s="17" t="str">
        <f t="shared" si="168"/>
        <v/>
      </c>
      <c r="E3576" s="18" t="str">
        <f t="shared" si="166"/>
        <v/>
      </c>
      <c r="F3576" s="17" t="str">
        <f t="shared" si="167"/>
        <v/>
      </c>
    </row>
    <row r="3577" spans="2:6" x14ac:dyDescent="0.2">
      <c r="B3577" s="12"/>
      <c r="C3577" s="12"/>
      <c r="D3577" s="17" t="str">
        <f t="shared" si="168"/>
        <v/>
      </c>
      <c r="E3577" s="18" t="str">
        <f t="shared" si="166"/>
        <v/>
      </c>
      <c r="F3577" s="17" t="str">
        <f t="shared" si="167"/>
        <v/>
      </c>
    </row>
    <row r="3578" spans="2:6" x14ac:dyDescent="0.2">
      <c r="B3578" s="12"/>
      <c r="C3578" s="12"/>
      <c r="D3578" s="17" t="str">
        <f t="shared" si="168"/>
        <v/>
      </c>
      <c r="E3578" s="18" t="str">
        <f t="shared" si="166"/>
        <v/>
      </c>
      <c r="F3578" s="17" t="str">
        <f t="shared" si="167"/>
        <v/>
      </c>
    </row>
    <row r="3579" spans="2:6" x14ac:dyDescent="0.2">
      <c r="B3579" s="12"/>
      <c r="C3579" s="12"/>
      <c r="D3579" s="17" t="str">
        <f t="shared" si="168"/>
        <v/>
      </c>
      <c r="E3579" s="18" t="str">
        <f t="shared" si="166"/>
        <v/>
      </c>
      <c r="F3579" s="17" t="str">
        <f t="shared" si="167"/>
        <v/>
      </c>
    </row>
    <row r="3580" spans="2:6" x14ac:dyDescent="0.2">
      <c r="B3580" s="12"/>
      <c r="C3580" s="12"/>
      <c r="D3580" s="17" t="str">
        <f t="shared" si="168"/>
        <v/>
      </c>
      <c r="E3580" s="18" t="str">
        <f t="shared" si="166"/>
        <v/>
      </c>
      <c r="F3580" s="17" t="str">
        <f t="shared" si="167"/>
        <v/>
      </c>
    </row>
    <row r="3581" spans="2:6" x14ac:dyDescent="0.2">
      <c r="B3581" s="12"/>
      <c r="C3581" s="12"/>
      <c r="D3581" s="17" t="str">
        <f t="shared" si="168"/>
        <v/>
      </c>
      <c r="E3581" s="18" t="str">
        <f t="shared" si="166"/>
        <v/>
      </c>
      <c r="F3581" s="17" t="str">
        <f t="shared" si="167"/>
        <v/>
      </c>
    </row>
    <row r="3582" spans="2:6" x14ac:dyDescent="0.2">
      <c r="B3582" s="12"/>
      <c r="C3582" s="12"/>
      <c r="D3582" s="17" t="str">
        <f t="shared" si="168"/>
        <v/>
      </c>
      <c r="E3582" s="18" t="str">
        <f t="shared" si="166"/>
        <v/>
      </c>
      <c r="F3582" s="17" t="str">
        <f t="shared" si="167"/>
        <v/>
      </c>
    </row>
    <row r="3583" spans="2:6" x14ac:dyDescent="0.2">
      <c r="B3583" s="12"/>
      <c r="C3583" s="12"/>
      <c r="D3583" s="17" t="str">
        <f t="shared" si="168"/>
        <v/>
      </c>
      <c r="E3583" s="18" t="str">
        <f t="shared" si="166"/>
        <v/>
      </c>
      <c r="F3583" s="17" t="str">
        <f t="shared" si="167"/>
        <v/>
      </c>
    </row>
    <row r="3584" spans="2:6" x14ac:dyDescent="0.2">
      <c r="B3584" s="12"/>
      <c r="C3584" s="12"/>
      <c r="D3584" s="17" t="str">
        <f t="shared" si="168"/>
        <v/>
      </c>
      <c r="E3584" s="18" t="str">
        <f t="shared" si="166"/>
        <v/>
      </c>
      <c r="F3584" s="17" t="str">
        <f t="shared" si="167"/>
        <v/>
      </c>
    </row>
    <row r="3585" spans="2:6" x14ac:dyDescent="0.2">
      <c r="B3585" s="12"/>
      <c r="C3585" s="12"/>
      <c r="D3585" s="17" t="str">
        <f t="shared" si="168"/>
        <v/>
      </c>
      <c r="E3585" s="18" t="str">
        <f t="shared" si="166"/>
        <v/>
      </c>
      <c r="F3585" s="17" t="str">
        <f t="shared" si="167"/>
        <v/>
      </c>
    </row>
    <row r="3586" spans="2:6" x14ac:dyDescent="0.2">
      <c r="B3586" s="12"/>
      <c r="C3586" s="12"/>
      <c r="D3586" s="17" t="str">
        <f t="shared" si="168"/>
        <v/>
      </c>
      <c r="E3586" s="18" t="str">
        <f t="shared" si="166"/>
        <v/>
      </c>
      <c r="F3586" s="17" t="str">
        <f t="shared" si="167"/>
        <v/>
      </c>
    </row>
    <row r="3587" spans="2:6" x14ac:dyDescent="0.2">
      <c r="B3587" s="12"/>
      <c r="C3587" s="12"/>
      <c r="D3587" s="17" t="str">
        <f t="shared" si="168"/>
        <v/>
      </c>
      <c r="E3587" s="18" t="str">
        <f t="shared" si="166"/>
        <v/>
      </c>
      <c r="F3587" s="17" t="str">
        <f t="shared" si="167"/>
        <v/>
      </c>
    </row>
    <row r="3588" spans="2:6" x14ac:dyDescent="0.2">
      <c r="B3588" s="12"/>
      <c r="C3588" s="12"/>
      <c r="D3588" s="17" t="str">
        <f t="shared" si="168"/>
        <v/>
      </c>
      <c r="E3588" s="18" t="str">
        <f t="shared" si="166"/>
        <v/>
      </c>
      <c r="F3588" s="17" t="str">
        <f t="shared" si="167"/>
        <v/>
      </c>
    </row>
    <row r="3589" spans="2:6" x14ac:dyDescent="0.2">
      <c r="B3589" s="12"/>
      <c r="C3589" s="12"/>
      <c r="D3589" s="17" t="str">
        <f t="shared" si="168"/>
        <v/>
      </c>
      <c r="E3589" s="18" t="str">
        <f t="shared" ref="E3589:E3652" si="169">IF(B3589="","",ABS(C3589-D3589))</f>
        <v/>
      </c>
      <c r="F3589" s="17" t="str">
        <f t="shared" ref="F3589:F3652" si="170">IF(B3589="","",E3589^2)</f>
        <v/>
      </c>
    </row>
    <row r="3590" spans="2:6" x14ac:dyDescent="0.2">
      <c r="B3590" s="12"/>
      <c r="C3590" s="12"/>
      <c r="D3590" s="17" t="str">
        <f t="shared" si="168"/>
        <v/>
      </c>
      <c r="E3590" s="18" t="str">
        <f t="shared" si="169"/>
        <v/>
      </c>
      <c r="F3590" s="17" t="str">
        <f t="shared" si="170"/>
        <v/>
      </c>
    </row>
    <row r="3591" spans="2:6" x14ac:dyDescent="0.2">
      <c r="B3591" s="12"/>
      <c r="C3591" s="12"/>
      <c r="D3591" s="17" t="str">
        <f t="shared" si="168"/>
        <v/>
      </c>
      <c r="E3591" s="18" t="str">
        <f t="shared" si="169"/>
        <v/>
      </c>
      <c r="F3591" s="17" t="str">
        <f t="shared" si="170"/>
        <v/>
      </c>
    </row>
    <row r="3592" spans="2:6" x14ac:dyDescent="0.2">
      <c r="B3592" s="12"/>
      <c r="C3592" s="12"/>
      <c r="D3592" s="17" t="str">
        <f t="shared" si="168"/>
        <v/>
      </c>
      <c r="E3592" s="18" t="str">
        <f t="shared" si="169"/>
        <v/>
      </c>
      <c r="F3592" s="17" t="str">
        <f t="shared" si="170"/>
        <v/>
      </c>
    </row>
    <row r="3593" spans="2:6" x14ac:dyDescent="0.2">
      <c r="B3593" s="12"/>
      <c r="C3593" s="12"/>
      <c r="D3593" s="17" t="str">
        <f t="shared" si="168"/>
        <v/>
      </c>
      <c r="E3593" s="18" t="str">
        <f t="shared" si="169"/>
        <v/>
      </c>
      <c r="F3593" s="17" t="str">
        <f t="shared" si="170"/>
        <v/>
      </c>
    </row>
    <row r="3594" spans="2:6" x14ac:dyDescent="0.2">
      <c r="B3594" s="12"/>
      <c r="C3594" s="12"/>
      <c r="D3594" s="17" t="str">
        <f t="shared" si="168"/>
        <v/>
      </c>
      <c r="E3594" s="18" t="str">
        <f t="shared" si="169"/>
        <v/>
      </c>
      <c r="F3594" s="17" t="str">
        <f t="shared" si="170"/>
        <v/>
      </c>
    </row>
    <row r="3595" spans="2:6" x14ac:dyDescent="0.2">
      <c r="B3595" s="12"/>
      <c r="C3595" s="12"/>
      <c r="D3595" s="17" t="str">
        <f t="shared" si="168"/>
        <v/>
      </c>
      <c r="E3595" s="18" t="str">
        <f t="shared" si="169"/>
        <v/>
      </c>
      <c r="F3595" s="17" t="str">
        <f t="shared" si="170"/>
        <v/>
      </c>
    </row>
    <row r="3596" spans="2:6" x14ac:dyDescent="0.2">
      <c r="B3596" s="12"/>
      <c r="C3596" s="12"/>
      <c r="D3596" s="17" t="str">
        <f t="shared" si="168"/>
        <v/>
      </c>
      <c r="E3596" s="18" t="str">
        <f t="shared" si="169"/>
        <v/>
      </c>
      <c r="F3596" s="17" t="str">
        <f t="shared" si="170"/>
        <v/>
      </c>
    </row>
    <row r="3597" spans="2:6" x14ac:dyDescent="0.2">
      <c r="B3597" s="12"/>
      <c r="C3597" s="12"/>
      <c r="D3597" s="17" t="str">
        <f t="shared" si="168"/>
        <v/>
      </c>
      <c r="E3597" s="18" t="str">
        <f t="shared" si="169"/>
        <v/>
      </c>
      <c r="F3597" s="17" t="str">
        <f t="shared" si="170"/>
        <v/>
      </c>
    </row>
    <row r="3598" spans="2:6" x14ac:dyDescent="0.2">
      <c r="B3598" s="12"/>
      <c r="C3598" s="12"/>
      <c r="D3598" s="17" t="str">
        <f t="shared" si="168"/>
        <v/>
      </c>
      <c r="E3598" s="18" t="str">
        <f t="shared" si="169"/>
        <v/>
      </c>
      <c r="F3598" s="17" t="str">
        <f t="shared" si="170"/>
        <v/>
      </c>
    </row>
    <row r="3599" spans="2:6" x14ac:dyDescent="0.2">
      <c r="B3599" s="12"/>
      <c r="C3599" s="12"/>
      <c r="D3599" s="17" t="str">
        <f t="shared" si="168"/>
        <v/>
      </c>
      <c r="E3599" s="18" t="str">
        <f t="shared" si="169"/>
        <v/>
      </c>
      <c r="F3599" s="17" t="str">
        <f t="shared" si="170"/>
        <v/>
      </c>
    </row>
    <row r="3600" spans="2:6" x14ac:dyDescent="0.2">
      <c r="B3600" s="12"/>
      <c r="C3600" s="12"/>
      <c r="D3600" s="17" t="str">
        <f t="shared" si="168"/>
        <v/>
      </c>
      <c r="E3600" s="18" t="str">
        <f t="shared" si="169"/>
        <v/>
      </c>
      <c r="F3600" s="17" t="str">
        <f t="shared" si="170"/>
        <v/>
      </c>
    </row>
    <row r="3601" spans="2:6" x14ac:dyDescent="0.2">
      <c r="B3601" s="12"/>
      <c r="C3601" s="12"/>
      <c r="D3601" s="17" t="str">
        <f t="shared" si="168"/>
        <v/>
      </c>
      <c r="E3601" s="18" t="str">
        <f t="shared" si="169"/>
        <v/>
      </c>
      <c r="F3601" s="17" t="str">
        <f t="shared" si="170"/>
        <v/>
      </c>
    </row>
    <row r="3602" spans="2:6" x14ac:dyDescent="0.2">
      <c r="B3602" s="12"/>
      <c r="C3602" s="12"/>
      <c r="D3602" s="17" t="str">
        <f t="shared" ref="D3602:D3665" si="171">IF(B3602="","",a+b*B3602)</f>
        <v/>
      </c>
      <c r="E3602" s="18" t="str">
        <f t="shared" si="169"/>
        <v/>
      </c>
      <c r="F3602" s="17" t="str">
        <f t="shared" si="170"/>
        <v/>
      </c>
    </row>
    <row r="3603" spans="2:6" x14ac:dyDescent="0.2">
      <c r="B3603" s="12"/>
      <c r="C3603" s="12"/>
      <c r="D3603" s="17" t="str">
        <f t="shared" si="171"/>
        <v/>
      </c>
      <c r="E3603" s="18" t="str">
        <f t="shared" si="169"/>
        <v/>
      </c>
      <c r="F3603" s="17" t="str">
        <f t="shared" si="170"/>
        <v/>
      </c>
    </row>
    <row r="3604" spans="2:6" x14ac:dyDescent="0.2">
      <c r="B3604" s="12"/>
      <c r="C3604" s="12"/>
      <c r="D3604" s="17" t="str">
        <f t="shared" si="171"/>
        <v/>
      </c>
      <c r="E3604" s="18" t="str">
        <f t="shared" si="169"/>
        <v/>
      </c>
      <c r="F3604" s="17" t="str">
        <f t="shared" si="170"/>
        <v/>
      </c>
    </row>
    <row r="3605" spans="2:6" x14ac:dyDescent="0.2">
      <c r="B3605" s="12"/>
      <c r="C3605" s="12"/>
      <c r="D3605" s="17" t="str">
        <f t="shared" si="171"/>
        <v/>
      </c>
      <c r="E3605" s="18" t="str">
        <f t="shared" si="169"/>
        <v/>
      </c>
      <c r="F3605" s="17" t="str">
        <f t="shared" si="170"/>
        <v/>
      </c>
    </row>
    <row r="3606" spans="2:6" x14ac:dyDescent="0.2">
      <c r="B3606" s="12"/>
      <c r="C3606" s="12"/>
      <c r="D3606" s="17" t="str">
        <f t="shared" si="171"/>
        <v/>
      </c>
      <c r="E3606" s="18" t="str">
        <f t="shared" si="169"/>
        <v/>
      </c>
      <c r="F3606" s="17" t="str">
        <f t="shared" si="170"/>
        <v/>
      </c>
    </row>
    <row r="3607" spans="2:6" x14ac:dyDescent="0.2">
      <c r="B3607" s="12"/>
      <c r="C3607" s="12"/>
      <c r="D3607" s="17" t="str">
        <f t="shared" si="171"/>
        <v/>
      </c>
      <c r="E3607" s="18" t="str">
        <f t="shared" si="169"/>
        <v/>
      </c>
      <c r="F3607" s="17" t="str">
        <f t="shared" si="170"/>
        <v/>
      </c>
    </row>
    <row r="3608" spans="2:6" x14ac:dyDescent="0.2">
      <c r="B3608" s="12"/>
      <c r="C3608" s="12"/>
      <c r="D3608" s="17" t="str">
        <f t="shared" si="171"/>
        <v/>
      </c>
      <c r="E3608" s="18" t="str">
        <f t="shared" si="169"/>
        <v/>
      </c>
      <c r="F3608" s="17" t="str">
        <f t="shared" si="170"/>
        <v/>
      </c>
    </row>
    <row r="3609" spans="2:6" x14ac:dyDescent="0.2">
      <c r="B3609" s="12"/>
      <c r="C3609" s="12"/>
      <c r="D3609" s="17" t="str">
        <f t="shared" si="171"/>
        <v/>
      </c>
      <c r="E3609" s="18" t="str">
        <f t="shared" si="169"/>
        <v/>
      </c>
      <c r="F3609" s="17" t="str">
        <f t="shared" si="170"/>
        <v/>
      </c>
    </row>
    <row r="3610" spans="2:6" x14ac:dyDescent="0.2">
      <c r="B3610" s="12"/>
      <c r="C3610" s="12"/>
      <c r="D3610" s="17" t="str">
        <f t="shared" si="171"/>
        <v/>
      </c>
      <c r="E3610" s="18" t="str">
        <f t="shared" si="169"/>
        <v/>
      </c>
      <c r="F3610" s="17" t="str">
        <f t="shared" si="170"/>
        <v/>
      </c>
    </row>
    <row r="3611" spans="2:6" x14ac:dyDescent="0.2">
      <c r="B3611" s="12"/>
      <c r="C3611" s="12"/>
      <c r="D3611" s="17" t="str">
        <f t="shared" si="171"/>
        <v/>
      </c>
      <c r="E3611" s="18" t="str">
        <f t="shared" si="169"/>
        <v/>
      </c>
      <c r="F3611" s="17" t="str">
        <f t="shared" si="170"/>
        <v/>
      </c>
    </row>
    <row r="3612" spans="2:6" x14ac:dyDescent="0.2">
      <c r="B3612" s="12"/>
      <c r="C3612" s="12"/>
      <c r="D3612" s="17" t="str">
        <f t="shared" si="171"/>
        <v/>
      </c>
      <c r="E3612" s="18" t="str">
        <f t="shared" si="169"/>
        <v/>
      </c>
      <c r="F3612" s="17" t="str">
        <f t="shared" si="170"/>
        <v/>
      </c>
    </row>
    <row r="3613" spans="2:6" x14ac:dyDescent="0.2">
      <c r="B3613" s="12"/>
      <c r="C3613" s="12"/>
      <c r="D3613" s="17" t="str">
        <f t="shared" si="171"/>
        <v/>
      </c>
      <c r="E3613" s="18" t="str">
        <f t="shared" si="169"/>
        <v/>
      </c>
      <c r="F3613" s="17" t="str">
        <f t="shared" si="170"/>
        <v/>
      </c>
    </row>
    <row r="3614" spans="2:6" x14ac:dyDescent="0.2">
      <c r="B3614" s="12"/>
      <c r="C3614" s="12"/>
      <c r="D3614" s="17" t="str">
        <f t="shared" si="171"/>
        <v/>
      </c>
      <c r="E3614" s="18" t="str">
        <f t="shared" si="169"/>
        <v/>
      </c>
      <c r="F3614" s="17" t="str">
        <f t="shared" si="170"/>
        <v/>
      </c>
    </row>
    <row r="3615" spans="2:6" x14ac:dyDescent="0.2">
      <c r="B3615" s="12"/>
      <c r="C3615" s="12"/>
      <c r="D3615" s="17" t="str">
        <f t="shared" si="171"/>
        <v/>
      </c>
      <c r="E3615" s="18" t="str">
        <f t="shared" si="169"/>
        <v/>
      </c>
      <c r="F3615" s="17" t="str">
        <f t="shared" si="170"/>
        <v/>
      </c>
    </row>
    <row r="3616" spans="2:6" x14ac:dyDescent="0.2">
      <c r="B3616" s="12"/>
      <c r="C3616" s="12"/>
      <c r="D3616" s="17" t="str">
        <f t="shared" si="171"/>
        <v/>
      </c>
      <c r="E3616" s="18" t="str">
        <f t="shared" si="169"/>
        <v/>
      </c>
      <c r="F3616" s="17" t="str">
        <f t="shared" si="170"/>
        <v/>
      </c>
    </row>
    <row r="3617" spans="2:6" x14ac:dyDescent="0.2">
      <c r="B3617" s="12"/>
      <c r="C3617" s="12"/>
      <c r="D3617" s="17" t="str">
        <f t="shared" si="171"/>
        <v/>
      </c>
      <c r="E3617" s="18" t="str">
        <f t="shared" si="169"/>
        <v/>
      </c>
      <c r="F3617" s="17" t="str">
        <f t="shared" si="170"/>
        <v/>
      </c>
    </row>
    <row r="3618" spans="2:6" x14ac:dyDescent="0.2">
      <c r="B3618" s="12"/>
      <c r="C3618" s="12"/>
      <c r="D3618" s="17" t="str">
        <f t="shared" si="171"/>
        <v/>
      </c>
      <c r="E3618" s="18" t="str">
        <f t="shared" si="169"/>
        <v/>
      </c>
      <c r="F3618" s="17" t="str">
        <f t="shared" si="170"/>
        <v/>
      </c>
    </row>
    <row r="3619" spans="2:6" x14ac:dyDescent="0.2">
      <c r="B3619" s="12"/>
      <c r="C3619" s="12"/>
      <c r="D3619" s="17" t="str">
        <f t="shared" si="171"/>
        <v/>
      </c>
      <c r="E3619" s="18" t="str">
        <f t="shared" si="169"/>
        <v/>
      </c>
      <c r="F3619" s="17" t="str">
        <f t="shared" si="170"/>
        <v/>
      </c>
    </row>
    <row r="3620" spans="2:6" x14ac:dyDescent="0.2">
      <c r="B3620" s="12"/>
      <c r="C3620" s="12"/>
      <c r="D3620" s="17" t="str">
        <f t="shared" si="171"/>
        <v/>
      </c>
      <c r="E3620" s="18" t="str">
        <f t="shared" si="169"/>
        <v/>
      </c>
      <c r="F3620" s="17" t="str">
        <f t="shared" si="170"/>
        <v/>
      </c>
    </row>
    <row r="3621" spans="2:6" x14ac:dyDescent="0.2">
      <c r="B3621" s="12"/>
      <c r="C3621" s="12"/>
      <c r="D3621" s="17" t="str">
        <f t="shared" si="171"/>
        <v/>
      </c>
      <c r="E3621" s="18" t="str">
        <f t="shared" si="169"/>
        <v/>
      </c>
      <c r="F3621" s="17" t="str">
        <f t="shared" si="170"/>
        <v/>
      </c>
    </row>
    <row r="3622" spans="2:6" x14ac:dyDescent="0.2">
      <c r="B3622" s="12"/>
      <c r="C3622" s="12"/>
      <c r="D3622" s="17" t="str">
        <f t="shared" si="171"/>
        <v/>
      </c>
      <c r="E3622" s="18" t="str">
        <f t="shared" si="169"/>
        <v/>
      </c>
      <c r="F3622" s="17" t="str">
        <f t="shared" si="170"/>
        <v/>
      </c>
    </row>
    <row r="3623" spans="2:6" x14ac:dyDescent="0.2">
      <c r="B3623" s="12"/>
      <c r="C3623" s="12"/>
      <c r="D3623" s="17" t="str">
        <f t="shared" si="171"/>
        <v/>
      </c>
      <c r="E3623" s="18" t="str">
        <f t="shared" si="169"/>
        <v/>
      </c>
      <c r="F3623" s="17" t="str">
        <f t="shared" si="170"/>
        <v/>
      </c>
    </row>
    <row r="3624" spans="2:6" x14ac:dyDescent="0.2">
      <c r="B3624" s="12"/>
      <c r="C3624" s="12"/>
      <c r="D3624" s="17" t="str">
        <f t="shared" si="171"/>
        <v/>
      </c>
      <c r="E3624" s="18" t="str">
        <f t="shared" si="169"/>
        <v/>
      </c>
      <c r="F3624" s="17" t="str">
        <f t="shared" si="170"/>
        <v/>
      </c>
    </row>
    <row r="3625" spans="2:6" x14ac:dyDescent="0.2">
      <c r="B3625" s="12"/>
      <c r="C3625" s="12"/>
      <c r="D3625" s="17" t="str">
        <f t="shared" si="171"/>
        <v/>
      </c>
      <c r="E3625" s="18" t="str">
        <f t="shared" si="169"/>
        <v/>
      </c>
      <c r="F3625" s="17" t="str">
        <f t="shared" si="170"/>
        <v/>
      </c>
    </row>
    <row r="3626" spans="2:6" x14ac:dyDescent="0.2">
      <c r="B3626" s="12"/>
      <c r="C3626" s="12"/>
      <c r="D3626" s="17" t="str">
        <f t="shared" si="171"/>
        <v/>
      </c>
      <c r="E3626" s="18" t="str">
        <f t="shared" si="169"/>
        <v/>
      </c>
      <c r="F3626" s="17" t="str">
        <f t="shared" si="170"/>
        <v/>
      </c>
    </row>
    <row r="3627" spans="2:6" x14ac:dyDescent="0.2">
      <c r="B3627" s="12"/>
      <c r="C3627" s="12"/>
      <c r="D3627" s="17" t="str">
        <f t="shared" si="171"/>
        <v/>
      </c>
      <c r="E3627" s="18" t="str">
        <f t="shared" si="169"/>
        <v/>
      </c>
      <c r="F3627" s="17" t="str">
        <f t="shared" si="170"/>
        <v/>
      </c>
    </row>
    <row r="3628" spans="2:6" x14ac:dyDescent="0.2">
      <c r="B3628" s="12"/>
      <c r="C3628" s="12"/>
      <c r="D3628" s="17" t="str">
        <f t="shared" si="171"/>
        <v/>
      </c>
      <c r="E3628" s="18" t="str">
        <f t="shared" si="169"/>
        <v/>
      </c>
      <c r="F3628" s="17" t="str">
        <f t="shared" si="170"/>
        <v/>
      </c>
    </row>
    <row r="3629" spans="2:6" x14ac:dyDescent="0.2">
      <c r="B3629" s="12"/>
      <c r="C3629" s="12"/>
      <c r="D3629" s="17" t="str">
        <f t="shared" si="171"/>
        <v/>
      </c>
      <c r="E3629" s="18" t="str">
        <f t="shared" si="169"/>
        <v/>
      </c>
      <c r="F3629" s="17" t="str">
        <f t="shared" si="170"/>
        <v/>
      </c>
    </row>
    <row r="3630" spans="2:6" x14ac:dyDescent="0.2">
      <c r="B3630" s="12"/>
      <c r="C3630" s="12"/>
      <c r="D3630" s="17" t="str">
        <f t="shared" si="171"/>
        <v/>
      </c>
      <c r="E3630" s="18" t="str">
        <f t="shared" si="169"/>
        <v/>
      </c>
      <c r="F3630" s="17" t="str">
        <f t="shared" si="170"/>
        <v/>
      </c>
    </row>
    <row r="3631" spans="2:6" x14ac:dyDescent="0.2">
      <c r="B3631" s="12"/>
      <c r="C3631" s="12"/>
      <c r="D3631" s="17" t="str">
        <f t="shared" si="171"/>
        <v/>
      </c>
      <c r="E3631" s="18" t="str">
        <f t="shared" si="169"/>
        <v/>
      </c>
      <c r="F3631" s="17" t="str">
        <f t="shared" si="170"/>
        <v/>
      </c>
    </row>
    <row r="3632" spans="2:6" x14ac:dyDescent="0.2">
      <c r="B3632" s="12"/>
      <c r="C3632" s="12"/>
      <c r="D3632" s="17" t="str">
        <f t="shared" si="171"/>
        <v/>
      </c>
      <c r="E3632" s="18" t="str">
        <f t="shared" si="169"/>
        <v/>
      </c>
      <c r="F3632" s="17" t="str">
        <f t="shared" si="170"/>
        <v/>
      </c>
    </row>
    <row r="3633" spans="2:6" x14ac:dyDescent="0.2">
      <c r="B3633" s="12"/>
      <c r="C3633" s="12"/>
      <c r="D3633" s="17" t="str">
        <f t="shared" si="171"/>
        <v/>
      </c>
      <c r="E3633" s="18" t="str">
        <f t="shared" si="169"/>
        <v/>
      </c>
      <c r="F3633" s="17" t="str">
        <f t="shared" si="170"/>
        <v/>
      </c>
    </row>
    <row r="3634" spans="2:6" x14ac:dyDescent="0.2">
      <c r="B3634" s="12"/>
      <c r="C3634" s="12"/>
      <c r="D3634" s="17" t="str">
        <f t="shared" si="171"/>
        <v/>
      </c>
      <c r="E3634" s="18" t="str">
        <f t="shared" si="169"/>
        <v/>
      </c>
      <c r="F3634" s="17" t="str">
        <f t="shared" si="170"/>
        <v/>
      </c>
    </row>
    <row r="3635" spans="2:6" x14ac:dyDescent="0.2">
      <c r="B3635" s="12"/>
      <c r="C3635" s="12"/>
      <c r="D3635" s="17" t="str">
        <f t="shared" si="171"/>
        <v/>
      </c>
      <c r="E3635" s="18" t="str">
        <f t="shared" si="169"/>
        <v/>
      </c>
      <c r="F3635" s="17" t="str">
        <f t="shared" si="170"/>
        <v/>
      </c>
    </row>
    <row r="3636" spans="2:6" x14ac:dyDescent="0.2">
      <c r="B3636" s="12"/>
      <c r="C3636" s="12"/>
      <c r="D3636" s="17" t="str">
        <f t="shared" si="171"/>
        <v/>
      </c>
      <c r="E3636" s="18" t="str">
        <f t="shared" si="169"/>
        <v/>
      </c>
      <c r="F3636" s="17" t="str">
        <f t="shared" si="170"/>
        <v/>
      </c>
    </row>
    <row r="3637" spans="2:6" x14ac:dyDescent="0.2">
      <c r="B3637" s="12"/>
      <c r="C3637" s="12"/>
      <c r="D3637" s="17" t="str">
        <f t="shared" si="171"/>
        <v/>
      </c>
      <c r="E3637" s="18" t="str">
        <f t="shared" si="169"/>
        <v/>
      </c>
      <c r="F3637" s="17" t="str">
        <f t="shared" si="170"/>
        <v/>
      </c>
    </row>
    <row r="3638" spans="2:6" x14ac:dyDescent="0.2">
      <c r="B3638" s="12"/>
      <c r="C3638" s="12"/>
      <c r="D3638" s="17" t="str">
        <f t="shared" si="171"/>
        <v/>
      </c>
      <c r="E3638" s="18" t="str">
        <f t="shared" si="169"/>
        <v/>
      </c>
      <c r="F3638" s="17" t="str">
        <f t="shared" si="170"/>
        <v/>
      </c>
    </row>
    <row r="3639" spans="2:6" x14ac:dyDescent="0.2">
      <c r="B3639" s="12"/>
      <c r="C3639" s="12"/>
      <c r="D3639" s="17" t="str">
        <f t="shared" si="171"/>
        <v/>
      </c>
      <c r="E3639" s="18" t="str">
        <f t="shared" si="169"/>
        <v/>
      </c>
      <c r="F3639" s="17" t="str">
        <f t="shared" si="170"/>
        <v/>
      </c>
    </row>
    <row r="3640" spans="2:6" x14ac:dyDescent="0.2">
      <c r="B3640" s="12"/>
      <c r="C3640" s="12"/>
      <c r="D3640" s="17" t="str">
        <f t="shared" si="171"/>
        <v/>
      </c>
      <c r="E3640" s="18" t="str">
        <f t="shared" si="169"/>
        <v/>
      </c>
      <c r="F3640" s="17" t="str">
        <f t="shared" si="170"/>
        <v/>
      </c>
    </row>
    <row r="3641" spans="2:6" x14ac:dyDescent="0.2">
      <c r="B3641" s="12"/>
      <c r="C3641" s="12"/>
      <c r="D3641" s="17" t="str">
        <f t="shared" si="171"/>
        <v/>
      </c>
      <c r="E3641" s="18" t="str">
        <f t="shared" si="169"/>
        <v/>
      </c>
      <c r="F3641" s="17" t="str">
        <f t="shared" si="170"/>
        <v/>
      </c>
    </row>
    <row r="3642" spans="2:6" x14ac:dyDescent="0.2">
      <c r="B3642" s="12"/>
      <c r="C3642" s="12"/>
      <c r="D3642" s="17" t="str">
        <f t="shared" si="171"/>
        <v/>
      </c>
      <c r="E3642" s="18" t="str">
        <f t="shared" si="169"/>
        <v/>
      </c>
      <c r="F3642" s="17" t="str">
        <f t="shared" si="170"/>
        <v/>
      </c>
    </row>
    <row r="3643" spans="2:6" x14ac:dyDescent="0.2">
      <c r="B3643" s="12"/>
      <c r="C3643" s="12"/>
      <c r="D3643" s="17" t="str">
        <f t="shared" si="171"/>
        <v/>
      </c>
      <c r="E3643" s="18" t="str">
        <f t="shared" si="169"/>
        <v/>
      </c>
      <c r="F3643" s="17" t="str">
        <f t="shared" si="170"/>
        <v/>
      </c>
    </row>
    <row r="3644" spans="2:6" x14ac:dyDescent="0.2">
      <c r="B3644" s="12"/>
      <c r="C3644" s="12"/>
      <c r="D3644" s="17" t="str">
        <f t="shared" si="171"/>
        <v/>
      </c>
      <c r="E3644" s="18" t="str">
        <f t="shared" si="169"/>
        <v/>
      </c>
      <c r="F3644" s="17" t="str">
        <f t="shared" si="170"/>
        <v/>
      </c>
    </row>
    <row r="3645" spans="2:6" x14ac:dyDescent="0.2">
      <c r="B3645" s="12"/>
      <c r="C3645" s="12"/>
      <c r="D3645" s="17" t="str">
        <f t="shared" si="171"/>
        <v/>
      </c>
      <c r="E3645" s="18" t="str">
        <f t="shared" si="169"/>
        <v/>
      </c>
      <c r="F3645" s="17" t="str">
        <f t="shared" si="170"/>
        <v/>
      </c>
    </row>
    <row r="3646" spans="2:6" x14ac:dyDescent="0.2">
      <c r="B3646" s="12"/>
      <c r="C3646" s="12"/>
      <c r="D3646" s="17" t="str">
        <f t="shared" si="171"/>
        <v/>
      </c>
      <c r="E3646" s="18" t="str">
        <f t="shared" si="169"/>
        <v/>
      </c>
      <c r="F3646" s="17" t="str">
        <f t="shared" si="170"/>
        <v/>
      </c>
    </row>
    <row r="3647" spans="2:6" x14ac:dyDescent="0.2">
      <c r="B3647" s="12"/>
      <c r="C3647" s="12"/>
      <c r="D3647" s="17" t="str">
        <f t="shared" si="171"/>
        <v/>
      </c>
      <c r="E3647" s="18" t="str">
        <f t="shared" si="169"/>
        <v/>
      </c>
      <c r="F3647" s="17" t="str">
        <f t="shared" si="170"/>
        <v/>
      </c>
    </row>
    <row r="3648" spans="2:6" x14ac:dyDescent="0.2">
      <c r="B3648" s="12"/>
      <c r="C3648" s="12"/>
      <c r="D3648" s="17" t="str">
        <f t="shared" si="171"/>
        <v/>
      </c>
      <c r="E3648" s="18" t="str">
        <f t="shared" si="169"/>
        <v/>
      </c>
      <c r="F3648" s="17" t="str">
        <f t="shared" si="170"/>
        <v/>
      </c>
    </row>
    <row r="3649" spans="2:6" x14ac:dyDescent="0.2">
      <c r="B3649" s="12"/>
      <c r="C3649" s="12"/>
      <c r="D3649" s="17" t="str">
        <f t="shared" si="171"/>
        <v/>
      </c>
      <c r="E3649" s="18" t="str">
        <f t="shared" si="169"/>
        <v/>
      </c>
      <c r="F3649" s="17" t="str">
        <f t="shared" si="170"/>
        <v/>
      </c>
    </row>
    <row r="3650" spans="2:6" x14ac:dyDescent="0.2">
      <c r="B3650" s="12"/>
      <c r="C3650" s="12"/>
      <c r="D3650" s="17" t="str">
        <f t="shared" si="171"/>
        <v/>
      </c>
      <c r="E3650" s="18" t="str">
        <f t="shared" si="169"/>
        <v/>
      </c>
      <c r="F3650" s="17" t="str">
        <f t="shared" si="170"/>
        <v/>
      </c>
    </row>
    <row r="3651" spans="2:6" x14ac:dyDescent="0.2">
      <c r="B3651" s="12"/>
      <c r="C3651" s="12"/>
      <c r="D3651" s="17" t="str">
        <f t="shared" si="171"/>
        <v/>
      </c>
      <c r="E3651" s="18" t="str">
        <f t="shared" si="169"/>
        <v/>
      </c>
      <c r="F3651" s="17" t="str">
        <f t="shared" si="170"/>
        <v/>
      </c>
    </row>
    <row r="3652" spans="2:6" x14ac:dyDescent="0.2">
      <c r="B3652" s="12"/>
      <c r="C3652" s="12"/>
      <c r="D3652" s="17" t="str">
        <f t="shared" si="171"/>
        <v/>
      </c>
      <c r="E3652" s="18" t="str">
        <f t="shared" si="169"/>
        <v/>
      </c>
      <c r="F3652" s="17" t="str">
        <f t="shared" si="170"/>
        <v/>
      </c>
    </row>
    <row r="3653" spans="2:6" x14ac:dyDescent="0.2">
      <c r="B3653" s="12"/>
      <c r="C3653" s="12"/>
      <c r="D3653" s="17" t="str">
        <f t="shared" si="171"/>
        <v/>
      </c>
      <c r="E3653" s="18" t="str">
        <f t="shared" ref="E3653:E3716" si="172">IF(B3653="","",ABS(C3653-D3653))</f>
        <v/>
      </c>
      <c r="F3653" s="17" t="str">
        <f t="shared" ref="F3653:F3716" si="173">IF(B3653="","",E3653^2)</f>
        <v/>
      </c>
    </row>
    <row r="3654" spans="2:6" x14ac:dyDescent="0.2">
      <c r="B3654" s="12"/>
      <c r="C3654" s="12"/>
      <c r="D3654" s="17" t="str">
        <f t="shared" si="171"/>
        <v/>
      </c>
      <c r="E3654" s="18" t="str">
        <f t="shared" si="172"/>
        <v/>
      </c>
      <c r="F3654" s="17" t="str">
        <f t="shared" si="173"/>
        <v/>
      </c>
    </row>
    <row r="3655" spans="2:6" x14ac:dyDescent="0.2">
      <c r="B3655" s="12"/>
      <c r="C3655" s="12"/>
      <c r="D3655" s="17" t="str">
        <f t="shared" si="171"/>
        <v/>
      </c>
      <c r="E3655" s="18" t="str">
        <f t="shared" si="172"/>
        <v/>
      </c>
      <c r="F3655" s="17" t="str">
        <f t="shared" si="173"/>
        <v/>
      </c>
    </row>
    <row r="3656" spans="2:6" x14ac:dyDescent="0.2">
      <c r="B3656" s="12"/>
      <c r="C3656" s="12"/>
      <c r="D3656" s="17" t="str">
        <f t="shared" si="171"/>
        <v/>
      </c>
      <c r="E3656" s="18" t="str">
        <f t="shared" si="172"/>
        <v/>
      </c>
      <c r="F3656" s="17" t="str">
        <f t="shared" si="173"/>
        <v/>
      </c>
    </row>
    <row r="3657" spans="2:6" x14ac:dyDescent="0.2">
      <c r="B3657" s="12"/>
      <c r="C3657" s="12"/>
      <c r="D3657" s="17" t="str">
        <f t="shared" si="171"/>
        <v/>
      </c>
      <c r="E3657" s="18" t="str">
        <f t="shared" si="172"/>
        <v/>
      </c>
      <c r="F3657" s="17" t="str">
        <f t="shared" si="173"/>
        <v/>
      </c>
    </row>
    <row r="3658" spans="2:6" x14ac:dyDescent="0.2">
      <c r="B3658" s="12"/>
      <c r="C3658" s="12"/>
      <c r="D3658" s="17" t="str">
        <f t="shared" si="171"/>
        <v/>
      </c>
      <c r="E3658" s="18" t="str">
        <f t="shared" si="172"/>
        <v/>
      </c>
      <c r="F3658" s="17" t="str">
        <f t="shared" si="173"/>
        <v/>
      </c>
    </row>
    <row r="3659" spans="2:6" x14ac:dyDescent="0.2">
      <c r="B3659" s="12"/>
      <c r="C3659" s="12"/>
      <c r="D3659" s="17" t="str">
        <f t="shared" si="171"/>
        <v/>
      </c>
      <c r="E3659" s="18" t="str">
        <f t="shared" si="172"/>
        <v/>
      </c>
      <c r="F3659" s="17" t="str">
        <f t="shared" si="173"/>
        <v/>
      </c>
    </row>
    <row r="3660" spans="2:6" x14ac:dyDescent="0.2">
      <c r="B3660" s="12"/>
      <c r="C3660" s="12"/>
      <c r="D3660" s="17" t="str">
        <f t="shared" si="171"/>
        <v/>
      </c>
      <c r="E3660" s="18" t="str">
        <f t="shared" si="172"/>
        <v/>
      </c>
      <c r="F3660" s="17" t="str">
        <f t="shared" si="173"/>
        <v/>
      </c>
    </row>
    <row r="3661" spans="2:6" x14ac:dyDescent="0.2">
      <c r="B3661" s="12"/>
      <c r="C3661" s="12"/>
      <c r="D3661" s="17" t="str">
        <f t="shared" si="171"/>
        <v/>
      </c>
      <c r="E3661" s="18" t="str">
        <f t="shared" si="172"/>
        <v/>
      </c>
      <c r="F3661" s="17" t="str">
        <f t="shared" si="173"/>
        <v/>
      </c>
    </row>
    <row r="3662" spans="2:6" x14ac:dyDescent="0.2">
      <c r="B3662" s="12"/>
      <c r="C3662" s="12"/>
      <c r="D3662" s="17" t="str">
        <f t="shared" si="171"/>
        <v/>
      </c>
      <c r="E3662" s="18" t="str">
        <f t="shared" si="172"/>
        <v/>
      </c>
      <c r="F3662" s="17" t="str">
        <f t="shared" si="173"/>
        <v/>
      </c>
    </row>
    <row r="3663" spans="2:6" x14ac:dyDescent="0.2">
      <c r="B3663" s="12"/>
      <c r="C3663" s="12"/>
      <c r="D3663" s="17" t="str">
        <f t="shared" si="171"/>
        <v/>
      </c>
      <c r="E3663" s="18" t="str">
        <f t="shared" si="172"/>
        <v/>
      </c>
      <c r="F3663" s="17" t="str">
        <f t="shared" si="173"/>
        <v/>
      </c>
    </row>
    <row r="3664" spans="2:6" x14ac:dyDescent="0.2">
      <c r="B3664" s="12"/>
      <c r="C3664" s="12"/>
      <c r="D3664" s="17" t="str">
        <f t="shared" si="171"/>
        <v/>
      </c>
      <c r="E3664" s="18" t="str">
        <f t="shared" si="172"/>
        <v/>
      </c>
      <c r="F3664" s="17" t="str">
        <f t="shared" si="173"/>
        <v/>
      </c>
    </row>
    <row r="3665" spans="2:6" x14ac:dyDescent="0.2">
      <c r="B3665" s="12"/>
      <c r="C3665" s="12"/>
      <c r="D3665" s="17" t="str">
        <f t="shared" si="171"/>
        <v/>
      </c>
      <c r="E3665" s="18" t="str">
        <f t="shared" si="172"/>
        <v/>
      </c>
      <c r="F3665" s="17" t="str">
        <f t="shared" si="173"/>
        <v/>
      </c>
    </row>
    <row r="3666" spans="2:6" x14ac:dyDescent="0.2">
      <c r="B3666" s="12"/>
      <c r="C3666" s="12"/>
      <c r="D3666" s="17" t="str">
        <f t="shared" ref="D3666:D3729" si="174">IF(B3666="","",a+b*B3666)</f>
        <v/>
      </c>
      <c r="E3666" s="18" t="str">
        <f t="shared" si="172"/>
        <v/>
      </c>
      <c r="F3666" s="17" t="str">
        <f t="shared" si="173"/>
        <v/>
      </c>
    </row>
    <row r="3667" spans="2:6" x14ac:dyDescent="0.2">
      <c r="B3667" s="12"/>
      <c r="C3667" s="12"/>
      <c r="D3667" s="17" t="str">
        <f t="shared" si="174"/>
        <v/>
      </c>
      <c r="E3667" s="18" t="str">
        <f t="shared" si="172"/>
        <v/>
      </c>
      <c r="F3667" s="17" t="str">
        <f t="shared" si="173"/>
        <v/>
      </c>
    </row>
    <row r="3668" spans="2:6" x14ac:dyDescent="0.2">
      <c r="B3668" s="12"/>
      <c r="C3668" s="12"/>
      <c r="D3668" s="17" t="str">
        <f t="shared" si="174"/>
        <v/>
      </c>
      <c r="E3668" s="18" t="str">
        <f t="shared" si="172"/>
        <v/>
      </c>
      <c r="F3668" s="17" t="str">
        <f t="shared" si="173"/>
        <v/>
      </c>
    </row>
    <row r="3669" spans="2:6" x14ac:dyDescent="0.2">
      <c r="B3669" s="12"/>
      <c r="C3669" s="12"/>
      <c r="D3669" s="17" t="str">
        <f t="shared" si="174"/>
        <v/>
      </c>
      <c r="E3669" s="18" t="str">
        <f t="shared" si="172"/>
        <v/>
      </c>
      <c r="F3669" s="17" t="str">
        <f t="shared" si="173"/>
        <v/>
      </c>
    </row>
    <row r="3670" spans="2:6" x14ac:dyDescent="0.2">
      <c r="B3670" s="12"/>
      <c r="C3670" s="12"/>
      <c r="D3670" s="17" t="str">
        <f t="shared" si="174"/>
        <v/>
      </c>
      <c r="E3670" s="18" t="str">
        <f t="shared" si="172"/>
        <v/>
      </c>
      <c r="F3670" s="17" t="str">
        <f t="shared" si="173"/>
        <v/>
      </c>
    </row>
    <row r="3671" spans="2:6" x14ac:dyDescent="0.2">
      <c r="B3671" s="12"/>
      <c r="C3671" s="12"/>
      <c r="D3671" s="17" t="str">
        <f t="shared" si="174"/>
        <v/>
      </c>
      <c r="E3671" s="18" t="str">
        <f t="shared" si="172"/>
        <v/>
      </c>
      <c r="F3671" s="17" t="str">
        <f t="shared" si="173"/>
        <v/>
      </c>
    </row>
    <row r="3672" spans="2:6" x14ac:dyDescent="0.2">
      <c r="B3672" s="12"/>
      <c r="C3672" s="12"/>
      <c r="D3672" s="17" t="str">
        <f t="shared" si="174"/>
        <v/>
      </c>
      <c r="E3672" s="18" t="str">
        <f t="shared" si="172"/>
        <v/>
      </c>
      <c r="F3672" s="17" t="str">
        <f t="shared" si="173"/>
        <v/>
      </c>
    </row>
    <row r="3673" spans="2:6" x14ac:dyDescent="0.2">
      <c r="B3673" s="12"/>
      <c r="C3673" s="12"/>
      <c r="D3673" s="17" t="str">
        <f t="shared" si="174"/>
        <v/>
      </c>
      <c r="E3673" s="18" t="str">
        <f t="shared" si="172"/>
        <v/>
      </c>
      <c r="F3673" s="17" t="str">
        <f t="shared" si="173"/>
        <v/>
      </c>
    </row>
    <row r="3674" spans="2:6" x14ac:dyDescent="0.2">
      <c r="B3674" s="12"/>
      <c r="C3674" s="12"/>
      <c r="D3674" s="17" t="str">
        <f t="shared" si="174"/>
        <v/>
      </c>
      <c r="E3674" s="18" t="str">
        <f t="shared" si="172"/>
        <v/>
      </c>
      <c r="F3674" s="17" t="str">
        <f t="shared" si="173"/>
        <v/>
      </c>
    </row>
    <row r="3675" spans="2:6" x14ac:dyDescent="0.2">
      <c r="B3675" s="12"/>
      <c r="C3675" s="12"/>
      <c r="D3675" s="17" t="str">
        <f t="shared" si="174"/>
        <v/>
      </c>
      <c r="E3675" s="18" t="str">
        <f t="shared" si="172"/>
        <v/>
      </c>
      <c r="F3675" s="17" t="str">
        <f t="shared" si="173"/>
        <v/>
      </c>
    </row>
    <row r="3676" spans="2:6" x14ac:dyDescent="0.2">
      <c r="B3676" s="12"/>
      <c r="C3676" s="12"/>
      <c r="D3676" s="17" t="str">
        <f t="shared" si="174"/>
        <v/>
      </c>
      <c r="E3676" s="18" t="str">
        <f t="shared" si="172"/>
        <v/>
      </c>
      <c r="F3676" s="17" t="str">
        <f t="shared" si="173"/>
        <v/>
      </c>
    </row>
    <row r="3677" spans="2:6" x14ac:dyDescent="0.2">
      <c r="B3677" s="12"/>
      <c r="C3677" s="12"/>
      <c r="D3677" s="17" t="str">
        <f t="shared" si="174"/>
        <v/>
      </c>
      <c r="E3677" s="18" t="str">
        <f t="shared" si="172"/>
        <v/>
      </c>
      <c r="F3677" s="17" t="str">
        <f t="shared" si="173"/>
        <v/>
      </c>
    </row>
    <row r="3678" spans="2:6" x14ac:dyDescent="0.2">
      <c r="B3678" s="12"/>
      <c r="C3678" s="12"/>
      <c r="D3678" s="17" t="str">
        <f t="shared" si="174"/>
        <v/>
      </c>
      <c r="E3678" s="18" t="str">
        <f t="shared" si="172"/>
        <v/>
      </c>
      <c r="F3678" s="17" t="str">
        <f t="shared" si="173"/>
        <v/>
      </c>
    </row>
    <row r="3679" spans="2:6" x14ac:dyDescent="0.2">
      <c r="B3679" s="12"/>
      <c r="C3679" s="12"/>
      <c r="D3679" s="17" t="str">
        <f t="shared" si="174"/>
        <v/>
      </c>
      <c r="E3679" s="18" t="str">
        <f t="shared" si="172"/>
        <v/>
      </c>
      <c r="F3679" s="17" t="str">
        <f t="shared" si="173"/>
        <v/>
      </c>
    </row>
    <row r="3680" spans="2:6" x14ac:dyDescent="0.2">
      <c r="B3680" s="12"/>
      <c r="C3680" s="12"/>
      <c r="D3680" s="17" t="str">
        <f t="shared" si="174"/>
        <v/>
      </c>
      <c r="E3680" s="18" t="str">
        <f t="shared" si="172"/>
        <v/>
      </c>
      <c r="F3680" s="17" t="str">
        <f t="shared" si="173"/>
        <v/>
      </c>
    </row>
    <row r="3681" spans="2:6" x14ac:dyDescent="0.2">
      <c r="B3681" s="12"/>
      <c r="C3681" s="12"/>
      <c r="D3681" s="17" t="str">
        <f t="shared" si="174"/>
        <v/>
      </c>
      <c r="E3681" s="18" t="str">
        <f t="shared" si="172"/>
        <v/>
      </c>
      <c r="F3681" s="17" t="str">
        <f t="shared" si="173"/>
        <v/>
      </c>
    </row>
    <row r="3682" spans="2:6" x14ac:dyDescent="0.2">
      <c r="B3682" s="12"/>
      <c r="C3682" s="12"/>
      <c r="D3682" s="17" t="str">
        <f t="shared" si="174"/>
        <v/>
      </c>
      <c r="E3682" s="18" t="str">
        <f t="shared" si="172"/>
        <v/>
      </c>
      <c r="F3682" s="17" t="str">
        <f t="shared" si="173"/>
        <v/>
      </c>
    </row>
    <row r="3683" spans="2:6" x14ac:dyDescent="0.2">
      <c r="B3683" s="12"/>
      <c r="C3683" s="12"/>
      <c r="D3683" s="17" t="str">
        <f t="shared" si="174"/>
        <v/>
      </c>
      <c r="E3683" s="18" t="str">
        <f t="shared" si="172"/>
        <v/>
      </c>
      <c r="F3683" s="17" t="str">
        <f t="shared" si="173"/>
        <v/>
      </c>
    </row>
    <row r="3684" spans="2:6" x14ac:dyDescent="0.2">
      <c r="B3684" s="12"/>
      <c r="C3684" s="12"/>
      <c r="D3684" s="17" t="str">
        <f t="shared" si="174"/>
        <v/>
      </c>
      <c r="E3684" s="18" t="str">
        <f t="shared" si="172"/>
        <v/>
      </c>
      <c r="F3684" s="17" t="str">
        <f t="shared" si="173"/>
        <v/>
      </c>
    </row>
    <row r="3685" spans="2:6" x14ac:dyDescent="0.2">
      <c r="B3685" s="12"/>
      <c r="C3685" s="12"/>
      <c r="D3685" s="17" t="str">
        <f t="shared" si="174"/>
        <v/>
      </c>
      <c r="E3685" s="18" t="str">
        <f t="shared" si="172"/>
        <v/>
      </c>
      <c r="F3685" s="17" t="str">
        <f t="shared" si="173"/>
        <v/>
      </c>
    </row>
    <row r="3686" spans="2:6" x14ac:dyDescent="0.2">
      <c r="B3686" s="12"/>
      <c r="C3686" s="12"/>
      <c r="D3686" s="17" t="str">
        <f t="shared" si="174"/>
        <v/>
      </c>
      <c r="E3686" s="18" t="str">
        <f t="shared" si="172"/>
        <v/>
      </c>
      <c r="F3686" s="17" t="str">
        <f t="shared" si="173"/>
        <v/>
      </c>
    </row>
    <row r="3687" spans="2:6" x14ac:dyDescent="0.2">
      <c r="B3687" s="12"/>
      <c r="C3687" s="12"/>
      <c r="D3687" s="17" t="str">
        <f t="shared" si="174"/>
        <v/>
      </c>
      <c r="E3687" s="18" t="str">
        <f t="shared" si="172"/>
        <v/>
      </c>
      <c r="F3687" s="17" t="str">
        <f t="shared" si="173"/>
        <v/>
      </c>
    </row>
    <row r="3688" spans="2:6" x14ac:dyDescent="0.2">
      <c r="B3688" s="12"/>
      <c r="C3688" s="12"/>
      <c r="D3688" s="17" t="str">
        <f t="shared" si="174"/>
        <v/>
      </c>
      <c r="E3688" s="18" t="str">
        <f t="shared" si="172"/>
        <v/>
      </c>
      <c r="F3688" s="17" t="str">
        <f t="shared" si="173"/>
        <v/>
      </c>
    </row>
    <row r="3689" spans="2:6" x14ac:dyDescent="0.2">
      <c r="B3689" s="12"/>
      <c r="C3689" s="12"/>
      <c r="D3689" s="17" t="str">
        <f t="shared" si="174"/>
        <v/>
      </c>
      <c r="E3689" s="18" t="str">
        <f t="shared" si="172"/>
        <v/>
      </c>
      <c r="F3689" s="17" t="str">
        <f t="shared" si="173"/>
        <v/>
      </c>
    </row>
    <row r="3690" spans="2:6" x14ac:dyDescent="0.2">
      <c r="B3690" s="12"/>
      <c r="C3690" s="12"/>
      <c r="D3690" s="17" t="str">
        <f t="shared" si="174"/>
        <v/>
      </c>
      <c r="E3690" s="18" t="str">
        <f t="shared" si="172"/>
        <v/>
      </c>
      <c r="F3690" s="17" t="str">
        <f t="shared" si="173"/>
        <v/>
      </c>
    </row>
    <row r="3691" spans="2:6" x14ac:dyDescent="0.2">
      <c r="B3691" s="12"/>
      <c r="C3691" s="12"/>
      <c r="D3691" s="17" t="str">
        <f t="shared" si="174"/>
        <v/>
      </c>
      <c r="E3691" s="18" t="str">
        <f t="shared" si="172"/>
        <v/>
      </c>
      <c r="F3691" s="17" t="str">
        <f t="shared" si="173"/>
        <v/>
      </c>
    </row>
    <row r="3692" spans="2:6" x14ac:dyDescent="0.2">
      <c r="B3692" s="12"/>
      <c r="C3692" s="12"/>
      <c r="D3692" s="17" t="str">
        <f t="shared" si="174"/>
        <v/>
      </c>
      <c r="E3692" s="18" t="str">
        <f t="shared" si="172"/>
        <v/>
      </c>
      <c r="F3692" s="17" t="str">
        <f t="shared" si="173"/>
        <v/>
      </c>
    </row>
    <row r="3693" spans="2:6" x14ac:dyDescent="0.2">
      <c r="B3693" s="12"/>
      <c r="C3693" s="12"/>
      <c r="D3693" s="17" t="str">
        <f t="shared" si="174"/>
        <v/>
      </c>
      <c r="E3693" s="18" t="str">
        <f t="shared" si="172"/>
        <v/>
      </c>
      <c r="F3693" s="17" t="str">
        <f t="shared" si="173"/>
        <v/>
      </c>
    </row>
    <row r="3694" spans="2:6" x14ac:dyDescent="0.2">
      <c r="B3694" s="12"/>
      <c r="C3694" s="12"/>
      <c r="D3694" s="17" t="str">
        <f t="shared" si="174"/>
        <v/>
      </c>
      <c r="E3694" s="18" t="str">
        <f t="shared" si="172"/>
        <v/>
      </c>
      <c r="F3694" s="17" t="str">
        <f t="shared" si="173"/>
        <v/>
      </c>
    </row>
    <row r="3695" spans="2:6" x14ac:dyDescent="0.2">
      <c r="B3695" s="12"/>
      <c r="C3695" s="12"/>
      <c r="D3695" s="17" t="str">
        <f t="shared" si="174"/>
        <v/>
      </c>
      <c r="E3695" s="18" t="str">
        <f t="shared" si="172"/>
        <v/>
      </c>
      <c r="F3695" s="17" t="str">
        <f t="shared" si="173"/>
        <v/>
      </c>
    </row>
    <row r="3696" spans="2:6" x14ac:dyDescent="0.2">
      <c r="B3696" s="12"/>
      <c r="C3696" s="12"/>
      <c r="D3696" s="17" t="str">
        <f t="shared" si="174"/>
        <v/>
      </c>
      <c r="E3696" s="18" t="str">
        <f t="shared" si="172"/>
        <v/>
      </c>
      <c r="F3696" s="17" t="str">
        <f t="shared" si="173"/>
        <v/>
      </c>
    </row>
    <row r="3697" spans="2:6" x14ac:dyDescent="0.2">
      <c r="B3697" s="12"/>
      <c r="C3697" s="12"/>
      <c r="D3697" s="17" t="str">
        <f t="shared" si="174"/>
        <v/>
      </c>
      <c r="E3697" s="18" t="str">
        <f t="shared" si="172"/>
        <v/>
      </c>
      <c r="F3697" s="17" t="str">
        <f t="shared" si="173"/>
        <v/>
      </c>
    </row>
    <row r="3698" spans="2:6" x14ac:dyDescent="0.2">
      <c r="B3698" s="12"/>
      <c r="C3698" s="12"/>
      <c r="D3698" s="17" t="str">
        <f t="shared" si="174"/>
        <v/>
      </c>
      <c r="E3698" s="18" t="str">
        <f t="shared" si="172"/>
        <v/>
      </c>
      <c r="F3698" s="17" t="str">
        <f t="shared" si="173"/>
        <v/>
      </c>
    </row>
    <row r="3699" spans="2:6" x14ac:dyDescent="0.2">
      <c r="B3699" s="12"/>
      <c r="C3699" s="12"/>
      <c r="D3699" s="17" t="str">
        <f t="shared" si="174"/>
        <v/>
      </c>
      <c r="E3699" s="18" t="str">
        <f t="shared" si="172"/>
        <v/>
      </c>
      <c r="F3699" s="17" t="str">
        <f t="shared" si="173"/>
        <v/>
      </c>
    </row>
    <row r="3700" spans="2:6" x14ac:dyDescent="0.2">
      <c r="B3700" s="12"/>
      <c r="C3700" s="12"/>
      <c r="D3700" s="17" t="str">
        <f t="shared" si="174"/>
        <v/>
      </c>
      <c r="E3700" s="18" t="str">
        <f t="shared" si="172"/>
        <v/>
      </c>
      <c r="F3700" s="17" t="str">
        <f t="shared" si="173"/>
        <v/>
      </c>
    </row>
    <row r="3701" spans="2:6" x14ac:dyDescent="0.2">
      <c r="B3701" s="12"/>
      <c r="C3701" s="12"/>
      <c r="D3701" s="17" t="str">
        <f t="shared" si="174"/>
        <v/>
      </c>
      <c r="E3701" s="18" t="str">
        <f t="shared" si="172"/>
        <v/>
      </c>
      <c r="F3701" s="17" t="str">
        <f t="shared" si="173"/>
        <v/>
      </c>
    </row>
    <row r="3702" spans="2:6" x14ac:dyDescent="0.2">
      <c r="B3702" s="12"/>
      <c r="C3702" s="12"/>
      <c r="D3702" s="17" t="str">
        <f t="shared" si="174"/>
        <v/>
      </c>
      <c r="E3702" s="18" t="str">
        <f t="shared" si="172"/>
        <v/>
      </c>
      <c r="F3702" s="17" t="str">
        <f t="shared" si="173"/>
        <v/>
      </c>
    </row>
    <row r="3703" spans="2:6" x14ac:dyDescent="0.2">
      <c r="B3703" s="12"/>
      <c r="C3703" s="12"/>
      <c r="D3703" s="17" t="str">
        <f t="shared" si="174"/>
        <v/>
      </c>
      <c r="E3703" s="18" t="str">
        <f t="shared" si="172"/>
        <v/>
      </c>
      <c r="F3703" s="17" t="str">
        <f t="shared" si="173"/>
        <v/>
      </c>
    </row>
    <row r="3704" spans="2:6" x14ac:dyDescent="0.2">
      <c r="B3704" s="12"/>
      <c r="C3704" s="12"/>
      <c r="D3704" s="17" t="str">
        <f t="shared" si="174"/>
        <v/>
      </c>
      <c r="E3704" s="18" t="str">
        <f t="shared" si="172"/>
        <v/>
      </c>
      <c r="F3704" s="17" t="str">
        <f t="shared" si="173"/>
        <v/>
      </c>
    </row>
    <row r="3705" spans="2:6" x14ac:dyDescent="0.2">
      <c r="B3705" s="12"/>
      <c r="C3705" s="12"/>
      <c r="D3705" s="17" t="str">
        <f t="shared" si="174"/>
        <v/>
      </c>
      <c r="E3705" s="18" t="str">
        <f t="shared" si="172"/>
        <v/>
      </c>
      <c r="F3705" s="17" t="str">
        <f t="shared" si="173"/>
        <v/>
      </c>
    </row>
    <row r="3706" spans="2:6" x14ac:dyDescent="0.2">
      <c r="B3706" s="12"/>
      <c r="C3706" s="12"/>
      <c r="D3706" s="17" t="str">
        <f t="shared" si="174"/>
        <v/>
      </c>
      <c r="E3706" s="18" t="str">
        <f t="shared" si="172"/>
        <v/>
      </c>
      <c r="F3706" s="17" t="str">
        <f t="shared" si="173"/>
        <v/>
      </c>
    </row>
    <row r="3707" spans="2:6" x14ac:dyDescent="0.2">
      <c r="B3707" s="12"/>
      <c r="C3707" s="12"/>
      <c r="D3707" s="17" t="str">
        <f t="shared" si="174"/>
        <v/>
      </c>
      <c r="E3707" s="18" t="str">
        <f t="shared" si="172"/>
        <v/>
      </c>
      <c r="F3707" s="17" t="str">
        <f t="shared" si="173"/>
        <v/>
      </c>
    </row>
    <row r="3708" spans="2:6" x14ac:dyDescent="0.2">
      <c r="B3708" s="12"/>
      <c r="C3708" s="12"/>
      <c r="D3708" s="17" t="str">
        <f t="shared" si="174"/>
        <v/>
      </c>
      <c r="E3708" s="18" t="str">
        <f t="shared" si="172"/>
        <v/>
      </c>
      <c r="F3708" s="17" t="str">
        <f t="shared" si="173"/>
        <v/>
      </c>
    </row>
    <row r="3709" spans="2:6" x14ac:dyDescent="0.2">
      <c r="B3709" s="12"/>
      <c r="C3709" s="12"/>
      <c r="D3709" s="17" t="str">
        <f t="shared" si="174"/>
        <v/>
      </c>
      <c r="E3709" s="18" t="str">
        <f t="shared" si="172"/>
        <v/>
      </c>
      <c r="F3709" s="17" t="str">
        <f t="shared" si="173"/>
        <v/>
      </c>
    </row>
    <row r="3710" spans="2:6" x14ac:dyDescent="0.2">
      <c r="B3710" s="12"/>
      <c r="C3710" s="12"/>
      <c r="D3710" s="17" t="str">
        <f t="shared" si="174"/>
        <v/>
      </c>
      <c r="E3710" s="18" t="str">
        <f t="shared" si="172"/>
        <v/>
      </c>
      <c r="F3710" s="17" t="str">
        <f t="shared" si="173"/>
        <v/>
      </c>
    </row>
    <row r="3711" spans="2:6" x14ac:dyDescent="0.2">
      <c r="B3711" s="12"/>
      <c r="C3711" s="12"/>
      <c r="D3711" s="17" t="str">
        <f t="shared" si="174"/>
        <v/>
      </c>
      <c r="E3711" s="18" t="str">
        <f t="shared" si="172"/>
        <v/>
      </c>
      <c r="F3711" s="17" t="str">
        <f t="shared" si="173"/>
        <v/>
      </c>
    </row>
    <row r="3712" spans="2:6" x14ac:dyDescent="0.2">
      <c r="B3712" s="12"/>
      <c r="C3712" s="12"/>
      <c r="D3712" s="17" t="str">
        <f t="shared" si="174"/>
        <v/>
      </c>
      <c r="E3712" s="18" t="str">
        <f t="shared" si="172"/>
        <v/>
      </c>
      <c r="F3712" s="17" t="str">
        <f t="shared" si="173"/>
        <v/>
      </c>
    </row>
    <row r="3713" spans="2:6" x14ac:dyDescent="0.2">
      <c r="B3713" s="12"/>
      <c r="C3713" s="12"/>
      <c r="D3713" s="17" t="str">
        <f t="shared" si="174"/>
        <v/>
      </c>
      <c r="E3713" s="18" t="str">
        <f t="shared" si="172"/>
        <v/>
      </c>
      <c r="F3713" s="17" t="str">
        <f t="shared" si="173"/>
        <v/>
      </c>
    </row>
    <row r="3714" spans="2:6" x14ac:dyDescent="0.2">
      <c r="B3714" s="12"/>
      <c r="C3714" s="12"/>
      <c r="D3714" s="17" t="str">
        <f t="shared" si="174"/>
        <v/>
      </c>
      <c r="E3714" s="18" t="str">
        <f t="shared" si="172"/>
        <v/>
      </c>
      <c r="F3714" s="17" t="str">
        <f t="shared" si="173"/>
        <v/>
      </c>
    </row>
    <row r="3715" spans="2:6" x14ac:dyDescent="0.2">
      <c r="B3715" s="12"/>
      <c r="C3715" s="12"/>
      <c r="D3715" s="17" t="str">
        <f t="shared" si="174"/>
        <v/>
      </c>
      <c r="E3715" s="18" t="str">
        <f t="shared" si="172"/>
        <v/>
      </c>
      <c r="F3715" s="17" t="str">
        <f t="shared" si="173"/>
        <v/>
      </c>
    </row>
    <row r="3716" spans="2:6" x14ac:dyDescent="0.2">
      <c r="B3716" s="12"/>
      <c r="C3716" s="12"/>
      <c r="D3716" s="17" t="str">
        <f t="shared" si="174"/>
        <v/>
      </c>
      <c r="E3716" s="18" t="str">
        <f t="shared" si="172"/>
        <v/>
      </c>
      <c r="F3716" s="17" t="str">
        <f t="shared" si="173"/>
        <v/>
      </c>
    </row>
    <row r="3717" spans="2:6" x14ac:dyDescent="0.2">
      <c r="B3717" s="12"/>
      <c r="C3717" s="12"/>
      <c r="D3717" s="17" t="str">
        <f t="shared" si="174"/>
        <v/>
      </c>
      <c r="E3717" s="18" t="str">
        <f t="shared" ref="E3717:E3780" si="175">IF(B3717="","",ABS(C3717-D3717))</f>
        <v/>
      </c>
      <c r="F3717" s="17" t="str">
        <f t="shared" ref="F3717:F3780" si="176">IF(B3717="","",E3717^2)</f>
        <v/>
      </c>
    </row>
    <row r="3718" spans="2:6" x14ac:dyDescent="0.2">
      <c r="B3718" s="12"/>
      <c r="C3718" s="12"/>
      <c r="D3718" s="17" t="str">
        <f t="shared" si="174"/>
        <v/>
      </c>
      <c r="E3718" s="18" t="str">
        <f t="shared" si="175"/>
        <v/>
      </c>
      <c r="F3718" s="17" t="str">
        <f t="shared" si="176"/>
        <v/>
      </c>
    </row>
    <row r="3719" spans="2:6" x14ac:dyDescent="0.2">
      <c r="B3719" s="12"/>
      <c r="C3719" s="12"/>
      <c r="D3719" s="17" t="str">
        <f t="shared" si="174"/>
        <v/>
      </c>
      <c r="E3719" s="18" t="str">
        <f t="shared" si="175"/>
        <v/>
      </c>
      <c r="F3719" s="17" t="str">
        <f t="shared" si="176"/>
        <v/>
      </c>
    </row>
    <row r="3720" spans="2:6" x14ac:dyDescent="0.2">
      <c r="B3720" s="12"/>
      <c r="C3720" s="12"/>
      <c r="D3720" s="17" t="str">
        <f t="shared" si="174"/>
        <v/>
      </c>
      <c r="E3720" s="18" t="str">
        <f t="shared" si="175"/>
        <v/>
      </c>
      <c r="F3720" s="17" t="str">
        <f t="shared" si="176"/>
        <v/>
      </c>
    </row>
    <row r="3721" spans="2:6" x14ac:dyDescent="0.2">
      <c r="B3721" s="12"/>
      <c r="C3721" s="12"/>
      <c r="D3721" s="17" t="str">
        <f t="shared" si="174"/>
        <v/>
      </c>
      <c r="E3721" s="18" t="str">
        <f t="shared" si="175"/>
        <v/>
      </c>
      <c r="F3721" s="17" t="str">
        <f t="shared" si="176"/>
        <v/>
      </c>
    </row>
    <row r="3722" spans="2:6" x14ac:dyDescent="0.2">
      <c r="B3722" s="12"/>
      <c r="C3722" s="12"/>
      <c r="D3722" s="17" t="str">
        <f t="shared" si="174"/>
        <v/>
      </c>
      <c r="E3722" s="18" t="str">
        <f t="shared" si="175"/>
        <v/>
      </c>
      <c r="F3722" s="17" t="str">
        <f t="shared" si="176"/>
        <v/>
      </c>
    </row>
    <row r="3723" spans="2:6" x14ac:dyDescent="0.2">
      <c r="B3723" s="12"/>
      <c r="C3723" s="12"/>
      <c r="D3723" s="17" t="str">
        <f t="shared" si="174"/>
        <v/>
      </c>
      <c r="E3723" s="18" t="str">
        <f t="shared" si="175"/>
        <v/>
      </c>
      <c r="F3723" s="17" t="str">
        <f t="shared" si="176"/>
        <v/>
      </c>
    </row>
    <row r="3724" spans="2:6" x14ac:dyDescent="0.2">
      <c r="B3724" s="12"/>
      <c r="C3724" s="12"/>
      <c r="D3724" s="17" t="str">
        <f t="shared" si="174"/>
        <v/>
      </c>
      <c r="E3724" s="18" t="str">
        <f t="shared" si="175"/>
        <v/>
      </c>
      <c r="F3724" s="17" t="str">
        <f t="shared" si="176"/>
        <v/>
      </c>
    </row>
    <row r="3725" spans="2:6" x14ac:dyDescent="0.2">
      <c r="B3725" s="12"/>
      <c r="C3725" s="12"/>
      <c r="D3725" s="17" t="str">
        <f t="shared" si="174"/>
        <v/>
      </c>
      <c r="E3725" s="18" t="str">
        <f t="shared" si="175"/>
        <v/>
      </c>
      <c r="F3725" s="17" t="str">
        <f t="shared" si="176"/>
        <v/>
      </c>
    </row>
    <row r="3726" spans="2:6" x14ac:dyDescent="0.2">
      <c r="B3726" s="12"/>
      <c r="C3726" s="12"/>
      <c r="D3726" s="17" t="str">
        <f t="shared" si="174"/>
        <v/>
      </c>
      <c r="E3726" s="18" t="str">
        <f t="shared" si="175"/>
        <v/>
      </c>
      <c r="F3726" s="17" t="str">
        <f t="shared" si="176"/>
        <v/>
      </c>
    </row>
    <row r="3727" spans="2:6" x14ac:dyDescent="0.2">
      <c r="B3727" s="12"/>
      <c r="C3727" s="12"/>
      <c r="D3727" s="17" t="str">
        <f t="shared" si="174"/>
        <v/>
      </c>
      <c r="E3727" s="18" t="str">
        <f t="shared" si="175"/>
        <v/>
      </c>
      <c r="F3727" s="17" t="str">
        <f t="shared" si="176"/>
        <v/>
      </c>
    </row>
    <row r="3728" spans="2:6" x14ac:dyDescent="0.2">
      <c r="B3728" s="12"/>
      <c r="C3728" s="12"/>
      <c r="D3728" s="17" t="str">
        <f t="shared" si="174"/>
        <v/>
      </c>
      <c r="E3728" s="18" t="str">
        <f t="shared" si="175"/>
        <v/>
      </c>
      <c r="F3728" s="17" t="str">
        <f t="shared" si="176"/>
        <v/>
      </c>
    </row>
    <row r="3729" spans="2:6" x14ac:dyDescent="0.2">
      <c r="B3729" s="12"/>
      <c r="C3729" s="12"/>
      <c r="D3729" s="17" t="str">
        <f t="shared" si="174"/>
        <v/>
      </c>
      <c r="E3729" s="18" t="str">
        <f t="shared" si="175"/>
        <v/>
      </c>
      <c r="F3729" s="17" t="str">
        <f t="shared" si="176"/>
        <v/>
      </c>
    </row>
    <row r="3730" spans="2:6" x14ac:dyDescent="0.2">
      <c r="B3730" s="12"/>
      <c r="C3730" s="12"/>
      <c r="D3730" s="17" t="str">
        <f t="shared" ref="D3730:D3793" si="177">IF(B3730="","",a+b*B3730)</f>
        <v/>
      </c>
      <c r="E3730" s="18" t="str">
        <f t="shared" si="175"/>
        <v/>
      </c>
      <c r="F3730" s="17" t="str">
        <f t="shared" si="176"/>
        <v/>
      </c>
    </row>
    <row r="3731" spans="2:6" x14ac:dyDescent="0.2">
      <c r="B3731" s="12"/>
      <c r="C3731" s="12"/>
      <c r="D3731" s="17" t="str">
        <f t="shared" si="177"/>
        <v/>
      </c>
      <c r="E3731" s="18" t="str">
        <f t="shared" si="175"/>
        <v/>
      </c>
      <c r="F3731" s="17" t="str">
        <f t="shared" si="176"/>
        <v/>
      </c>
    </row>
    <row r="3732" spans="2:6" x14ac:dyDescent="0.2">
      <c r="B3732" s="12"/>
      <c r="C3732" s="12"/>
      <c r="D3732" s="17" t="str">
        <f t="shared" si="177"/>
        <v/>
      </c>
      <c r="E3732" s="18" t="str">
        <f t="shared" si="175"/>
        <v/>
      </c>
      <c r="F3732" s="17" t="str">
        <f t="shared" si="176"/>
        <v/>
      </c>
    </row>
    <row r="3733" spans="2:6" x14ac:dyDescent="0.2">
      <c r="B3733" s="12"/>
      <c r="C3733" s="12"/>
      <c r="D3733" s="17" t="str">
        <f t="shared" si="177"/>
        <v/>
      </c>
      <c r="E3733" s="18" t="str">
        <f t="shared" si="175"/>
        <v/>
      </c>
      <c r="F3733" s="17" t="str">
        <f t="shared" si="176"/>
        <v/>
      </c>
    </row>
    <row r="3734" spans="2:6" x14ac:dyDescent="0.2">
      <c r="B3734" s="12"/>
      <c r="C3734" s="12"/>
      <c r="D3734" s="17" t="str">
        <f t="shared" si="177"/>
        <v/>
      </c>
      <c r="E3734" s="18" t="str">
        <f t="shared" si="175"/>
        <v/>
      </c>
      <c r="F3734" s="17" t="str">
        <f t="shared" si="176"/>
        <v/>
      </c>
    </row>
    <row r="3735" spans="2:6" x14ac:dyDescent="0.2">
      <c r="B3735" s="12"/>
      <c r="C3735" s="12"/>
      <c r="D3735" s="17" t="str">
        <f t="shared" si="177"/>
        <v/>
      </c>
      <c r="E3735" s="18" t="str">
        <f t="shared" si="175"/>
        <v/>
      </c>
      <c r="F3735" s="17" t="str">
        <f t="shared" si="176"/>
        <v/>
      </c>
    </row>
    <row r="3736" spans="2:6" x14ac:dyDescent="0.2">
      <c r="B3736" s="12"/>
      <c r="C3736" s="12"/>
      <c r="D3736" s="17" t="str">
        <f t="shared" si="177"/>
        <v/>
      </c>
      <c r="E3736" s="18" t="str">
        <f t="shared" si="175"/>
        <v/>
      </c>
      <c r="F3736" s="17" t="str">
        <f t="shared" si="176"/>
        <v/>
      </c>
    </row>
    <row r="3737" spans="2:6" x14ac:dyDescent="0.2">
      <c r="B3737" s="12"/>
      <c r="C3737" s="12"/>
      <c r="D3737" s="17" t="str">
        <f t="shared" si="177"/>
        <v/>
      </c>
      <c r="E3737" s="18" t="str">
        <f t="shared" si="175"/>
        <v/>
      </c>
      <c r="F3737" s="17" t="str">
        <f t="shared" si="176"/>
        <v/>
      </c>
    </row>
    <row r="3738" spans="2:6" x14ac:dyDescent="0.2">
      <c r="B3738" s="12"/>
      <c r="C3738" s="12"/>
      <c r="D3738" s="17" t="str">
        <f t="shared" si="177"/>
        <v/>
      </c>
      <c r="E3738" s="18" t="str">
        <f t="shared" si="175"/>
        <v/>
      </c>
      <c r="F3738" s="17" t="str">
        <f t="shared" si="176"/>
        <v/>
      </c>
    </row>
    <row r="3739" spans="2:6" x14ac:dyDescent="0.2">
      <c r="B3739" s="12"/>
      <c r="C3739" s="12"/>
      <c r="D3739" s="17" t="str">
        <f t="shared" si="177"/>
        <v/>
      </c>
      <c r="E3739" s="18" t="str">
        <f t="shared" si="175"/>
        <v/>
      </c>
      <c r="F3739" s="17" t="str">
        <f t="shared" si="176"/>
        <v/>
      </c>
    </row>
    <row r="3740" spans="2:6" x14ac:dyDescent="0.2">
      <c r="B3740" s="12"/>
      <c r="C3740" s="12"/>
      <c r="D3740" s="17" t="str">
        <f t="shared" si="177"/>
        <v/>
      </c>
      <c r="E3740" s="18" t="str">
        <f t="shared" si="175"/>
        <v/>
      </c>
      <c r="F3740" s="17" t="str">
        <f t="shared" si="176"/>
        <v/>
      </c>
    </row>
    <row r="3741" spans="2:6" x14ac:dyDescent="0.2">
      <c r="B3741" s="12"/>
      <c r="C3741" s="12"/>
      <c r="D3741" s="17" t="str">
        <f t="shared" si="177"/>
        <v/>
      </c>
      <c r="E3741" s="18" t="str">
        <f t="shared" si="175"/>
        <v/>
      </c>
      <c r="F3741" s="17" t="str">
        <f t="shared" si="176"/>
        <v/>
      </c>
    </row>
    <row r="3742" spans="2:6" x14ac:dyDescent="0.2">
      <c r="B3742" s="12"/>
      <c r="C3742" s="12"/>
      <c r="D3742" s="17" t="str">
        <f t="shared" si="177"/>
        <v/>
      </c>
      <c r="E3742" s="18" t="str">
        <f t="shared" si="175"/>
        <v/>
      </c>
      <c r="F3742" s="17" t="str">
        <f t="shared" si="176"/>
        <v/>
      </c>
    </row>
    <row r="3743" spans="2:6" x14ac:dyDescent="0.2">
      <c r="B3743" s="12"/>
      <c r="C3743" s="12"/>
      <c r="D3743" s="17" t="str">
        <f t="shared" si="177"/>
        <v/>
      </c>
      <c r="E3743" s="18" t="str">
        <f t="shared" si="175"/>
        <v/>
      </c>
      <c r="F3743" s="17" t="str">
        <f t="shared" si="176"/>
        <v/>
      </c>
    </row>
    <row r="3744" spans="2:6" x14ac:dyDescent="0.2">
      <c r="B3744" s="12"/>
      <c r="C3744" s="12"/>
      <c r="D3744" s="17" t="str">
        <f t="shared" si="177"/>
        <v/>
      </c>
      <c r="E3744" s="18" t="str">
        <f t="shared" si="175"/>
        <v/>
      </c>
      <c r="F3744" s="17" t="str">
        <f t="shared" si="176"/>
        <v/>
      </c>
    </row>
    <row r="3745" spans="2:6" x14ac:dyDescent="0.2">
      <c r="B3745" s="12"/>
      <c r="C3745" s="12"/>
      <c r="D3745" s="17" t="str">
        <f t="shared" si="177"/>
        <v/>
      </c>
      <c r="E3745" s="18" t="str">
        <f t="shared" si="175"/>
        <v/>
      </c>
      <c r="F3745" s="17" t="str">
        <f t="shared" si="176"/>
        <v/>
      </c>
    </row>
    <row r="3746" spans="2:6" x14ac:dyDescent="0.2">
      <c r="B3746" s="12"/>
      <c r="C3746" s="12"/>
      <c r="D3746" s="17" t="str">
        <f t="shared" si="177"/>
        <v/>
      </c>
      <c r="E3746" s="18" t="str">
        <f t="shared" si="175"/>
        <v/>
      </c>
      <c r="F3746" s="17" t="str">
        <f t="shared" si="176"/>
        <v/>
      </c>
    </row>
    <row r="3747" spans="2:6" x14ac:dyDescent="0.2">
      <c r="B3747" s="12"/>
      <c r="C3747" s="12"/>
      <c r="D3747" s="17" t="str">
        <f t="shared" si="177"/>
        <v/>
      </c>
      <c r="E3747" s="18" t="str">
        <f t="shared" si="175"/>
        <v/>
      </c>
      <c r="F3747" s="17" t="str">
        <f t="shared" si="176"/>
        <v/>
      </c>
    </row>
    <row r="3748" spans="2:6" x14ac:dyDescent="0.2">
      <c r="B3748" s="12"/>
      <c r="C3748" s="12"/>
      <c r="D3748" s="17" t="str">
        <f t="shared" si="177"/>
        <v/>
      </c>
      <c r="E3748" s="18" t="str">
        <f t="shared" si="175"/>
        <v/>
      </c>
      <c r="F3748" s="17" t="str">
        <f t="shared" si="176"/>
        <v/>
      </c>
    </row>
    <row r="3749" spans="2:6" x14ac:dyDescent="0.2">
      <c r="B3749" s="12"/>
      <c r="C3749" s="12"/>
      <c r="D3749" s="17" t="str">
        <f t="shared" si="177"/>
        <v/>
      </c>
      <c r="E3749" s="18" t="str">
        <f t="shared" si="175"/>
        <v/>
      </c>
      <c r="F3749" s="17" t="str">
        <f t="shared" si="176"/>
        <v/>
      </c>
    </row>
    <row r="3750" spans="2:6" x14ac:dyDescent="0.2">
      <c r="B3750" s="12"/>
      <c r="C3750" s="12"/>
      <c r="D3750" s="17" t="str">
        <f t="shared" si="177"/>
        <v/>
      </c>
      <c r="E3750" s="18" t="str">
        <f t="shared" si="175"/>
        <v/>
      </c>
      <c r="F3750" s="17" t="str">
        <f t="shared" si="176"/>
        <v/>
      </c>
    </row>
    <row r="3751" spans="2:6" x14ac:dyDescent="0.2">
      <c r="B3751" s="12"/>
      <c r="C3751" s="12"/>
      <c r="D3751" s="17" t="str">
        <f t="shared" si="177"/>
        <v/>
      </c>
      <c r="E3751" s="18" t="str">
        <f t="shared" si="175"/>
        <v/>
      </c>
      <c r="F3751" s="17" t="str">
        <f t="shared" si="176"/>
        <v/>
      </c>
    </row>
    <row r="3752" spans="2:6" x14ac:dyDescent="0.2">
      <c r="B3752" s="12"/>
      <c r="C3752" s="12"/>
      <c r="D3752" s="17" t="str">
        <f t="shared" si="177"/>
        <v/>
      </c>
      <c r="E3752" s="18" t="str">
        <f t="shared" si="175"/>
        <v/>
      </c>
      <c r="F3752" s="17" t="str">
        <f t="shared" si="176"/>
        <v/>
      </c>
    </row>
    <row r="3753" spans="2:6" x14ac:dyDescent="0.2">
      <c r="B3753" s="12"/>
      <c r="C3753" s="12"/>
      <c r="D3753" s="17" t="str">
        <f t="shared" si="177"/>
        <v/>
      </c>
      <c r="E3753" s="18" t="str">
        <f t="shared" si="175"/>
        <v/>
      </c>
      <c r="F3753" s="17" t="str">
        <f t="shared" si="176"/>
        <v/>
      </c>
    </row>
    <row r="3754" spans="2:6" x14ac:dyDescent="0.2">
      <c r="B3754" s="12"/>
      <c r="C3754" s="12"/>
      <c r="D3754" s="17" t="str">
        <f t="shared" si="177"/>
        <v/>
      </c>
      <c r="E3754" s="18" t="str">
        <f t="shared" si="175"/>
        <v/>
      </c>
      <c r="F3754" s="17" t="str">
        <f t="shared" si="176"/>
        <v/>
      </c>
    </row>
    <row r="3755" spans="2:6" x14ac:dyDescent="0.2">
      <c r="B3755" s="12"/>
      <c r="C3755" s="12"/>
      <c r="D3755" s="17" t="str">
        <f t="shared" si="177"/>
        <v/>
      </c>
      <c r="E3755" s="18" t="str">
        <f t="shared" si="175"/>
        <v/>
      </c>
      <c r="F3755" s="17" t="str">
        <f t="shared" si="176"/>
        <v/>
      </c>
    </row>
    <row r="3756" spans="2:6" x14ac:dyDescent="0.2">
      <c r="B3756" s="12"/>
      <c r="C3756" s="12"/>
      <c r="D3756" s="17" t="str">
        <f t="shared" si="177"/>
        <v/>
      </c>
      <c r="E3756" s="18" t="str">
        <f t="shared" si="175"/>
        <v/>
      </c>
      <c r="F3756" s="17" t="str">
        <f t="shared" si="176"/>
        <v/>
      </c>
    </row>
    <row r="3757" spans="2:6" x14ac:dyDescent="0.2">
      <c r="B3757" s="12"/>
      <c r="C3757" s="12"/>
      <c r="D3757" s="17" t="str">
        <f t="shared" si="177"/>
        <v/>
      </c>
      <c r="E3757" s="18" t="str">
        <f t="shared" si="175"/>
        <v/>
      </c>
      <c r="F3757" s="17" t="str">
        <f t="shared" si="176"/>
        <v/>
      </c>
    </row>
    <row r="3758" spans="2:6" x14ac:dyDescent="0.2">
      <c r="B3758" s="12"/>
      <c r="C3758" s="12"/>
      <c r="D3758" s="17" t="str">
        <f t="shared" si="177"/>
        <v/>
      </c>
      <c r="E3758" s="18" t="str">
        <f t="shared" si="175"/>
        <v/>
      </c>
      <c r="F3758" s="17" t="str">
        <f t="shared" si="176"/>
        <v/>
      </c>
    </row>
    <row r="3759" spans="2:6" x14ac:dyDescent="0.2">
      <c r="B3759" s="12"/>
      <c r="C3759" s="12"/>
      <c r="D3759" s="17" t="str">
        <f t="shared" si="177"/>
        <v/>
      </c>
      <c r="E3759" s="18" t="str">
        <f t="shared" si="175"/>
        <v/>
      </c>
      <c r="F3759" s="17" t="str">
        <f t="shared" si="176"/>
        <v/>
      </c>
    </row>
    <row r="3760" spans="2:6" x14ac:dyDescent="0.2">
      <c r="B3760" s="12"/>
      <c r="C3760" s="12"/>
      <c r="D3760" s="17" t="str">
        <f t="shared" si="177"/>
        <v/>
      </c>
      <c r="E3760" s="18" t="str">
        <f t="shared" si="175"/>
        <v/>
      </c>
      <c r="F3760" s="17" t="str">
        <f t="shared" si="176"/>
        <v/>
      </c>
    </row>
    <row r="3761" spans="2:6" x14ac:dyDescent="0.2">
      <c r="B3761" s="12"/>
      <c r="C3761" s="12"/>
      <c r="D3761" s="17" t="str">
        <f t="shared" si="177"/>
        <v/>
      </c>
      <c r="E3761" s="18" t="str">
        <f t="shared" si="175"/>
        <v/>
      </c>
      <c r="F3761" s="17" t="str">
        <f t="shared" si="176"/>
        <v/>
      </c>
    </row>
    <row r="3762" spans="2:6" x14ac:dyDescent="0.2">
      <c r="B3762" s="12"/>
      <c r="C3762" s="12"/>
      <c r="D3762" s="17" t="str">
        <f t="shared" si="177"/>
        <v/>
      </c>
      <c r="E3762" s="18" t="str">
        <f t="shared" si="175"/>
        <v/>
      </c>
      <c r="F3762" s="17" t="str">
        <f t="shared" si="176"/>
        <v/>
      </c>
    </row>
    <row r="3763" spans="2:6" x14ac:dyDescent="0.2">
      <c r="B3763" s="12"/>
      <c r="C3763" s="12"/>
      <c r="D3763" s="17" t="str">
        <f t="shared" si="177"/>
        <v/>
      </c>
      <c r="E3763" s="18" t="str">
        <f t="shared" si="175"/>
        <v/>
      </c>
      <c r="F3763" s="17" t="str">
        <f t="shared" si="176"/>
        <v/>
      </c>
    </row>
    <row r="3764" spans="2:6" x14ac:dyDescent="0.2">
      <c r="B3764" s="12"/>
      <c r="C3764" s="12"/>
      <c r="D3764" s="17" t="str">
        <f t="shared" si="177"/>
        <v/>
      </c>
      <c r="E3764" s="18" t="str">
        <f t="shared" si="175"/>
        <v/>
      </c>
      <c r="F3764" s="17" t="str">
        <f t="shared" si="176"/>
        <v/>
      </c>
    </row>
    <row r="3765" spans="2:6" x14ac:dyDescent="0.2">
      <c r="B3765" s="12"/>
      <c r="C3765" s="12"/>
      <c r="D3765" s="17" t="str">
        <f t="shared" si="177"/>
        <v/>
      </c>
      <c r="E3765" s="18" t="str">
        <f t="shared" si="175"/>
        <v/>
      </c>
      <c r="F3765" s="17" t="str">
        <f t="shared" si="176"/>
        <v/>
      </c>
    </row>
    <row r="3766" spans="2:6" x14ac:dyDescent="0.2">
      <c r="B3766" s="12"/>
      <c r="C3766" s="12"/>
      <c r="D3766" s="17" t="str">
        <f t="shared" si="177"/>
        <v/>
      </c>
      <c r="E3766" s="18" t="str">
        <f t="shared" si="175"/>
        <v/>
      </c>
      <c r="F3766" s="17" t="str">
        <f t="shared" si="176"/>
        <v/>
      </c>
    </row>
    <row r="3767" spans="2:6" x14ac:dyDescent="0.2">
      <c r="B3767" s="12"/>
      <c r="C3767" s="12"/>
      <c r="D3767" s="17" t="str">
        <f t="shared" si="177"/>
        <v/>
      </c>
      <c r="E3767" s="18" t="str">
        <f t="shared" si="175"/>
        <v/>
      </c>
      <c r="F3767" s="17" t="str">
        <f t="shared" si="176"/>
        <v/>
      </c>
    </row>
    <row r="3768" spans="2:6" x14ac:dyDescent="0.2">
      <c r="B3768" s="12"/>
      <c r="C3768" s="12"/>
      <c r="D3768" s="17" t="str">
        <f t="shared" si="177"/>
        <v/>
      </c>
      <c r="E3768" s="18" t="str">
        <f t="shared" si="175"/>
        <v/>
      </c>
      <c r="F3768" s="17" t="str">
        <f t="shared" si="176"/>
        <v/>
      </c>
    </row>
    <row r="3769" spans="2:6" x14ac:dyDescent="0.2">
      <c r="B3769" s="12"/>
      <c r="C3769" s="12"/>
      <c r="D3769" s="17" t="str">
        <f t="shared" si="177"/>
        <v/>
      </c>
      <c r="E3769" s="18" t="str">
        <f t="shared" si="175"/>
        <v/>
      </c>
      <c r="F3769" s="17" t="str">
        <f t="shared" si="176"/>
        <v/>
      </c>
    </row>
    <row r="3770" spans="2:6" x14ac:dyDescent="0.2">
      <c r="B3770" s="12"/>
      <c r="C3770" s="12"/>
      <c r="D3770" s="17" t="str">
        <f t="shared" si="177"/>
        <v/>
      </c>
      <c r="E3770" s="18" t="str">
        <f t="shared" si="175"/>
        <v/>
      </c>
      <c r="F3770" s="17" t="str">
        <f t="shared" si="176"/>
        <v/>
      </c>
    </row>
    <row r="3771" spans="2:6" x14ac:dyDescent="0.2">
      <c r="B3771" s="12"/>
      <c r="C3771" s="12"/>
      <c r="D3771" s="17" t="str">
        <f t="shared" si="177"/>
        <v/>
      </c>
      <c r="E3771" s="18" t="str">
        <f t="shared" si="175"/>
        <v/>
      </c>
      <c r="F3771" s="17" t="str">
        <f t="shared" si="176"/>
        <v/>
      </c>
    </row>
    <row r="3772" spans="2:6" x14ac:dyDescent="0.2">
      <c r="B3772" s="12"/>
      <c r="C3772" s="12"/>
      <c r="D3772" s="17" t="str">
        <f t="shared" si="177"/>
        <v/>
      </c>
      <c r="E3772" s="18" t="str">
        <f t="shared" si="175"/>
        <v/>
      </c>
      <c r="F3772" s="17" t="str">
        <f t="shared" si="176"/>
        <v/>
      </c>
    </row>
    <row r="3773" spans="2:6" x14ac:dyDescent="0.2">
      <c r="B3773" s="12"/>
      <c r="C3773" s="12"/>
      <c r="D3773" s="17" t="str">
        <f t="shared" si="177"/>
        <v/>
      </c>
      <c r="E3773" s="18" t="str">
        <f t="shared" si="175"/>
        <v/>
      </c>
      <c r="F3773" s="17" t="str">
        <f t="shared" si="176"/>
        <v/>
      </c>
    </row>
    <row r="3774" spans="2:6" x14ac:dyDescent="0.2">
      <c r="B3774" s="12"/>
      <c r="C3774" s="12"/>
      <c r="D3774" s="17" t="str">
        <f t="shared" si="177"/>
        <v/>
      </c>
      <c r="E3774" s="18" t="str">
        <f t="shared" si="175"/>
        <v/>
      </c>
      <c r="F3774" s="17" t="str">
        <f t="shared" si="176"/>
        <v/>
      </c>
    </row>
    <row r="3775" spans="2:6" x14ac:dyDescent="0.2">
      <c r="B3775" s="12"/>
      <c r="C3775" s="12"/>
      <c r="D3775" s="17" t="str">
        <f t="shared" si="177"/>
        <v/>
      </c>
      <c r="E3775" s="18" t="str">
        <f t="shared" si="175"/>
        <v/>
      </c>
      <c r="F3775" s="17" t="str">
        <f t="shared" si="176"/>
        <v/>
      </c>
    </row>
    <row r="3776" spans="2:6" x14ac:dyDescent="0.2">
      <c r="B3776" s="12"/>
      <c r="C3776" s="12"/>
      <c r="D3776" s="17" t="str">
        <f t="shared" si="177"/>
        <v/>
      </c>
      <c r="E3776" s="18" t="str">
        <f t="shared" si="175"/>
        <v/>
      </c>
      <c r="F3776" s="17" t="str">
        <f t="shared" si="176"/>
        <v/>
      </c>
    </row>
    <row r="3777" spans="2:6" x14ac:dyDescent="0.2">
      <c r="B3777" s="12"/>
      <c r="C3777" s="12"/>
      <c r="D3777" s="17" t="str">
        <f t="shared" si="177"/>
        <v/>
      </c>
      <c r="E3777" s="18" t="str">
        <f t="shared" si="175"/>
        <v/>
      </c>
      <c r="F3777" s="17" t="str">
        <f t="shared" si="176"/>
        <v/>
      </c>
    </row>
    <row r="3778" spans="2:6" x14ac:dyDescent="0.2">
      <c r="B3778" s="12"/>
      <c r="C3778" s="12"/>
      <c r="D3778" s="17" t="str">
        <f t="shared" si="177"/>
        <v/>
      </c>
      <c r="E3778" s="18" t="str">
        <f t="shared" si="175"/>
        <v/>
      </c>
      <c r="F3778" s="17" t="str">
        <f t="shared" si="176"/>
        <v/>
      </c>
    </row>
    <row r="3779" spans="2:6" x14ac:dyDescent="0.2">
      <c r="B3779" s="12"/>
      <c r="C3779" s="12"/>
      <c r="D3779" s="17" t="str">
        <f t="shared" si="177"/>
        <v/>
      </c>
      <c r="E3779" s="18" t="str">
        <f t="shared" si="175"/>
        <v/>
      </c>
      <c r="F3779" s="17" t="str">
        <f t="shared" si="176"/>
        <v/>
      </c>
    </row>
    <row r="3780" spans="2:6" x14ac:dyDescent="0.2">
      <c r="B3780" s="12"/>
      <c r="C3780" s="12"/>
      <c r="D3780" s="17" t="str">
        <f t="shared" si="177"/>
        <v/>
      </c>
      <c r="E3780" s="18" t="str">
        <f t="shared" si="175"/>
        <v/>
      </c>
      <c r="F3780" s="17" t="str">
        <f t="shared" si="176"/>
        <v/>
      </c>
    </row>
    <row r="3781" spans="2:6" x14ac:dyDescent="0.2">
      <c r="B3781" s="12"/>
      <c r="C3781" s="12"/>
      <c r="D3781" s="17" t="str">
        <f t="shared" si="177"/>
        <v/>
      </c>
      <c r="E3781" s="18" t="str">
        <f t="shared" ref="E3781:E3844" si="178">IF(B3781="","",ABS(C3781-D3781))</f>
        <v/>
      </c>
      <c r="F3781" s="17" t="str">
        <f t="shared" ref="F3781:F3844" si="179">IF(B3781="","",E3781^2)</f>
        <v/>
      </c>
    </row>
    <row r="3782" spans="2:6" x14ac:dyDescent="0.2">
      <c r="B3782" s="12"/>
      <c r="C3782" s="12"/>
      <c r="D3782" s="17" t="str">
        <f t="shared" si="177"/>
        <v/>
      </c>
      <c r="E3782" s="18" t="str">
        <f t="shared" si="178"/>
        <v/>
      </c>
      <c r="F3782" s="17" t="str">
        <f t="shared" si="179"/>
        <v/>
      </c>
    </row>
    <row r="3783" spans="2:6" x14ac:dyDescent="0.2">
      <c r="B3783" s="12"/>
      <c r="C3783" s="12"/>
      <c r="D3783" s="17" t="str">
        <f t="shared" si="177"/>
        <v/>
      </c>
      <c r="E3783" s="18" t="str">
        <f t="shared" si="178"/>
        <v/>
      </c>
      <c r="F3783" s="17" t="str">
        <f t="shared" si="179"/>
        <v/>
      </c>
    </row>
    <row r="3784" spans="2:6" x14ac:dyDescent="0.2">
      <c r="B3784" s="12"/>
      <c r="C3784" s="12"/>
      <c r="D3784" s="17" t="str">
        <f t="shared" si="177"/>
        <v/>
      </c>
      <c r="E3784" s="18" t="str">
        <f t="shared" si="178"/>
        <v/>
      </c>
      <c r="F3784" s="17" t="str">
        <f t="shared" si="179"/>
        <v/>
      </c>
    </row>
    <row r="3785" spans="2:6" x14ac:dyDescent="0.2">
      <c r="B3785" s="12"/>
      <c r="C3785" s="12"/>
      <c r="D3785" s="17" t="str">
        <f t="shared" si="177"/>
        <v/>
      </c>
      <c r="E3785" s="18" t="str">
        <f t="shared" si="178"/>
        <v/>
      </c>
      <c r="F3785" s="17" t="str">
        <f t="shared" si="179"/>
        <v/>
      </c>
    </row>
    <row r="3786" spans="2:6" x14ac:dyDescent="0.2">
      <c r="B3786" s="12"/>
      <c r="C3786" s="12"/>
      <c r="D3786" s="17" t="str">
        <f t="shared" si="177"/>
        <v/>
      </c>
      <c r="E3786" s="18" t="str">
        <f t="shared" si="178"/>
        <v/>
      </c>
      <c r="F3786" s="17" t="str">
        <f t="shared" si="179"/>
        <v/>
      </c>
    </row>
    <row r="3787" spans="2:6" x14ac:dyDescent="0.2">
      <c r="B3787" s="12"/>
      <c r="C3787" s="12"/>
      <c r="D3787" s="17" t="str">
        <f t="shared" si="177"/>
        <v/>
      </c>
      <c r="E3787" s="18" t="str">
        <f t="shared" si="178"/>
        <v/>
      </c>
      <c r="F3787" s="17" t="str">
        <f t="shared" si="179"/>
        <v/>
      </c>
    </row>
    <row r="3788" spans="2:6" x14ac:dyDescent="0.2">
      <c r="B3788" s="12"/>
      <c r="C3788" s="12"/>
      <c r="D3788" s="17" t="str">
        <f t="shared" si="177"/>
        <v/>
      </c>
      <c r="E3788" s="18" t="str">
        <f t="shared" si="178"/>
        <v/>
      </c>
      <c r="F3788" s="17" t="str">
        <f t="shared" si="179"/>
        <v/>
      </c>
    </row>
    <row r="3789" spans="2:6" x14ac:dyDescent="0.2">
      <c r="B3789" s="12"/>
      <c r="C3789" s="12"/>
      <c r="D3789" s="17" t="str">
        <f t="shared" si="177"/>
        <v/>
      </c>
      <c r="E3789" s="18" t="str">
        <f t="shared" si="178"/>
        <v/>
      </c>
      <c r="F3789" s="17" t="str">
        <f t="shared" si="179"/>
        <v/>
      </c>
    </row>
    <row r="3790" spans="2:6" x14ac:dyDescent="0.2">
      <c r="B3790" s="12"/>
      <c r="C3790" s="12"/>
      <c r="D3790" s="17" t="str">
        <f t="shared" si="177"/>
        <v/>
      </c>
      <c r="E3790" s="18" t="str">
        <f t="shared" si="178"/>
        <v/>
      </c>
      <c r="F3790" s="17" t="str">
        <f t="shared" si="179"/>
        <v/>
      </c>
    </row>
    <row r="3791" spans="2:6" x14ac:dyDescent="0.2">
      <c r="B3791" s="12"/>
      <c r="C3791" s="12"/>
      <c r="D3791" s="17" t="str">
        <f t="shared" si="177"/>
        <v/>
      </c>
      <c r="E3791" s="18" t="str">
        <f t="shared" si="178"/>
        <v/>
      </c>
      <c r="F3791" s="17" t="str">
        <f t="shared" si="179"/>
        <v/>
      </c>
    </row>
    <row r="3792" spans="2:6" x14ac:dyDescent="0.2">
      <c r="B3792" s="12"/>
      <c r="C3792" s="12"/>
      <c r="D3792" s="17" t="str">
        <f t="shared" si="177"/>
        <v/>
      </c>
      <c r="E3792" s="18" t="str">
        <f t="shared" si="178"/>
        <v/>
      </c>
      <c r="F3792" s="17" t="str">
        <f t="shared" si="179"/>
        <v/>
      </c>
    </row>
    <row r="3793" spans="2:6" x14ac:dyDescent="0.2">
      <c r="B3793" s="12"/>
      <c r="C3793" s="12"/>
      <c r="D3793" s="17" t="str">
        <f t="shared" si="177"/>
        <v/>
      </c>
      <c r="E3793" s="18" t="str">
        <f t="shared" si="178"/>
        <v/>
      </c>
      <c r="F3793" s="17" t="str">
        <f t="shared" si="179"/>
        <v/>
      </c>
    </row>
    <row r="3794" spans="2:6" x14ac:dyDescent="0.2">
      <c r="B3794" s="12"/>
      <c r="C3794" s="12"/>
      <c r="D3794" s="17" t="str">
        <f t="shared" ref="D3794:D3857" si="180">IF(B3794="","",a+b*B3794)</f>
        <v/>
      </c>
      <c r="E3794" s="18" t="str">
        <f t="shared" si="178"/>
        <v/>
      </c>
      <c r="F3794" s="17" t="str">
        <f t="shared" si="179"/>
        <v/>
      </c>
    </row>
    <row r="3795" spans="2:6" x14ac:dyDescent="0.2">
      <c r="B3795" s="12"/>
      <c r="C3795" s="12"/>
      <c r="D3795" s="17" t="str">
        <f t="shared" si="180"/>
        <v/>
      </c>
      <c r="E3795" s="18" t="str">
        <f t="shared" si="178"/>
        <v/>
      </c>
      <c r="F3795" s="17" t="str">
        <f t="shared" si="179"/>
        <v/>
      </c>
    </row>
    <row r="3796" spans="2:6" x14ac:dyDescent="0.2">
      <c r="B3796" s="12"/>
      <c r="C3796" s="12"/>
      <c r="D3796" s="17" t="str">
        <f t="shared" si="180"/>
        <v/>
      </c>
      <c r="E3796" s="18" t="str">
        <f t="shared" si="178"/>
        <v/>
      </c>
      <c r="F3796" s="17" t="str">
        <f t="shared" si="179"/>
        <v/>
      </c>
    </row>
    <row r="3797" spans="2:6" x14ac:dyDescent="0.2">
      <c r="B3797" s="12"/>
      <c r="C3797" s="12"/>
      <c r="D3797" s="17" t="str">
        <f t="shared" si="180"/>
        <v/>
      </c>
      <c r="E3797" s="18" t="str">
        <f t="shared" si="178"/>
        <v/>
      </c>
      <c r="F3797" s="17" t="str">
        <f t="shared" si="179"/>
        <v/>
      </c>
    </row>
    <row r="3798" spans="2:6" x14ac:dyDescent="0.2">
      <c r="B3798" s="12"/>
      <c r="C3798" s="12"/>
      <c r="D3798" s="17" t="str">
        <f t="shared" si="180"/>
        <v/>
      </c>
      <c r="E3798" s="18" t="str">
        <f t="shared" si="178"/>
        <v/>
      </c>
      <c r="F3798" s="17" t="str">
        <f t="shared" si="179"/>
        <v/>
      </c>
    </row>
    <row r="3799" spans="2:6" x14ac:dyDescent="0.2">
      <c r="B3799" s="12"/>
      <c r="C3799" s="12"/>
      <c r="D3799" s="17" t="str">
        <f t="shared" si="180"/>
        <v/>
      </c>
      <c r="E3799" s="18" t="str">
        <f t="shared" si="178"/>
        <v/>
      </c>
      <c r="F3799" s="17" t="str">
        <f t="shared" si="179"/>
        <v/>
      </c>
    </row>
    <row r="3800" spans="2:6" x14ac:dyDescent="0.2">
      <c r="B3800" s="12"/>
      <c r="C3800" s="12"/>
      <c r="D3800" s="17" t="str">
        <f t="shared" si="180"/>
        <v/>
      </c>
      <c r="E3800" s="18" t="str">
        <f t="shared" si="178"/>
        <v/>
      </c>
      <c r="F3800" s="17" t="str">
        <f t="shared" si="179"/>
        <v/>
      </c>
    </row>
    <row r="3801" spans="2:6" x14ac:dyDescent="0.2">
      <c r="B3801" s="12"/>
      <c r="C3801" s="12"/>
      <c r="D3801" s="17" t="str">
        <f t="shared" si="180"/>
        <v/>
      </c>
      <c r="E3801" s="18" t="str">
        <f t="shared" si="178"/>
        <v/>
      </c>
      <c r="F3801" s="17" t="str">
        <f t="shared" si="179"/>
        <v/>
      </c>
    </row>
    <row r="3802" spans="2:6" x14ac:dyDescent="0.2">
      <c r="B3802" s="12"/>
      <c r="C3802" s="12"/>
      <c r="D3802" s="17" t="str">
        <f t="shared" si="180"/>
        <v/>
      </c>
      <c r="E3802" s="18" t="str">
        <f t="shared" si="178"/>
        <v/>
      </c>
      <c r="F3802" s="17" t="str">
        <f t="shared" si="179"/>
        <v/>
      </c>
    </row>
    <row r="3803" spans="2:6" x14ac:dyDescent="0.2">
      <c r="B3803" s="12"/>
      <c r="C3803" s="12"/>
      <c r="D3803" s="17" t="str">
        <f t="shared" si="180"/>
        <v/>
      </c>
      <c r="E3803" s="18" t="str">
        <f t="shared" si="178"/>
        <v/>
      </c>
      <c r="F3803" s="17" t="str">
        <f t="shared" si="179"/>
        <v/>
      </c>
    </row>
    <row r="3804" spans="2:6" x14ac:dyDescent="0.2">
      <c r="B3804" s="12"/>
      <c r="C3804" s="12"/>
      <c r="D3804" s="17" t="str">
        <f t="shared" si="180"/>
        <v/>
      </c>
      <c r="E3804" s="18" t="str">
        <f t="shared" si="178"/>
        <v/>
      </c>
      <c r="F3804" s="17" t="str">
        <f t="shared" si="179"/>
        <v/>
      </c>
    </row>
    <row r="3805" spans="2:6" x14ac:dyDescent="0.2">
      <c r="B3805" s="12"/>
      <c r="C3805" s="12"/>
      <c r="D3805" s="17" t="str">
        <f t="shared" si="180"/>
        <v/>
      </c>
      <c r="E3805" s="18" t="str">
        <f t="shared" si="178"/>
        <v/>
      </c>
      <c r="F3805" s="17" t="str">
        <f t="shared" si="179"/>
        <v/>
      </c>
    </row>
    <row r="3806" spans="2:6" x14ac:dyDescent="0.2">
      <c r="B3806" s="12"/>
      <c r="C3806" s="12"/>
      <c r="D3806" s="17" t="str">
        <f t="shared" si="180"/>
        <v/>
      </c>
      <c r="E3806" s="18" t="str">
        <f t="shared" si="178"/>
        <v/>
      </c>
      <c r="F3806" s="17" t="str">
        <f t="shared" si="179"/>
        <v/>
      </c>
    </row>
    <row r="3807" spans="2:6" x14ac:dyDescent="0.2">
      <c r="B3807" s="12"/>
      <c r="C3807" s="12"/>
      <c r="D3807" s="17" t="str">
        <f t="shared" si="180"/>
        <v/>
      </c>
      <c r="E3807" s="18" t="str">
        <f t="shared" si="178"/>
        <v/>
      </c>
      <c r="F3807" s="17" t="str">
        <f t="shared" si="179"/>
        <v/>
      </c>
    </row>
    <row r="3808" spans="2:6" x14ac:dyDescent="0.2">
      <c r="B3808" s="12"/>
      <c r="C3808" s="12"/>
      <c r="D3808" s="17" t="str">
        <f t="shared" si="180"/>
        <v/>
      </c>
      <c r="E3808" s="18" t="str">
        <f t="shared" si="178"/>
        <v/>
      </c>
      <c r="F3808" s="17" t="str">
        <f t="shared" si="179"/>
        <v/>
      </c>
    </row>
    <row r="3809" spans="2:6" x14ac:dyDescent="0.2">
      <c r="B3809" s="12"/>
      <c r="C3809" s="12"/>
      <c r="D3809" s="17" t="str">
        <f t="shared" si="180"/>
        <v/>
      </c>
      <c r="E3809" s="18" t="str">
        <f t="shared" si="178"/>
        <v/>
      </c>
      <c r="F3809" s="17" t="str">
        <f t="shared" si="179"/>
        <v/>
      </c>
    </row>
    <row r="3810" spans="2:6" x14ac:dyDescent="0.2">
      <c r="B3810" s="12"/>
      <c r="C3810" s="12"/>
      <c r="D3810" s="17" t="str">
        <f t="shared" si="180"/>
        <v/>
      </c>
      <c r="E3810" s="18" t="str">
        <f t="shared" si="178"/>
        <v/>
      </c>
      <c r="F3810" s="17" t="str">
        <f t="shared" si="179"/>
        <v/>
      </c>
    </row>
    <row r="3811" spans="2:6" x14ac:dyDescent="0.2">
      <c r="B3811" s="12"/>
      <c r="C3811" s="12"/>
      <c r="D3811" s="17" t="str">
        <f t="shared" si="180"/>
        <v/>
      </c>
      <c r="E3811" s="18" t="str">
        <f t="shared" si="178"/>
        <v/>
      </c>
      <c r="F3811" s="17" t="str">
        <f t="shared" si="179"/>
        <v/>
      </c>
    </row>
    <row r="3812" spans="2:6" x14ac:dyDescent="0.2">
      <c r="B3812" s="12"/>
      <c r="C3812" s="12"/>
      <c r="D3812" s="17" t="str">
        <f t="shared" si="180"/>
        <v/>
      </c>
      <c r="E3812" s="18" t="str">
        <f t="shared" si="178"/>
        <v/>
      </c>
      <c r="F3812" s="17" t="str">
        <f t="shared" si="179"/>
        <v/>
      </c>
    </row>
    <row r="3813" spans="2:6" x14ac:dyDescent="0.2">
      <c r="B3813" s="12"/>
      <c r="C3813" s="12"/>
      <c r="D3813" s="17" t="str">
        <f t="shared" si="180"/>
        <v/>
      </c>
      <c r="E3813" s="18" t="str">
        <f t="shared" si="178"/>
        <v/>
      </c>
      <c r="F3813" s="17" t="str">
        <f t="shared" si="179"/>
        <v/>
      </c>
    </row>
    <row r="3814" spans="2:6" x14ac:dyDescent="0.2">
      <c r="B3814" s="12"/>
      <c r="C3814" s="12"/>
      <c r="D3814" s="17" t="str">
        <f t="shared" si="180"/>
        <v/>
      </c>
      <c r="E3814" s="18" t="str">
        <f t="shared" si="178"/>
        <v/>
      </c>
      <c r="F3814" s="17" t="str">
        <f t="shared" si="179"/>
        <v/>
      </c>
    </row>
    <row r="3815" spans="2:6" x14ac:dyDescent="0.2">
      <c r="B3815" s="12"/>
      <c r="C3815" s="12"/>
      <c r="D3815" s="17" t="str">
        <f t="shared" si="180"/>
        <v/>
      </c>
      <c r="E3815" s="18" t="str">
        <f t="shared" si="178"/>
        <v/>
      </c>
      <c r="F3815" s="17" t="str">
        <f t="shared" si="179"/>
        <v/>
      </c>
    </row>
    <row r="3816" spans="2:6" x14ac:dyDescent="0.2">
      <c r="B3816" s="12"/>
      <c r="C3816" s="12"/>
      <c r="D3816" s="17" t="str">
        <f t="shared" si="180"/>
        <v/>
      </c>
      <c r="E3816" s="18" t="str">
        <f t="shared" si="178"/>
        <v/>
      </c>
      <c r="F3816" s="17" t="str">
        <f t="shared" si="179"/>
        <v/>
      </c>
    </row>
    <row r="3817" spans="2:6" x14ac:dyDescent="0.2">
      <c r="B3817" s="12"/>
      <c r="C3817" s="12"/>
      <c r="D3817" s="17" t="str">
        <f t="shared" si="180"/>
        <v/>
      </c>
      <c r="E3817" s="18" t="str">
        <f t="shared" si="178"/>
        <v/>
      </c>
      <c r="F3817" s="17" t="str">
        <f t="shared" si="179"/>
        <v/>
      </c>
    </row>
    <row r="3818" spans="2:6" x14ac:dyDescent="0.2">
      <c r="B3818" s="12"/>
      <c r="C3818" s="12"/>
      <c r="D3818" s="17" t="str">
        <f t="shared" si="180"/>
        <v/>
      </c>
      <c r="E3818" s="18" t="str">
        <f t="shared" si="178"/>
        <v/>
      </c>
      <c r="F3818" s="17" t="str">
        <f t="shared" si="179"/>
        <v/>
      </c>
    </row>
    <row r="3819" spans="2:6" x14ac:dyDescent="0.2">
      <c r="B3819" s="12"/>
      <c r="C3819" s="12"/>
      <c r="D3819" s="17" t="str">
        <f t="shared" si="180"/>
        <v/>
      </c>
      <c r="E3819" s="18" t="str">
        <f t="shared" si="178"/>
        <v/>
      </c>
      <c r="F3819" s="17" t="str">
        <f t="shared" si="179"/>
        <v/>
      </c>
    </row>
    <row r="3820" spans="2:6" x14ac:dyDescent="0.2">
      <c r="B3820" s="12"/>
      <c r="C3820" s="12"/>
      <c r="D3820" s="17" t="str">
        <f t="shared" si="180"/>
        <v/>
      </c>
      <c r="E3820" s="18" t="str">
        <f t="shared" si="178"/>
        <v/>
      </c>
      <c r="F3820" s="17" t="str">
        <f t="shared" si="179"/>
        <v/>
      </c>
    </row>
    <row r="3821" spans="2:6" x14ac:dyDescent="0.2">
      <c r="B3821" s="12"/>
      <c r="C3821" s="12"/>
      <c r="D3821" s="17" t="str">
        <f t="shared" si="180"/>
        <v/>
      </c>
      <c r="E3821" s="18" t="str">
        <f t="shared" si="178"/>
        <v/>
      </c>
      <c r="F3821" s="17" t="str">
        <f t="shared" si="179"/>
        <v/>
      </c>
    </row>
    <row r="3822" spans="2:6" x14ac:dyDescent="0.2">
      <c r="B3822" s="12"/>
      <c r="C3822" s="12"/>
      <c r="D3822" s="17" t="str">
        <f t="shared" si="180"/>
        <v/>
      </c>
      <c r="E3822" s="18" t="str">
        <f t="shared" si="178"/>
        <v/>
      </c>
      <c r="F3822" s="17" t="str">
        <f t="shared" si="179"/>
        <v/>
      </c>
    </row>
    <row r="3823" spans="2:6" x14ac:dyDescent="0.2">
      <c r="B3823" s="12"/>
      <c r="C3823" s="12"/>
      <c r="D3823" s="17" t="str">
        <f t="shared" si="180"/>
        <v/>
      </c>
      <c r="E3823" s="18" t="str">
        <f t="shared" si="178"/>
        <v/>
      </c>
      <c r="F3823" s="17" t="str">
        <f t="shared" si="179"/>
        <v/>
      </c>
    </row>
    <row r="3824" spans="2:6" x14ac:dyDescent="0.2">
      <c r="B3824" s="12"/>
      <c r="C3824" s="12"/>
      <c r="D3824" s="17" t="str">
        <f t="shared" si="180"/>
        <v/>
      </c>
      <c r="E3824" s="18" t="str">
        <f t="shared" si="178"/>
        <v/>
      </c>
      <c r="F3824" s="17" t="str">
        <f t="shared" si="179"/>
        <v/>
      </c>
    </row>
    <row r="3825" spans="2:6" x14ac:dyDescent="0.2">
      <c r="B3825" s="12"/>
      <c r="C3825" s="12"/>
      <c r="D3825" s="17" t="str">
        <f t="shared" si="180"/>
        <v/>
      </c>
      <c r="E3825" s="18" t="str">
        <f t="shared" si="178"/>
        <v/>
      </c>
      <c r="F3825" s="17" t="str">
        <f t="shared" si="179"/>
        <v/>
      </c>
    </row>
    <row r="3826" spans="2:6" x14ac:dyDescent="0.2">
      <c r="B3826" s="12"/>
      <c r="C3826" s="12"/>
      <c r="D3826" s="17" t="str">
        <f t="shared" si="180"/>
        <v/>
      </c>
      <c r="E3826" s="18" t="str">
        <f t="shared" si="178"/>
        <v/>
      </c>
      <c r="F3826" s="17" t="str">
        <f t="shared" si="179"/>
        <v/>
      </c>
    </row>
    <row r="3827" spans="2:6" x14ac:dyDescent="0.2">
      <c r="B3827" s="12"/>
      <c r="C3827" s="12"/>
      <c r="D3827" s="17" t="str">
        <f t="shared" si="180"/>
        <v/>
      </c>
      <c r="E3827" s="18" t="str">
        <f t="shared" si="178"/>
        <v/>
      </c>
      <c r="F3827" s="17" t="str">
        <f t="shared" si="179"/>
        <v/>
      </c>
    </row>
    <row r="3828" spans="2:6" x14ac:dyDescent="0.2">
      <c r="B3828" s="12"/>
      <c r="C3828" s="12"/>
      <c r="D3828" s="17" t="str">
        <f t="shared" si="180"/>
        <v/>
      </c>
      <c r="E3828" s="18" t="str">
        <f t="shared" si="178"/>
        <v/>
      </c>
      <c r="F3828" s="17" t="str">
        <f t="shared" si="179"/>
        <v/>
      </c>
    </row>
    <row r="3829" spans="2:6" x14ac:dyDescent="0.2">
      <c r="B3829" s="12"/>
      <c r="C3829" s="12"/>
      <c r="D3829" s="17" t="str">
        <f t="shared" si="180"/>
        <v/>
      </c>
      <c r="E3829" s="18" t="str">
        <f t="shared" si="178"/>
        <v/>
      </c>
      <c r="F3829" s="17" t="str">
        <f t="shared" si="179"/>
        <v/>
      </c>
    </row>
    <row r="3830" spans="2:6" x14ac:dyDescent="0.2">
      <c r="B3830" s="12"/>
      <c r="C3830" s="12"/>
      <c r="D3830" s="17" t="str">
        <f t="shared" si="180"/>
        <v/>
      </c>
      <c r="E3830" s="18" t="str">
        <f t="shared" si="178"/>
        <v/>
      </c>
      <c r="F3830" s="17" t="str">
        <f t="shared" si="179"/>
        <v/>
      </c>
    </row>
    <row r="3831" spans="2:6" x14ac:dyDescent="0.2">
      <c r="B3831" s="12"/>
      <c r="C3831" s="12"/>
      <c r="D3831" s="17" t="str">
        <f t="shared" si="180"/>
        <v/>
      </c>
      <c r="E3831" s="18" t="str">
        <f t="shared" si="178"/>
        <v/>
      </c>
      <c r="F3831" s="17" t="str">
        <f t="shared" si="179"/>
        <v/>
      </c>
    </row>
    <row r="3832" spans="2:6" x14ac:dyDescent="0.2">
      <c r="B3832" s="12"/>
      <c r="C3832" s="12"/>
      <c r="D3832" s="17" t="str">
        <f t="shared" si="180"/>
        <v/>
      </c>
      <c r="E3832" s="18" t="str">
        <f t="shared" si="178"/>
        <v/>
      </c>
      <c r="F3832" s="17" t="str">
        <f t="shared" si="179"/>
        <v/>
      </c>
    </row>
    <row r="3833" spans="2:6" x14ac:dyDescent="0.2">
      <c r="B3833" s="12"/>
      <c r="C3833" s="12"/>
      <c r="D3833" s="17" t="str">
        <f t="shared" si="180"/>
        <v/>
      </c>
      <c r="E3833" s="18" t="str">
        <f t="shared" si="178"/>
        <v/>
      </c>
      <c r="F3833" s="17" t="str">
        <f t="shared" si="179"/>
        <v/>
      </c>
    </row>
    <row r="3834" spans="2:6" x14ac:dyDescent="0.2">
      <c r="B3834" s="12"/>
      <c r="C3834" s="12"/>
      <c r="D3834" s="17" t="str">
        <f t="shared" si="180"/>
        <v/>
      </c>
      <c r="E3834" s="18" t="str">
        <f t="shared" si="178"/>
        <v/>
      </c>
      <c r="F3834" s="17" t="str">
        <f t="shared" si="179"/>
        <v/>
      </c>
    </row>
    <row r="3835" spans="2:6" x14ac:dyDescent="0.2">
      <c r="B3835" s="12"/>
      <c r="C3835" s="12"/>
      <c r="D3835" s="17" t="str">
        <f t="shared" si="180"/>
        <v/>
      </c>
      <c r="E3835" s="18" t="str">
        <f t="shared" si="178"/>
        <v/>
      </c>
      <c r="F3835" s="17" t="str">
        <f t="shared" si="179"/>
        <v/>
      </c>
    </row>
    <row r="3836" spans="2:6" x14ac:dyDescent="0.2">
      <c r="B3836" s="12"/>
      <c r="C3836" s="12"/>
      <c r="D3836" s="17" t="str">
        <f t="shared" si="180"/>
        <v/>
      </c>
      <c r="E3836" s="18" t="str">
        <f t="shared" si="178"/>
        <v/>
      </c>
      <c r="F3836" s="17" t="str">
        <f t="shared" si="179"/>
        <v/>
      </c>
    </row>
    <row r="3837" spans="2:6" x14ac:dyDescent="0.2">
      <c r="B3837" s="12"/>
      <c r="C3837" s="12"/>
      <c r="D3837" s="17" t="str">
        <f t="shared" si="180"/>
        <v/>
      </c>
      <c r="E3837" s="18" t="str">
        <f t="shared" si="178"/>
        <v/>
      </c>
      <c r="F3837" s="17" t="str">
        <f t="shared" si="179"/>
        <v/>
      </c>
    </row>
    <row r="3838" spans="2:6" x14ac:dyDescent="0.2">
      <c r="B3838" s="12"/>
      <c r="C3838" s="12"/>
      <c r="D3838" s="17" t="str">
        <f t="shared" si="180"/>
        <v/>
      </c>
      <c r="E3838" s="18" t="str">
        <f t="shared" si="178"/>
        <v/>
      </c>
      <c r="F3838" s="17" t="str">
        <f t="shared" si="179"/>
        <v/>
      </c>
    </row>
    <row r="3839" spans="2:6" x14ac:dyDescent="0.2">
      <c r="B3839" s="12"/>
      <c r="C3839" s="12"/>
      <c r="D3839" s="17" t="str">
        <f t="shared" si="180"/>
        <v/>
      </c>
      <c r="E3839" s="18" t="str">
        <f t="shared" si="178"/>
        <v/>
      </c>
      <c r="F3839" s="17" t="str">
        <f t="shared" si="179"/>
        <v/>
      </c>
    </row>
    <row r="3840" spans="2:6" x14ac:dyDescent="0.2">
      <c r="B3840" s="12"/>
      <c r="C3840" s="12"/>
      <c r="D3840" s="17" t="str">
        <f t="shared" si="180"/>
        <v/>
      </c>
      <c r="E3840" s="18" t="str">
        <f t="shared" si="178"/>
        <v/>
      </c>
      <c r="F3840" s="17" t="str">
        <f t="shared" si="179"/>
        <v/>
      </c>
    </row>
    <row r="3841" spans="2:6" x14ac:dyDescent="0.2">
      <c r="B3841" s="12"/>
      <c r="C3841" s="12"/>
      <c r="D3841" s="17" t="str">
        <f t="shared" si="180"/>
        <v/>
      </c>
      <c r="E3841" s="18" t="str">
        <f t="shared" si="178"/>
        <v/>
      </c>
      <c r="F3841" s="17" t="str">
        <f t="shared" si="179"/>
        <v/>
      </c>
    </row>
    <row r="3842" spans="2:6" x14ac:dyDescent="0.2">
      <c r="B3842" s="12"/>
      <c r="C3842" s="12"/>
      <c r="D3842" s="17" t="str">
        <f t="shared" si="180"/>
        <v/>
      </c>
      <c r="E3842" s="18" t="str">
        <f t="shared" si="178"/>
        <v/>
      </c>
      <c r="F3842" s="17" t="str">
        <f t="shared" si="179"/>
        <v/>
      </c>
    </row>
    <row r="3843" spans="2:6" x14ac:dyDescent="0.2">
      <c r="B3843" s="12"/>
      <c r="C3843" s="12"/>
      <c r="D3843" s="17" t="str">
        <f t="shared" si="180"/>
        <v/>
      </c>
      <c r="E3843" s="18" t="str">
        <f t="shared" si="178"/>
        <v/>
      </c>
      <c r="F3843" s="17" t="str">
        <f t="shared" si="179"/>
        <v/>
      </c>
    </row>
    <row r="3844" spans="2:6" x14ac:dyDescent="0.2">
      <c r="B3844" s="12"/>
      <c r="C3844" s="12"/>
      <c r="D3844" s="17" t="str">
        <f t="shared" si="180"/>
        <v/>
      </c>
      <c r="E3844" s="18" t="str">
        <f t="shared" si="178"/>
        <v/>
      </c>
      <c r="F3844" s="17" t="str">
        <f t="shared" si="179"/>
        <v/>
      </c>
    </row>
    <row r="3845" spans="2:6" x14ac:dyDescent="0.2">
      <c r="B3845" s="12"/>
      <c r="C3845" s="12"/>
      <c r="D3845" s="17" t="str">
        <f t="shared" si="180"/>
        <v/>
      </c>
      <c r="E3845" s="18" t="str">
        <f t="shared" ref="E3845:E3908" si="181">IF(B3845="","",ABS(C3845-D3845))</f>
        <v/>
      </c>
      <c r="F3845" s="17" t="str">
        <f t="shared" ref="F3845:F3908" si="182">IF(B3845="","",E3845^2)</f>
        <v/>
      </c>
    </row>
    <row r="3846" spans="2:6" x14ac:dyDescent="0.2">
      <c r="B3846" s="12"/>
      <c r="C3846" s="12"/>
      <c r="D3846" s="17" t="str">
        <f t="shared" si="180"/>
        <v/>
      </c>
      <c r="E3846" s="18" t="str">
        <f t="shared" si="181"/>
        <v/>
      </c>
      <c r="F3846" s="17" t="str">
        <f t="shared" si="182"/>
        <v/>
      </c>
    </row>
    <row r="3847" spans="2:6" x14ac:dyDescent="0.2">
      <c r="B3847" s="12"/>
      <c r="C3847" s="12"/>
      <c r="D3847" s="17" t="str">
        <f t="shared" si="180"/>
        <v/>
      </c>
      <c r="E3847" s="18" t="str">
        <f t="shared" si="181"/>
        <v/>
      </c>
      <c r="F3847" s="17" t="str">
        <f t="shared" si="182"/>
        <v/>
      </c>
    </row>
    <row r="3848" spans="2:6" x14ac:dyDescent="0.2">
      <c r="B3848" s="12"/>
      <c r="C3848" s="12"/>
      <c r="D3848" s="17" t="str">
        <f t="shared" si="180"/>
        <v/>
      </c>
      <c r="E3848" s="18" t="str">
        <f t="shared" si="181"/>
        <v/>
      </c>
      <c r="F3848" s="17" t="str">
        <f t="shared" si="182"/>
        <v/>
      </c>
    </row>
    <row r="3849" spans="2:6" x14ac:dyDescent="0.2">
      <c r="B3849" s="12"/>
      <c r="C3849" s="12"/>
      <c r="D3849" s="17" t="str">
        <f t="shared" si="180"/>
        <v/>
      </c>
      <c r="E3849" s="18" t="str">
        <f t="shared" si="181"/>
        <v/>
      </c>
      <c r="F3849" s="17" t="str">
        <f t="shared" si="182"/>
        <v/>
      </c>
    </row>
    <row r="3850" spans="2:6" x14ac:dyDescent="0.2">
      <c r="B3850" s="12"/>
      <c r="C3850" s="12"/>
      <c r="D3850" s="17" t="str">
        <f t="shared" si="180"/>
        <v/>
      </c>
      <c r="E3850" s="18" t="str">
        <f t="shared" si="181"/>
        <v/>
      </c>
      <c r="F3850" s="17" t="str">
        <f t="shared" si="182"/>
        <v/>
      </c>
    </row>
    <row r="3851" spans="2:6" x14ac:dyDescent="0.2">
      <c r="B3851" s="12"/>
      <c r="C3851" s="12"/>
      <c r="D3851" s="17" t="str">
        <f t="shared" si="180"/>
        <v/>
      </c>
      <c r="E3851" s="18" t="str">
        <f t="shared" si="181"/>
        <v/>
      </c>
      <c r="F3851" s="17" t="str">
        <f t="shared" si="182"/>
        <v/>
      </c>
    </row>
    <row r="3852" spans="2:6" x14ac:dyDescent="0.2">
      <c r="B3852" s="12"/>
      <c r="C3852" s="12"/>
      <c r="D3852" s="17" t="str">
        <f t="shared" si="180"/>
        <v/>
      </c>
      <c r="E3852" s="18" t="str">
        <f t="shared" si="181"/>
        <v/>
      </c>
      <c r="F3852" s="17" t="str">
        <f t="shared" si="182"/>
        <v/>
      </c>
    </row>
    <row r="3853" spans="2:6" x14ac:dyDescent="0.2">
      <c r="B3853" s="12"/>
      <c r="C3853" s="12"/>
      <c r="D3853" s="17" t="str">
        <f t="shared" si="180"/>
        <v/>
      </c>
      <c r="E3853" s="18" t="str">
        <f t="shared" si="181"/>
        <v/>
      </c>
      <c r="F3853" s="17" t="str">
        <f t="shared" si="182"/>
        <v/>
      </c>
    </row>
    <row r="3854" spans="2:6" x14ac:dyDescent="0.2">
      <c r="B3854" s="12"/>
      <c r="C3854" s="12"/>
      <c r="D3854" s="17" t="str">
        <f t="shared" si="180"/>
        <v/>
      </c>
      <c r="E3854" s="18" t="str">
        <f t="shared" si="181"/>
        <v/>
      </c>
      <c r="F3854" s="17" t="str">
        <f t="shared" si="182"/>
        <v/>
      </c>
    </row>
    <row r="3855" spans="2:6" x14ac:dyDescent="0.2">
      <c r="B3855" s="12"/>
      <c r="C3855" s="12"/>
      <c r="D3855" s="17" t="str">
        <f t="shared" si="180"/>
        <v/>
      </c>
      <c r="E3855" s="18" t="str">
        <f t="shared" si="181"/>
        <v/>
      </c>
      <c r="F3855" s="17" t="str">
        <f t="shared" si="182"/>
        <v/>
      </c>
    </row>
    <row r="3856" spans="2:6" x14ac:dyDescent="0.2">
      <c r="B3856" s="12"/>
      <c r="C3856" s="12"/>
      <c r="D3856" s="17" t="str">
        <f t="shared" si="180"/>
        <v/>
      </c>
      <c r="E3856" s="18" t="str">
        <f t="shared" si="181"/>
        <v/>
      </c>
      <c r="F3856" s="17" t="str">
        <f t="shared" si="182"/>
        <v/>
      </c>
    </row>
    <row r="3857" spans="2:6" x14ac:dyDescent="0.2">
      <c r="B3857" s="12"/>
      <c r="C3857" s="12"/>
      <c r="D3857" s="17" t="str">
        <f t="shared" si="180"/>
        <v/>
      </c>
      <c r="E3857" s="18" t="str">
        <f t="shared" si="181"/>
        <v/>
      </c>
      <c r="F3857" s="17" t="str">
        <f t="shared" si="182"/>
        <v/>
      </c>
    </row>
    <row r="3858" spans="2:6" x14ac:dyDescent="0.2">
      <c r="B3858" s="12"/>
      <c r="C3858" s="12"/>
      <c r="D3858" s="17" t="str">
        <f t="shared" ref="D3858:D3921" si="183">IF(B3858="","",a+b*B3858)</f>
        <v/>
      </c>
      <c r="E3858" s="18" t="str">
        <f t="shared" si="181"/>
        <v/>
      </c>
      <c r="F3858" s="17" t="str">
        <f t="shared" si="182"/>
        <v/>
      </c>
    </row>
    <row r="3859" spans="2:6" x14ac:dyDescent="0.2">
      <c r="B3859" s="12"/>
      <c r="C3859" s="12"/>
      <c r="D3859" s="17" t="str">
        <f t="shared" si="183"/>
        <v/>
      </c>
      <c r="E3859" s="18" t="str">
        <f t="shared" si="181"/>
        <v/>
      </c>
      <c r="F3859" s="17" t="str">
        <f t="shared" si="182"/>
        <v/>
      </c>
    </row>
    <row r="3860" spans="2:6" x14ac:dyDescent="0.2">
      <c r="B3860" s="12"/>
      <c r="C3860" s="12"/>
      <c r="D3860" s="17" t="str">
        <f t="shared" si="183"/>
        <v/>
      </c>
      <c r="E3860" s="18" t="str">
        <f t="shared" si="181"/>
        <v/>
      </c>
      <c r="F3860" s="17" t="str">
        <f t="shared" si="182"/>
        <v/>
      </c>
    </row>
    <row r="3861" spans="2:6" x14ac:dyDescent="0.2">
      <c r="B3861" s="12"/>
      <c r="C3861" s="12"/>
      <c r="D3861" s="17" t="str">
        <f t="shared" si="183"/>
        <v/>
      </c>
      <c r="E3861" s="18" t="str">
        <f t="shared" si="181"/>
        <v/>
      </c>
      <c r="F3861" s="17" t="str">
        <f t="shared" si="182"/>
        <v/>
      </c>
    </row>
    <row r="3862" spans="2:6" x14ac:dyDescent="0.2">
      <c r="B3862" s="12"/>
      <c r="C3862" s="12"/>
      <c r="D3862" s="17" t="str">
        <f t="shared" si="183"/>
        <v/>
      </c>
      <c r="E3862" s="18" t="str">
        <f t="shared" si="181"/>
        <v/>
      </c>
      <c r="F3862" s="17" t="str">
        <f t="shared" si="182"/>
        <v/>
      </c>
    </row>
    <row r="3863" spans="2:6" x14ac:dyDescent="0.2">
      <c r="B3863" s="12"/>
      <c r="C3863" s="12"/>
      <c r="D3863" s="17" t="str">
        <f t="shared" si="183"/>
        <v/>
      </c>
      <c r="E3863" s="18" t="str">
        <f t="shared" si="181"/>
        <v/>
      </c>
      <c r="F3863" s="17" t="str">
        <f t="shared" si="182"/>
        <v/>
      </c>
    </row>
    <row r="3864" spans="2:6" x14ac:dyDescent="0.2">
      <c r="B3864" s="12"/>
      <c r="C3864" s="12"/>
      <c r="D3864" s="17" t="str">
        <f t="shared" si="183"/>
        <v/>
      </c>
      <c r="E3864" s="18" t="str">
        <f t="shared" si="181"/>
        <v/>
      </c>
      <c r="F3864" s="17" t="str">
        <f t="shared" si="182"/>
        <v/>
      </c>
    </row>
    <row r="3865" spans="2:6" x14ac:dyDescent="0.2">
      <c r="B3865" s="12"/>
      <c r="C3865" s="12"/>
      <c r="D3865" s="17" t="str">
        <f t="shared" si="183"/>
        <v/>
      </c>
      <c r="E3865" s="18" t="str">
        <f t="shared" si="181"/>
        <v/>
      </c>
      <c r="F3865" s="17" t="str">
        <f t="shared" si="182"/>
        <v/>
      </c>
    </row>
    <row r="3866" spans="2:6" x14ac:dyDescent="0.2">
      <c r="B3866" s="12"/>
      <c r="C3866" s="12"/>
      <c r="D3866" s="17" t="str">
        <f t="shared" si="183"/>
        <v/>
      </c>
      <c r="E3866" s="18" t="str">
        <f t="shared" si="181"/>
        <v/>
      </c>
      <c r="F3866" s="17" t="str">
        <f t="shared" si="182"/>
        <v/>
      </c>
    </row>
    <row r="3867" spans="2:6" x14ac:dyDescent="0.2">
      <c r="B3867" s="12"/>
      <c r="C3867" s="12"/>
      <c r="D3867" s="17" t="str">
        <f t="shared" si="183"/>
        <v/>
      </c>
      <c r="E3867" s="18" t="str">
        <f t="shared" si="181"/>
        <v/>
      </c>
      <c r="F3867" s="17" t="str">
        <f t="shared" si="182"/>
        <v/>
      </c>
    </row>
    <row r="3868" spans="2:6" x14ac:dyDescent="0.2">
      <c r="B3868" s="12"/>
      <c r="C3868" s="12"/>
      <c r="D3868" s="17" t="str">
        <f t="shared" si="183"/>
        <v/>
      </c>
      <c r="E3868" s="18" t="str">
        <f t="shared" si="181"/>
        <v/>
      </c>
      <c r="F3868" s="17" t="str">
        <f t="shared" si="182"/>
        <v/>
      </c>
    </row>
    <row r="3869" spans="2:6" x14ac:dyDescent="0.2">
      <c r="B3869" s="12"/>
      <c r="C3869" s="12"/>
      <c r="D3869" s="17" t="str">
        <f t="shared" si="183"/>
        <v/>
      </c>
      <c r="E3869" s="18" t="str">
        <f t="shared" si="181"/>
        <v/>
      </c>
      <c r="F3869" s="17" t="str">
        <f t="shared" si="182"/>
        <v/>
      </c>
    </row>
    <row r="3870" spans="2:6" x14ac:dyDescent="0.2">
      <c r="B3870" s="12"/>
      <c r="C3870" s="12"/>
      <c r="D3870" s="17" t="str">
        <f t="shared" si="183"/>
        <v/>
      </c>
      <c r="E3870" s="18" t="str">
        <f t="shared" si="181"/>
        <v/>
      </c>
      <c r="F3870" s="17" t="str">
        <f t="shared" si="182"/>
        <v/>
      </c>
    </row>
    <row r="3871" spans="2:6" x14ac:dyDescent="0.2">
      <c r="B3871" s="12"/>
      <c r="C3871" s="12"/>
      <c r="D3871" s="17" t="str">
        <f t="shared" si="183"/>
        <v/>
      </c>
      <c r="E3871" s="18" t="str">
        <f t="shared" si="181"/>
        <v/>
      </c>
      <c r="F3871" s="17" t="str">
        <f t="shared" si="182"/>
        <v/>
      </c>
    </row>
    <row r="3872" spans="2:6" x14ac:dyDescent="0.2">
      <c r="B3872" s="12"/>
      <c r="C3872" s="12"/>
      <c r="D3872" s="17" t="str">
        <f t="shared" si="183"/>
        <v/>
      </c>
      <c r="E3872" s="18" t="str">
        <f t="shared" si="181"/>
        <v/>
      </c>
      <c r="F3872" s="17" t="str">
        <f t="shared" si="182"/>
        <v/>
      </c>
    </row>
    <row r="3873" spans="2:6" x14ac:dyDescent="0.2">
      <c r="B3873" s="12"/>
      <c r="C3873" s="12"/>
      <c r="D3873" s="17" t="str">
        <f t="shared" si="183"/>
        <v/>
      </c>
      <c r="E3873" s="18" t="str">
        <f t="shared" si="181"/>
        <v/>
      </c>
      <c r="F3873" s="17" t="str">
        <f t="shared" si="182"/>
        <v/>
      </c>
    </row>
    <row r="3874" spans="2:6" x14ac:dyDescent="0.2">
      <c r="B3874" s="12"/>
      <c r="C3874" s="12"/>
      <c r="D3874" s="17" t="str">
        <f t="shared" si="183"/>
        <v/>
      </c>
      <c r="E3874" s="18" t="str">
        <f t="shared" si="181"/>
        <v/>
      </c>
      <c r="F3874" s="17" t="str">
        <f t="shared" si="182"/>
        <v/>
      </c>
    </row>
    <row r="3875" spans="2:6" x14ac:dyDescent="0.2">
      <c r="B3875" s="12"/>
      <c r="C3875" s="12"/>
      <c r="D3875" s="17" t="str">
        <f t="shared" si="183"/>
        <v/>
      </c>
      <c r="E3875" s="18" t="str">
        <f t="shared" si="181"/>
        <v/>
      </c>
      <c r="F3875" s="17" t="str">
        <f t="shared" si="182"/>
        <v/>
      </c>
    </row>
    <row r="3876" spans="2:6" x14ac:dyDescent="0.2">
      <c r="B3876" s="12"/>
      <c r="C3876" s="12"/>
      <c r="D3876" s="17" t="str">
        <f t="shared" si="183"/>
        <v/>
      </c>
      <c r="E3876" s="18" t="str">
        <f t="shared" si="181"/>
        <v/>
      </c>
      <c r="F3876" s="17" t="str">
        <f t="shared" si="182"/>
        <v/>
      </c>
    </row>
    <row r="3877" spans="2:6" x14ac:dyDescent="0.2">
      <c r="B3877" s="12"/>
      <c r="C3877" s="12"/>
      <c r="D3877" s="17" t="str">
        <f t="shared" si="183"/>
        <v/>
      </c>
      <c r="E3877" s="18" t="str">
        <f t="shared" si="181"/>
        <v/>
      </c>
      <c r="F3877" s="17" t="str">
        <f t="shared" si="182"/>
        <v/>
      </c>
    </row>
    <row r="3878" spans="2:6" x14ac:dyDescent="0.2">
      <c r="B3878" s="12"/>
      <c r="C3878" s="12"/>
      <c r="D3878" s="17" t="str">
        <f t="shared" si="183"/>
        <v/>
      </c>
      <c r="E3878" s="18" t="str">
        <f t="shared" si="181"/>
        <v/>
      </c>
      <c r="F3878" s="17" t="str">
        <f t="shared" si="182"/>
        <v/>
      </c>
    </row>
    <row r="3879" spans="2:6" x14ac:dyDescent="0.2">
      <c r="B3879" s="12"/>
      <c r="C3879" s="12"/>
      <c r="D3879" s="17" t="str">
        <f t="shared" si="183"/>
        <v/>
      </c>
      <c r="E3879" s="18" t="str">
        <f t="shared" si="181"/>
        <v/>
      </c>
      <c r="F3879" s="17" t="str">
        <f t="shared" si="182"/>
        <v/>
      </c>
    </row>
    <row r="3880" spans="2:6" x14ac:dyDescent="0.2">
      <c r="B3880" s="12"/>
      <c r="C3880" s="12"/>
      <c r="D3880" s="17" t="str">
        <f t="shared" si="183"/>
        <v/>
      </c>
      <c r="E3880" s="18" t="str">
        <f t="shared" si="181"/>
        <v/>
      </c>
      <c r="F3880" s="17" t="str">
        <f t="shared" si="182"/>
        <v/>
      </c>
    </row>
    <row r="3881" spans="2:6" x14ac:dyDescent="0.2">
      <c r="B3881" s="12"/>
      <c r="C3881" s="12"/>
      <c r="D3881" s="17" t="str">
        <f t="shared" si="183"/>
        <v/>
      </c>
      <c r="E3881" s="18" t="str">
        <f t="shared" si="181"/>
        <v/>
      </c>
      <c r="F3881" s="17" t="str">
        <f t="shared" si="182"/>
        <v/>
      </c>
    </row>
    <row r="3882" spans="2:6" x14ac:dyDescent="0.2">
      <c r="B3882" s="12"/>
      <c r="C3882" s="12"/>
      <c r="D3882" s="17" t="str">
        <f t="shared" si="183"/>
        <v/>
      </c>
      <c r="E3882" s="18" t="str">
        <f t="shared" si="181"/>
        <v/>
      </c>
      <c r="F3882" s="17" t="str">
        <f t="shared" si="182"/>
        <v/>
      </c>
    </row>
    <row r="3883" spans="2:6" x14ac:dyDescent="0.2">
      <c r="B3883" s="12"/>
      <c r="C3883" s="12"/>
      <c r="D3883" s="17" t="str">
        <f t="shared" si="183"/>
        <v/>
      </c>
      <c r="E3883" s="18" t="str">
        <f t="shared" si="181"/>
        <v/>
      </c>
      <c r="F3883" s="17" t="str">
        <f t="shared" si="182"/>
        <v/>
      </c>
    </row>
    <row r="3884" spans="2:6" x14ac:dyDescent="0.2">
      <c r="B3884" s="12"/>
      <c r="C3884" s="12"/>
      <c r="D3884" s="17" t="str">
        <f t="shared" si="183"/>
        <v/>
      </c>
      <c r="E3884" s="18" t="str">
        <f t="shared" si="181"/>
        <v/>
      </c>
      <c r="F3884" s="17" t="str">
        <f t="shared" si="182"/>
        <v/>
      </c>
    </row>
    <row r="3885" spans="2:6" x14ac:dyDescent="0.2">
      <c r="B3885" s="12"/>
      <c r="C3885" s="12"/>
      <c r="D3885" s="17" t="str">
        <f t="shared" si="183"/>
        <v/>
      </c>
      <c r="E3885" s="18" t="str">
        <f t="shared" si="181"/>
        <v/>
      </c>
      <c r="F3885" s="17" t="str">
        <f t="shared" si="182"/>
        <v/>
      </c>
    </row>
    <row r="3886" spans="2:6" x14ac:dyDescent="0.2">
      <c r="B3886" s="12"/>
      <c r="C3886" s="12"/>
      <c r="D3886" s="17" t="str">
        <f t="shared" si="183"/>
        <v/>
      </c>
      <c r="E3886" s="18" t="str">
        <f t="shared" si="181"/>
        <v/>
      </c>
      <c r="F3886" s="17" t="str">
        <f t="shared" si="182"/>
        <v/>
      </c>
    </row>
    <row r="3887" spans="2:6" x14ac:dyDescent="0.2">
      <c r="B3887" s="12"/>
      <c r="C3887" s="12"/>
      <c r="D3887" s="17" t="str">
        <f t="shared" si="183"/>
        <v/>
      </c>
      <c r="E3887" s="18" t="str">
        <f t="shared" si="181"/>
        <v/>
      </c>
      <c r="F3887" s="17" t="str">
        <f t="shared" si="182"/>
        <v/>
      </c>
    </row>
    <row r="3888" spans="2:6" x14ac:dyDescent="0.2">
      <c r="B3888" s="12"/>
      <c r="C3888" s="12"/>
      <c r="D3888" s="17" t="str">
        <f t="shared" si="183"/>
        <v/>
      </c>
      <c r="E3888" s="18" t="str">
        <f t="shared" si="181"/>
        <v/>
      </c>
      <c r="F3888" s="17" t="str">
        <f t="shared" si="182"/>
        <v/>
      </c>
    </row>
    <row r="3889" spans="2:6" x14ac:dyDescent="0.2">
      <c r="B3889" s="12"/>
      <c r="C3889" s="12"/>
      <c r="D3889" s="17" t="str">
        <f t="shared" si="183"/>
        <v/>
      </c>
      <c r="E3889" s="18" t="str">
        <f t="shared" si="181"/>
        <v/>
      </c>
      <c r="F3889" s="17" t="str">
        <f t="shared" si="182"/>
        <v/>
      </c>
    </row>
    <row r="3890" spans="2:6" x14ac:dyDescent="0.2">
      <c r="B3890" s="12"/>
      <c r="C3890" s="12"/>
      <c r="D3890" s="17" t="str">
        <f t="shared" si="183"/>
        <v/>
      </c>
      <c r="E3890" s="18" t="str">
        <f t="shared" si="181"/>
        <v/>
      </c>
      <c r="F3890" s="17" t="str">
        <f t="shared" si="182"/>
        <v/>
      </c>
    </row>
    <row r="3891" spans="2:6" x14ac:dyDescent="0.2">
      <c r="B3891" s="12"/>
      <c r="C3891" s="12"/>
      <c r="D3891" s="17" t="str">
        <f t="shared" si="183"/>
        <v/>
      </c>
      <c r="E3891" s="18" t="str">
        <f t="shared" si="181"/>
        <v/>
      </c>
      <c r="F3891" s="17" t="str">
        <f t="shared" si="182"/>
        <v/>
      </c>
    </row>
    <row r="3892" spans="2:6" x14ac:dyDescent="0.2">
      <c r="B3892" s="12"/>
      <c r="C3892" s="12"/>
      <c r="D3892" s="17" t="str">
        <f t="shared" si="183"/>
        <v/>
      </c>
      <c r="E3892" s="18" t="str">
        <f t="shared" si="181"/>
        <v/>
      </c>
      <c r="F3892" s="17" t="str">
        <f t="shared" si="182"/>
        <v/>
      </c>
    </row>
    <row r="3893" spans="2:6" x14ac:dyDescent="0.2">
      <c r="B3893" s="12"/>
      <c r="C3893" s="12"/>
      <c r="D3893" s="17" t="str">
        <f t="shared" si="183"/>
        <v/>
      </c>
      <c r="E3893" s="18" t="str">
        <f t="shared" si="181"/>
        <v/>
      </c>
      <c r="F3893" s="17" t="str">
        <f t="shared" si="182"/>
        <v/>
      </c>
    </row>
    <row r="3894" spans="2:6" x14ac:dyDescent="0.2">
      <c r="B3894" s="12"/>
      <c r="C3894" s="12"/>
      <c r="D3894" s="17" t="str">
        <f t="shared" si="183"/>
        <v/>
      </c>
      <c r="E3894" s="18" t="str">
        <f t="shared" si="181"/>
        <v/>
      </c>
      <c r="F3894" s="17" t="str">
        <f t="shared" si="182"/>
        <v/>
      </c>
    </row>
    <row r="3895" spans="2:6" x14ac:dyDescent="0.2">
      <c r="B3895" s="12"/>
      <c r="C3895" s="12"/>
      <c r="D3895" s="17" t="str">
        <f t="shared" si="183"/>
        <v/>
      </c>
      <c r="E3895" s="18" t="str">
        <f t="shared" si="181"/>
        <v/>
      </c>
      <c r="F3895" s="17" t="str">
        <f t="shared" si="182"/>
        <v/>
      </c>
    </row>
    <row r="3896" spans="2:6" x14ac:dyDescent="0.2">
      <c r="B3896" s="12"/>
      <c r="C3896" s="12"/>
      <c r="D3896" s="17" t="str">
        <f t="shared" si="183"/>
        <v/>
      </c>
      <c r="E3896" s="18" t="str">
        <f t="shared" si="181"/>
        <v/>
      </c>
      <c r="F3896" s="17" t="str">
        <f t="shared" si="182"/>
        <v/>
      </c>
    </row>
    <row r="3897" spans="2:6" x14ac:dyDescent="0.2">
      <c r="B3897" s="12"/>
      <c r="C3897" s="12"/>
      <c r="D3897" s="17" t="str">
        <f t="shared" si="183"/>
        <v/>
      </c>
      <c r="E3897" s="18" t="str">
        <f t="shared" si="181"/>
        <v/>
      </c>
      <c r="F3897" s="17" t="str">
        <f t="shared" si="182"/>
        <v/>
      </c>
    </row>
    <row r="3898" spans="2:6" x14ac:dyDescent="0.2">
      <c r="B3898" s="12"/>
      <c r="C3898" s="12"/>
      <c r="D3898" s="17" t="str">
        <f t="shared" si="183"/>
        <v/>
      </c>
      <c r="E3898" s="18" t="str">
        <f t="shared" si="181"/>
        <v/>
      </c>
      <c r="F3898" s="17" t="str">
        <f t="shared" si="182"/>
        <v/>
      </c>
    </row>
    <row r="3899" spans="2:6" x14ac:dyDescent="0.2">
      <c r="B3899" s="12"/>
      <c r="C3899" s="12"/>
      <c r="D3899" s="17" t="str">
        <f t="shared" si="183"/>
        <v/>
      </c>
      <c r="E3899" s="18" t="str">
        <f t="shared" si="181"/>
        <v/>
      </c>
      <c r="F3899" s="17" t="str">
        <f t="shared" si="182"/>
        <v/>
      </c>
    </row>
    <row r="3900" spans="2:6" x14ac:dyDescent="0.2">
      <c r="B3900" s="12"/>
      <c r="C3900" s="12"/>
      <c r="D3900" s="17" t="str">
        <f t="shared" si="183"/>
        <v/>
      </c>
      <c r="E3900" s="18" t="str">
        <f t="shared" si="181"/>
        <v/>
      </c>
      <c r="F3900" s="17" t="str">
        <f t="shared" si="182"/>
        <v/>
      </c>
    </row>
    <row r="3901" spans="2:6" x14ac:dyDescent="0.2">
      <c r="B3901" s="12"/>
      <c r="C3901" s="12"/>
      <c r="D3901" s="17" t="str">
        <f t="shared" si="183"/>
        <v/>
      </c>
      <c r="E3901" s="18" t="str">
        <f t="shared" si="181"/>
        <v/>
      </c>
      <c r="F3901" s="17" t="str">
        <f t="shared" si="182"/>
        <v/>
      </c>
    </row>
    <row r="3902" spans="2:6" x14ac:dyDescent="0.2">
      <c r="B3902" s="12"/>
      <c r="C3902" s="12"/>
      <c r="D3902" s="17" t="str">
        <f t="shared" si="183"/>
        <v/>
      </c>
      <c r="E3902" s="18" t="str">
        <f t="shared" si="181"/>
        <v/>
      </c>
      <c r="F3902" s="17" t="str">
        <f t="shared" si="182"/>
        <v/>
      </c>
    </row>
    <row r="3903" spans="2:6" x14ac:dyDescent="0.2">
      <c r="B3903" s="12"/>
      <c r="C3903" s="12"/>
      <c r="D3903" s="17" t="str">
        <f t="shared" si="183"/>
        <v/>
      </c>
      <c r="E3903" s="18" t="str">
        <f t="shared" si="181"/>
        <v/>
      </c>
      <c r="F3903" s="17" t="str">
        <f t="shared" si="182"/>
        <v/>
      </c>
    </row>
    <row r="3904" spans="2:6" x14ac:dyDescent="0.2">
      <c r="B3904" s="12"/>
      <c r="C3904" s="12"/>
      <c r="D3904" s="17" t="str">
        <f t="shared" si="183"/>
        <v/>
      </c>
      <c r="E3904" s="18" t="str">
        <f t="shared" si="181"/>
        <v/>
      </c>
      <c r="F3904" s="17" t="str">
        <f t="shared" si="182"/>
        <v/>
      </c>
    </row>
    <row r="3905" spans="2:6" x14ac:dyDescent="0.2">
      <c r="B3905" s="12"/>
      <c r="C3905" s="12"/>
      <c r="D3905" s="17" t="str">
        <f t="shared" si="183"/>
        <v/>
      </c>
      <c r="E3905" s="18" t="str">
        <f t="shared" si="181"/>
        <v/>
      </c>
      <c r="F3905" s="17" t="str">
        <f t="shared" si="182"/>
        <v/>
      </c>
    </row>
    <row r="3906" spans="2:6" x14ac:dyDescent="0.2">
      <c r="B3906" s="12"/>
      <c r="C3906" s="12"/>
      <c r="D3906" s="17" t="str">
        <f t="shared" si="183"/>
        <v/>
      </c>
      <c r="E3906" s="18" t="str">
        <f t="shared" si="181"/>
        <v/>
      </c>
      <c r="F3906" s="17" t="str">
        <f t="shared" si="182"/>
        <v/>
      </c>
    </row>
    <row r="3907" spans="2:6" x14ac:dyDescent="0.2">
      <c r="B3907" s="12"/>
      <c r="C3907" s="12"/>
      <c r="D3907" s="17" t="str">
        <f t="shared" si="183"/>
        <v/>
      </c>
      <c r="E3907" s="18" t="str">
        <f t="shared" si="181"/>
        <v/>
      </c>
      <c r="F3907" s="17" t="str">
        <f t="shared" si="182"/>
        <v/>
      </c>
    </row>
    <row r="3908" spans="2:6" x14ac:dyDescent="0.2">
      <c r="B3908" s="12"/>
      <c r="C3908" s="12"/>
      <c r="D3908" s="17" t="str">
        <f t="shared" si="183"/>
        <v/>
      </c>
      <c r="E3908" s="18" t="str">
        <f t="shared" si="181"/>
        <v/>
      </c>
      <c r="F3908" s="17" t="str">
        <f t="shared" si="182"/>
        <v/>
      </c>
    </row>
    <row r="3909" spans="2:6" x14ac:dyDescent="0.2">
      <c r="B3909" s="12"/>
      <c r="C3909" s="12"/>
      <c r="D3909" s="17" t="str">
        <f t="shared" si="183"/>
        <v/>
      </c>
      <c r="E3909" s="18" t="str">
        <f t="shared" ref="E3909:E3972" si="184">IF(B3909="","",ABS(C3909-D3909))</f>
        <v/>
      </c>
      <c r="F3909" s="17" t="str">
        <f t="shared" ref="F3909:F3972" si="185">IF(B3909="","",E3909^2)</f>
        <v/>
      </c>
    </row>
    <row r="3910" spans="2:6" x14ac:dyDescent="0.2">
      <c r="B3910" s="12"/>
      <c r="C3910" s="12"/>
      <c r="D3910" s="17" t="str">
        <f t="shared" si="183"/>
        <v/>
      </c>
      <c r="E3910" s="18" t="str">
        <f t="shared" si="184"/>
        <v/>
      </c>
      <c r="F3910" s="17" t="str">
        <f t="shared" si="185"/>
        <v/>
      </c>
    </row>
    <row r="3911" spans="2:6" x14ac:dyDescent="0.2">
      <c r="B3911" s="12"/>
      <c r="C3911" s="12"/>
      <c r="D3911" s="17" t="str">
        <f t="shared" si="183"/>
        <v/>
      </c>
      <c r="E3911" s="18" t="str">
        <f t="shared" si="184"/>
        <v/>
      </c>
      <c r="F3911" s="17" t="str">
        <f t="shared" si="185"/>
        <v/>
      </c>
    </row>
    <row r="3912" spans="2:6" x14ac:dyDescent="0.2">
      <c r="B3912" s="12"/>
      <c r="C3912" s="12"/>
      <c r="D3912" s="17" t="str">
        <f t="shared" si="183"/>
        <v/>
      </c>
      <c r="E3912" s="18" t="str">
        <f t="shared" si="184"/>
        <v/>
      </c>
      <c r="F3912" s="17" t="str">
        <f t="shared" si="185"/>
        <v/>
      </c>
    </row>
    <row r="3913" spans="2:6" x14ac:dyDescent="0.2">
      <c r="B3913" s="12"/>
      <c r="C3913" s="12"/>
      <c r="D3913" s="17" t="str">
        <f t="shared" si="183"/>
        <v/>
      </c>
      <c r="E3913" s="18" t="str">
        <f t="shared" si="184"/>
        <v/>
      </c>
      <c r="F3913" s="17" t="str">
        <f t="shared" si="185"/>
        <v/>
      </c>
    </row>
    <row r="3914" spans="2:6" x14ac:dyDescent="0.2">
      <c r="B3914" s="12"/>
      <c r="C3914" s="12"/>
      <c r="D3914" s="17" t="str">
        <f t="shared" si="183"/>
        <v/>
      </c>
      <c r="E3914" s="18" t="str">
        <f t="shared" si="184"/>
        <v/>
      </c>
      <c r="F3914" s="17" t="str">
        <f t="shared" si="185"/>
        <v/>
      </c>
    </row>
    <row r="3915" spans="2:6" x14ac:dyDescent="0.2">
      <c r="B3915" s="12"/>
      <c r="C3915" s="12"/>
      <c r="D3915" s="17" t="str">
        <f t="shared" si="183"/>
        <v/>
      </c>
      <c r="E3915" s="18" t="str">
        <f t="shared" si="184"/>
        <v/>
      </c>
      <c r="F3915" s="17" t="str">
        <f t="shared" si="185"/>
        <v/>
      </c>
    </row>
    <row r="3916" spans="2:6" x14ac:dyDescent="0.2">
      <c r="B3916" s="12"/>
      <c r="C3916" s="12"/>
      <c r="D3916" s="17" t="str">
        <f t="shared" si="183"/>
        <v/>
      </c>
      <c r="E3916" s="18" t="str">
        <f t="shared" si="184"/>
        <v/>
      </c>
      <c r="F3916" s="17" t="str">
        <f t="shared" si="185"/>
        <v/>
      </c>
    </row>
    <row r="3917" spans="2:6" x14ac:dyDescent="0.2">
      <c r="B3917" s="12"/>
      <c r="C3917" s="12"/>
      <c r="D3917" s="17" t="str">
        <f t="shared" si="183"/>
        <v/>
      </c>
      <c r="E3917" s="18" t="str">
        <f t="shared" si="184"/>
        <v/>
      </c>
      <c r="F3917" s="17" t="str">
        <f t="shared" si="185"/>
        <v/>
      </c>
    </row>
    <row r="3918" spans="2:6" x14ac:dyDescent="0.2">
      <c r="B3918" s="12"/>
      <c r="C3918" s="12"/>
      <c r="D3918" s="17" t="str">
        <f t="shared" si="183"/>
        <v/>
      </c>
      <c r="E3918" s="18" t="str">
        <f t="shared" si="184"/>
        <v/>
      </c>
      <c r="F3918" s="17" t="str">
        <f t="shared" si="185"/>
        <v/>
      </c>
    </row>
    <row r="3919" spans="2:6" x14ac:dyDescent="0.2">
      <c r="B3919" s="12"/>
      <c r="C3919" s="12"/>
      <c r="D3919" s="17" t="str">
        <f t="shared" si="183"/>
        <v/>
      </c>
      <c r="E3919" s="18" t="str">
        <f t="shared" si="184"/>
        <v/>
      </c>
      <c r="F3919" s="17" t="str">
        <f t="shared" si="185"/>
        <v/>
      </c>
    </row>
    <row r="3920" spans="2:6" x14ac:dyDescent="0.2">
      <c r="B3920" s="12"/>
      <c r="C3920" s="12"/>
      <c r="D3920" s="17" t="str">
        <f t="shared" si="183"/>
        <v/>
      </c>
      <c r="E3920" s="18" t="str">
        <f t="shared" si="184"/>
        <v/>
      </c>
      <c r="F3920" s="17" t="str">
        <f t="shared" si="185"/>
        <v/>
      </c>
    </row>
    <row r="3921" spans="2:6" x14ac:dyDescent="0.2">
      <c r="B3921" s="12"/>
      <c r="C3921" s="12"/>
      <c r="D3921" s="17" t="str">
        <f t="shared" si="183"/>
        <v/>
      </c>
      <c r="E3921" s="18" t="str">
        <f t="shared" si="184"/>
        <v/>
      </c>
      <c r="F3921" s="17" t="str">
        <f t="shared" si="185"/>
        <v/>
      </c>
    </row>
    <row r="3922" spans="2:6" x14ac:dyDescent="0.2">
      <c r="B3922" s="12"/>
      <c r="C3922" s="12"/>
      <c r="D3922" s="17" t="str">
        <f t="shared" ref="D3922:D3985" si="186">IF(B3922="","",a+b*B3922)</f>
        <v/>
      </c>
      <c r="E3922" s="18" t="str">
        <f t="shared" si="184"/>
        <v/>
      </c>
      <c r="F3922" s="17" t="str">
        <f t="shared" si="185"/>
        <v/>
      </c>
    </row>
    <row r="3923" spans="2:6" x14ac:dyDescent="0.2">
      <c r="B3923" s="12"/>
      <c r="C3923" s="12"/>
      <c r="D3923" s="17" t="str">
        <f t="shared" si="186"/>
        <v/>
      </c>
      <c r="E3923" s="18" t="str">
        <f t="shared" si="184"/>
        <v/>
      </c>
      <c r="F3923" s="17" t="str">
        <f t="shared" si="185"/>
        <v/>
      </c>
    </row>
    <row r="3924" spans="2:6" x14ac:dyDescent="0.2">
      <c r="B3924" s="12"/>
      <c r="C3924" s="12"/>
      <c r="D3924" s="17" t="str">
        <f t="shared" si="186"/>
        <v/>
      </c>
      <c r="E3924" s="18" t="str">
        <f t="shared" si="184"/>
        <v/>
      </c>
      <c r="F3924" s="17" t="str">
        <f t="shared" si="185"/>
        <v/>
      </c>
    </row>
    <row r="3925" spans="2:6" x14ac:dyDescent="0.2">
      <c r="B3925" s="12"/>
      <c r="C3925" s="12"/>
      <c r="D3925" s="17" t="str">
        <f t="shared" si="186"/>
        <v/>
      </c>
      <c r="E3925" s="18" t="str">
        <f t="shared" si="184"/>
        <v/>
      </c>
      <c r="F3925" s="17" t="str">
        <f t="shared" si="185"/>
        <v/>
      </c>
    </row>
    <row r="3926" spans="2:6" x14ac:dyDescent="0.2">
      <c r="B3926" s="12"/>
      <c r="C3926" s="12"/>
      <c r="D3926" s="17" t="str">
        <f t="shared" si="186"/>
        <v/>
      </c>
      <c r="E3926" s="18" t="str">
        <f t="shared" si="184"/>
        <v/>
      </c>
      <c r="F3926" s="17" t="str">
        <f t="shared" si="185"/>
        <v/>
      </c>
    </row>
    <row r="3927" spans="2:6" x14ac:dyDescent="0.2">
      <c r="B3927" s="12"/>
      <c r="C3927" s="12"/>
      <c r="D3927" s="17" t="str">
        <f t="shared" si="186"/>
        <v/>
      </c>
      <c r="E3927" s="18" t="str">
        <f t="shared" si="184"/>
        <v/>
      </c>
      <c r="F3927" s="17" t="str">
        <f t="shared" si="185"/>
        <v/>
      </c>
    </row>
    <row r="3928" spans="2:6" x14ac:dyDescent="0.2">
      <c r="B3928" s="12"/>
      <c r="C3928" s="12"/>
      <c r="D3928" s="17" t="str">
        <f t="shared" si="186"/>
        <v/>
      </c>
      <c r="E3928" s="18" t="str">
        <f t="shared" si="184"/>
        <v/>
      </c>
      <c r="F3928" s="17" t="str">
        <f t="shared" si="185"/>
        <v/>
      </c>
    </row>
    <row r="3929" spans="2:6" x14ac:dyDescent="0.2">
      <c r="B3929" s="12"/>
      <c r="C3929" s="12"/>
      <c r="D3929" s="17" t="str">
        <f t="shared" si="186"/>
        <v/>
      </c>
      <c r="E3929" s="18" t="str">
        <f t="shared" si="184"/>
        <v/>
      </c>
      <c r="F3929" s="17" t="str">
        <f t="shared" si="185"/>
        <v/>
      </c>
    </row>
    <row r="3930" spans="2:6" x14ac:dyDescent="0.2">
      <c r="B3930" s="12"/>
      <c r="C3930" s="12"/>
      <c r="D3930" s="17" t="str">
        <f t="shared" si="186"/>
        <v/>
      </c>
      <c r="E3930" s="18" t="str">
        <f t="shared" si="184"/>
        <v/>
      </c>
      <c r="F3930" s="17" t="str">
        <f t="shared" si="185"/>
        <v/>
      </c>
    </row>
    <row r="3931" spans="2:6" x14ac:dyDescent="0.2">
      <c r="B3931" s="12"/>
      <c r="C3931" s="12"/>
      <c r="D3931" s="17" t="str">
        <f t="shared" si="186"/>
        <v/>
      </c>
      <c r="E3931" s="18" t="str">
        <f t="shared" si="184"/>
        <v/>
      </c>
      <c r="F3931" s="17" t="str">
        <f t="shared" si="185"/>
        <v/>
      </c>
    </row>
    <row r="3932" spans="2:6" x14ac:dyDescent="0.2">
      <c r="B3932" s="12"/>
      <c r="C3932" s="12"/>
      <c r="D3932" s="17" t="str">
        <f t="shared" si="186"/>
        <v/>
      </c>
      <c r="E3932" s="18" t="str">
        <f t="shared" si="184"/>
        <v/>
      </c>
      <c r="F3932" s="17" t="str">
        <f t="shared" si="185"/>
        <v/>
      </c>
    </row>
    <row r="3933" spans="2:6" x14ac:dyDescent="0.2">
      <c r="B3933" s="12"/>
      <c r="C3933" s="12"/>
      <c r="D3933" s="17" t="str">
        <f t="shared" si="186"/>
        <v/>
      </c>
      <c r="E3933" s="18" t="str">
        <f t="shared" si="184"/>
        <v/>
      </c>
      <c r="F3933" s="17" t="str">
        <f t="shared" si="185"/>
        <v/>
      </c>
    </row>
    <row r="3934" spans="2:6" x14ac:dyDescent="0.2">
      <c r="B3934" s="12"/>
      <c r="C3934" s="12"/>
      <c r="D3934" s="17" t="str">
        <f t="shared" si="186"/>
        <v/>
      </c>
      <c r="E3934" s="18" t="str">
        <f t="shared" si="184"/>
        <v/>
      </c>
      <c r="F3934" s="17" t="str">
        <f t="shared" si="185"/>
        <v/>
      </c>
    </row>
    <row r="3935" spans="2:6" x14ac:dyDescent="0.2">
      <c r="B3935" s="12"/>
      <c r="C3935" s="12"/>
      <c r="D3935" s="17" t="str">
        <f t="shared" si="186"/>
        <v/>
      </c>
      <c r="E3935" s="18" t="str">
        <f t="shared" si="184"/>
        <v/>
      </c>
      <c r="F3935" s="17" t="str">
        <f t="shared" si="185"/>
        <v/>
      </c>
    </row>
    <row r="3936" spans="2:6" x14ac:dyDescent="0.2">
      <c r="B3936" s="12"/>
      <c r="C3936" s="12"/>
      <c r="D3936" s="17" t="str">
        <f t="shared" si="186"/>
        <v/>
      </c>
      <c r="E3936" s="18" t="str">
        <f t="shared" si="184"/>
        <v/>
      </c>
      <c r="F3936" s="17" t="str">
        <f t="shared" si="185"/>
        <v/>
      </c>
    </row>
    <row r="3937" spans="2:6" x14ac:dyDescent="0.2">
      <c r="B3937" s="12"/>
      <c r="C3937" s="12"/>
      <c r="D3937" s="17" t="str">
        <f t="shared" si="186"/>
        <v/>
      </c>
      <c r="E3937" s="18" t="str">
        <f t="shared" si="184"/>
        <v/>
      </c>
      <c r="F3937" s="17" t="str">
        <f t="shared" si="185"/>
        <v/>
      </c>
    </row>
    <row r="3938" spans="2:6" x14ac:dyDescent="0.2">
      <c r="B3938" s="12"/>
      <c r="C3938" s="12"/>
      <c r="D3938" s="17" t="str">
        <f t="shared" si="186"/>
        <v/>
      </c>
      <c r="E3938" s="18" t="str">
        <f t="shared" si="184"/>
        <v/>
      </c>
      <c r="F3938" s="17" t="str">
        <f t="shared" si="185"/>
        <v/>
      </c>
    </row>
    <row r="3939" spans="2:6" x14ac:dyDescent="0.2">
      <c r="B3939" s="12"/>
      <c r="C3939" s="12"/>
      <c r="D3939" s="17" t="str">
        <f t="shared" si="186"/>
        <v/>
      </c>
      <c r="E3939" s="18" t="str">
        <f t="shared" si="184"/>
        <v/>
      </c>
      <c r="F3939" s="17" t="str">
        <f t="shared" si="185"/>
        <v/>
      </c>
    </row>
    <row r="3940" spans="2:6" x14ac:dyDescent="0.2">
      <c r="B3940" s="12"/>
      <c r="C3940" s="12"/>
      <c r="D3940" s="17" t="str">
        <f t="shared" si="186"/>
        <v/>
      </c>
      <c r="E3940" s="18" t="str">
        <f t="shared" si="184"/>
        <v/>
      </c>
      <c r="F3940" s="17" t="str">
        <f t="shared" si="185"/>
        <v/>
      </c>
    </row>
    <row r="3941" spans="2:6" x14ac:dyDescent="0.2">
      <c r="B3941" s="12"/>
      <c r="C3941" s="12"/>
      <c r="D3941" s="17" t="str">
        <f t="shared" si="186"/>
        <v/>
      </c>
      <c r="E3941" s="18" t="str">
        <f t="shared" si="184"/>
        <v/>
      </c>
      <c r="F3941" s="17" t="str">
        <f t="shared" si="185"/>
        <v/>
      </c>
    </row>
    <row r="3942" spans="2:6" x14ac:dyDescent="0.2">
      <c r="B3942" s="12"/>
      <c r="C3942" s="12"/>
      <c r="D3942" s="17" t="str">
        <f t="shared" si="186"/>
        <v/>
      </c>
      <c r="E3942" s="18" t="str">
        <f t="shared" si="184"/>
        <v/>
      </c>
      <c r="F3942" s="17" t="str">
        <f t="shared" si="185"/>
        <v/>
      </c>
    </row>
    <row r="3943" spans="2:6" x14ac:dyDescent="0.2">
      <c r="B3943" s="12"/>
      <c r="C3943" s="12"/>
      <c r="D3943" s="17" t="str">
        <f t="shared" si="186"/>
        <v/>
      </c>
      <c r="E3943" s="18" t="str">
        <f t="shared" si="184"/>
        <v/>
      </c>
      <c r="F3943" s="17" t="str">
        <f t="shared" si="185"/>
        <v/>
      </c>
    </row>
    <row r="3944" spans="2:6" x14ac:dyDescent="0.2">
      <c r="B3944" s="12"/>
      <c r="C3944" s="12"/>
      <c r="D3944" s="17" t="str">
        <f t="shared" si="186"/>
        <v/>
      </c>
      <c r="E3944" s="18" t="str">
        <f t="shared" si="184"/>
        <v/>
      </c>
      <c r="F3944" s="17" t="str">
        <f t="shared" si="185"/>
        <v/>
      </c>
    </row>
    <row r="3945" spans="2:6" x14ac:dyDescent="0.2">
      <c r="B3945" s="12"/>
      <c r="C3945" s="12"/>
      <c r="D3945" s="17" t="str">
        <f t="shared" si="186"/>
        <v/>
      </c>
      <c r="E3945" s="18" t="str">
        <f t="shared" si="184"/>
        <v/>
      </c>
      <c r="F3945" s="17" t="str">
        <f t="shared" si="185"/>
        <v/>
      </c>
    </row>
    <row r="3946" spans="2:6" x14ac:dyDescent="0.2">
      <c r="B3946" s="12"/>
      <c r="C3946" s="12"/>
      <c r="D3946" s="17" t="str">
        <f t="shared" si="186"/>
        <v/>
      </c>
      <c r="E3946" s="18" t="str">
        <f t="shared" si="184"/>
        <v/>
      </c>
      <c r="F3946" s="17" t="str">
        <f t="shared" si="185"/>
        <v/>
      </c>
    </row>
    <row r="3947" spans="2:6" x14ac:dyDescent="0.2">
      <c r="B3947" s="12"/>
      <c r="C3947" s="12"/>
      <c r="D3947" s="17" t="str">
        <f t="shared" si="186"/>
        <v/>
      </c>
      <c r="E3947" s="18" t="str">
        <f t="shared" si="184"/>
        <v/>
      </c>
      <c r="F3947" s="17" t="str">
        <f t="shared" si="185"/>
        <v/>
      </c>
    </row>
    <row r="3948" spans="2:6" x14ac:dyDescent="0.2">
      <c r="B3948" s="12"/>
      <c r="C3948" s="12"/>
      <c r="D3948" s="17" t="str">
        <f t="shared" si="186"/>
        <v/>
      </c>
      <c r="E3948" s="18" t="str">
        <f t="shared" si="184"/>
        <v/>
      </c>
      <c r="F3948" s="17" t="str">
        <f t="shared" si="185"/>
        <v/>
      </c>
    </row>
    <row r="3949" spans="2:6" x14ac:dyDescent="0.2">
      <c r="B3949" s="12"/>
      <c r="C3949" s="12"/>
      <c r="D3949" s="17" t="str">
        <f t="shared" si="186"/>
        <v/>
      </c>
      <c r="E3949" s="18" t="str">
        <f t="shared" si="184"/>
        <v/>
      </c>
      <c r="F3949" s="17" t="str">
        <f t="shared" si="185"/>
        <v/>
      </c>
    </row>
    <row r="3950" spans="2:6" x14ac:dyDescent="0.2">
      <c r="B3950" s="12"/>
      <c r="C3950" s="12"/>
      <c r="D3950" s="17" t="str">
        <f t="shared" si="186"/>
        <v/>
      </c>
      <c r="E3950" s="18" t="str">
        <f t="shared" si="184"/>
        <v/>
      </c>
      <c r="F3950" s="17" t="str">
        <f t="shared" si="185"/>
        <v/>
      </c>
    </row>
    <row r="3951" spans="2:6" x14ac:dyDescent="0.2">
      <c r="B3951" s="12"/>
      <c r="C3951" s="12"/>
      <c r="D3951" s="17" t="str">
        <f t="shared" si="186"/>
        <v/>
      </c>
      <c r="E3951" s="18" t="str">
        <f t="shared" si="184"/>
        <v/>
      </c>
      <c r="F3951" s="17" t="str">
        <f t="shared" si="185"/>
        <v/>
      </c>
    </row>
    <row r="3952" spans="2:6" x14ac:dyDescent="0.2">
      <c r="B3952" s="12"/>
      <c r="C3952" s="12"/>
      <c r="D3952" s="17" t="str">
        <f t="shared" si="186"/>
        <v/>
      </c>
      <c r="E3952" s="18" t="str">
        <f t="shared" si="184"/>
        <v/>
      </c>
      <c r="F3952" s="17" t="str">
        <f t="shared" si="185"/>
        <v/>
      </c>
    </row>
    <row r="3953" spans="2:6" x14ac:dyDescent="0.2">
      <c r="B3953" s="12"/>
      <c r="C3953" s="12"/>
      <c r="D3953" s="17" t="str">
        <f t="shared" si="186"/>
        <v/>
      </c>
      <c r="E3953" s="18" t="str">
        <f t="shared" si="184"/>
        <v/>
      </c>
      <c r="F3953" s="17" t="str">
        <f t="shared" si="185"/>
        <v/>
      </c>
    </row>
    <row r="3954" spans="2:6" x14ac:dyDescent="0.2">
      <c r="B3954" s="12"/>
      <c r="C3954" s="12"/>
      <c r="D3954" s="17" t="str">
        <f t="shared" si="186"/>
        <v/>
      </c>
      <c r="E3954" s="18" t="str">
        <f t="shared" si="184"/>
        <v/>
      </c>
      <c r="F3954" s="17" t="str">
        <f t="shared" si="185"/>
        <v/>
      </c>
    </row>
    <row r="3955" spans="2:6" x14ac:dyDescent="0.2">
      <c r="B3955" s="12"/>
      <c r="C3955" s="12"/>
      <c r="D3955" s="17" t="str">
        <f t="shared" si="186"/>
        <v/>
      </c>
      <c r="E3955" s="18" t="str">
        <f t="shared" si="184"/>
        <v/>
      </c>
      <c r="F3955" s="17" t="str">
        <f t="shared" si="185"/>
        <v/>
      </c>
    </row>
    <row r="3956" spans="2:6" x14ac:dyDescent="0.2">
      <c r="B3956" s="12"/>
      <c r="C3956" s="12"/>
      <c r="D3956" s="17" t="str">
        <f t="shared" si="186"/>
        <v/>
      </c>
      <c r="E3956" s="18" t="str">
        <f t="shared" si="184"/>
        <v/>
      </c>
      <c r="F3956" s="17" t="str">
        <f t="shared" si="185"/>
        <v/>
      </c>
    </row>
    <row r="3957" spans="2:6" x14ac:dyDescent="0.2">
      <c r="B3957" s="12"/>
      <c r="C3957" s="12"/>
      <c r="D3957" s="17" t="str">
        <f t="shared" si="186"/>
        <v/>
      </c>
      <c r="E3957" s="18" t="str">
        <f t="shared" si="184"/>
        <v/>
      </c>
      <c r="F3957" s="17" t="str">
        <f t="shared" si="185"/>
        <v/>
      </c>
    </row>
    <row r="3958" spans="2:6" x14ac:dyDescent="0.2">
      <c r="B3958" s="12"/>
      <c r="C3958" s="12"/>
      <c r="D3958" s="17" t="str">
        <f t="shared" si="186"/>
        <v/>
      </c>
      <c r="E3958" s="18" t="str">
        <f t="shared" si="184"/>
        <v/>
      </c>
      <c r="F3958" s="17" t="str">
        <f t="shared" si="185"/>
        <v/>
      </c>
    </row>
    <row r="3959" spans="2:6" x14ac:dyDescent="0.2">
      <c r="B3959" s="12"/>
      <c r="C3959" s="12"/>
      <c r="D3959" s="17" t="str">
        <f t="shared" si="186"/>
        <v/>
      </c>
      <c r="E3959" s="18" t="str">
        <f t="shared" si="184"/>
        <v/>
      </c>
      <c r="F3959" s="17" t="str">
        <f t="shared" si="185"/>
        <v/>
      </c>
    </row>
    <row r="3960" spans="2:6" x14ac:dyDescent="0.2">
      <c r="B3960" s="12"/>
      <c r="C3960" s="12"/>
      <c r="D3960" s="17" t="str">
        <f t="shared" si="186"/>
        <v/>
      </c>
      <c r="E3960" s="18" t="str">
        <f t="shared" si="184"/>
        <v/>
      </c>
      <c r="F3960" s="17" t="str">
        <f t="shared" si="185"/>
        <v/>
      </c>
    </row>
    <row r="3961" spans="2:6" x14ac:dyDescent="0.2">
      <c r="B3961" s="12"/>
      <c r="C3961" s="12"/>
      <c r="D3961" s="17" t="str">
        <f t="shared" si="186"/>
        <v/>
      </c>
      <c r="E3961" s="18" t="str">
        <f t="shared" si="184"/>
        <v/>
      </c>
      <c r="F3961" s="17" t="str">
        <f t="shared" si="185"/>
        <v/>
      </c>
    </row>
    <row r="3962" spans="2:6" x14ac:dyDescent="0.2">
      <c r="B3962" s="12"/>
      <c r="C3962" s="12"/>
      <c r="D3962" s="17" t="str">
        <f t="shared" si="186"/>
        <v/>
      </c>
      <c r="E3962" s="18" t="str">
        <f t="shared" si="184"/>
        <v/>
      </c>
      <c r="F3962" s="17" t="str">
        <f t="shared" si="185"/>
        <v/>
      </c>
    </row>
    <row r="3963" spans="2:6" x14ac:dyDescent="0.2">
      <c r="B3963" s="12"/>
      <c r="C3963" s="12"/>
      <c r="D3963" s="17" t="str">
        <f t="shared" si="186"/>
        <v/>
      </c>
      <c r="E3963" s="18" t="str">
        <f t="shared" si="184"/>
        <v/>
      </c>
      <c r="F3963" s="17" t="str">
        <f t="shared" si="185"/>
        <v/>
      </c>
    </row>
    <row r="3964" spans="2:6" x14ac:dyDescent="0.2">
      <c r="B3964" s="12"/>
      <c r="C3964" s="12"/>
      <c r="D3964" s="17" t="str">
        <f t="shared" si="186"/>
        <v/>
      </c>
      <c r="E3964" s="18" t="str">
        <f t="shared" si="184"/>
        <v/>
      </c>
      <c r="F3964" s="17" t="str">
        <f t="shared" si="185"/>
        <v/>
      </c>
    </row>
    <row r="3965" spans="2:6" x14ac:dyDescent="0.2">
      <c r="B3965" s="12"/>
      <c r="C3965" s="12"/>
      <c r="D3965" s="17" t="str">
        <f t="shared" si="186"/>
        <v/>
      </c>
      <c r="E3965" s="18" t="str">
        <f t="shared" si="184"/>
        <v/>
      </c>
      <c r="F3965" s="17" t="str">
        <f t="shared" si="185"/>
        <v/>
      </c>
    </row>
    <row r="3966" spans="2:6" x14ac:dyDescent="0.2">
      <c r="B3966" s="12"/>
      <c r="C3966" s="12"/>
      <c r="D3966" s="17" t="str">
        <f t="shared" si="186"/>
        <v/>
      </c>
      <c r="E3966" s="18" t="str">
        <f t="shared" si="184"/>
        <v/>
      </c>
      <c r="F3966" s="17" t="str">
        <f t="shared" si="185"/>
        <v/>
      </c>
    </row>
    <row r="3967" spans="2:6" x14ac:dyDescent="0.2">
      <c r="B3967" s="12"/>
      <c r="C3967" s="12"/>
      <c r="D3967" s="17" t="str">
        <f t="shared" si="186"/>
        <v/>
      </c>
      <c r="E3967" s="18" t="str">
        <f t="shared" si="184"/>
        <v/>
      </c>
      <c r="F3967" s="17" t="str">
        <f t="shared" si="185"/>
        <v/>
      </c>
    </row>
    <row r="3968" spans="2:6" x14ac:dyDescent="0.2">
      <c r="B3968" s="12"/>
      <c r="C3968" s="12"/>
      <c r="D3968" s="17" t="str">
        <f t="shared" si="186"/>
        <v/>
      </c>
      <c r="E3968" s="18" t="str">
        <f t="shared" si="184"/>
        <v/>
      </c>
      <c r="F3968" s="17" t="str">
        <f t="shared" si="185"/>
        <v/>
      </c>
    </row>
    <row r="3969" spans="2:6" x14ac:dyDescent="0.2">
      <c r="B3969" s="12"/>
      <c r="C3969" s="12"/>
      <c r="D3969" s="17" t="str">
        <f t="shared" si="186"/>
        <v/>
      </c>
      <c r="E3969" s="18" t="str">
        <f t="shared" si="184"/>
        <v/>
      </c>
      <c r="F3969" s="17" t="str">
        <f t="shared" si="185"/>
        <v/>
      </c>
    </row>
    <row r="3970" spans="2:6" x14ac:dyDescent="0.2">
      <c r="B3970" s="12"/>
      <c r="C3970" s="12"/>
      <c r="D3970" s="17" t="str">
        <f t="shared" si="186"/>
        <v/>
      </c>
      <c r="E3970" s="18" t="str">
        <f t="shared" si="184"/>
        <v/>
      </c>
      <c r="F3970" s="17" t="str">
        <f t="shared" si="185"/>
        <v/>
      </c>
    </row>
    <row r="3971" spans="2:6" x14ac:dyDescent="0.2">
      <c r="B3971" s="12"/>
      <c r="C3971" s="12"/>
      <c r="D3971" s="17" t="str">
        <f t="shared" si="186"/>
        <v/>
      </c>
      <c r="E3971" s="18" t="str">
        <f t="shared" si="184"/>
        <v/>
      </c>
      <c r="F3971" s="17" t="str">
        <f t="shared" si="185"/>
        <v/>
      </c>
    </row>
    <row r="3972" spans="2:6" x14ac:dyDescent="0.2">
      <c r="B3972" s="12"/>
      <c r="C3972" s="12"/>
      <c r="D3972" s="17" t="str">
        <f t="shared" si="186"/>
        <v/>
      </c>
      <c r="E3972" s="18" t="str">
        <f t="shared" si="184"/>
        <v/>
      </c>
      <c r="F3972" s="17" t="str">
        <f t="shared" si="185"/>
        <v/>
      </c>
    </row>
    <row r="3973" spans="2:6" x14ac:dyDescent="0.2">
      <c r="B3973" s="12"/>
      <c r="C3973" s="12"/>
      <c r="D3973" s="17" t="str">
        <f t="shared" si="186"/>
        <v/>
      </c>
      <c r="E3973" s="18" t="str">
        <f t="shared" ref="E3973:E4036" si="187">IF(B3973="","",ABS(C3973-D3973))</f>
        <v/>
      </c>
      <c r="F3973" s="17" t="str">
        <f t="shared" ref="F3973:F4036" si="188">IF(B3973="","",E3973^2)</f>
        <v/>
      </c>
    </row>
    <row r="3974" spans="2:6" x14ac:dyDescent="0.2">
      <c r="B3974" s="12"/>
      <c r="C3974" s="12"/>
      <c r="D3974" s="17" t="str">
        <f t="shared" si="186"/>
        <v/>
      </c>
      <c r="E3974" s="18" t="str">
        <f t="shared" si="187"/>
        <v/>
      </c>
      <c r="F3974" s="17" t="str">
        <f t="shared" si="188"/>
        <v/>
      </c>
    </row>
    <row r="3975" spans="2:6" x14ac:dyDescent="0.2">
      <c r="B3975" s="12"/>
      <c r="C3975" s="12"/>
      <c r="D3975" s="17" t="str">
        <f t="shared" si="186"/>
        <v/>
      </c>
      <c r="E3975" s="18" t="str">
        <f t="shared" si="187"/>
        <v/>
      </c>
      <c r="F3975" s="17" t="str">
        <f t="shared" si="188"/>
        <v/>
      </c>
    </row>
    <row r="3976" spans="2:6" x14ac:dyDescent="0.2">
      <c r="B3976" s="12"/>
      <c r="C3976" s="12"/>
      <c r="D3976" s="17" t="str">
        <f t="shared" si="186"/>
        <v/>
      </c>
      <c r="E3976" s="18" t="str">
        <f t="shared" si="187"/>
        <v/>
      </c>
      <c r="F3976" s="17" t="str">
        <f t="shared" si="188"/>
        <v/>
      </c>
    </row>
    <row r="3977" spans="2:6" x14ac:dyDescent="0.2">
      <c r="B3977" s="12"/>
      <c r="C3977" s="12"/>
      <c r="D3977" s="17" t="str">
        <f t="shared" si="186"/>
        <v/>
      </c>
      <c r="E3977" s="18" t="str">
        <f t="shared" si="187"/>
        <v/>
      </c>
      <c r="F3977" s="17" t="str">
        <f t="shared" si="188"/>
        <v/>
      </c>
    </row>
    <row r="3978" spans="2:6" x14ac:dyDescent="0.2">
      <c r="B3978" s="12"/>
      <c r="C3978" s="12"/>
      <c r="D3978" s="17" t="str">
        <f t="shared" si="186"/>
        <v/>
      </c>
      <c r="E3978" s="18" t="str">
        <f t="shared" si="187"/>
        <v/>
      </c>
      <c r="F3978" s="17" t="str">
        <f t="shared" si="188"/>
        <v/>
      </c>
    </row>
    <row r="3979" spans="2:6" x14ac:dyDescent="0.2">
      <c r="B3979" s="12"/>
      <c r="C3979" s="12"/>
      <c r="D3979" s="17" t="str">
        <f t="shared" si="186"/>
        <v/>
      </c>
      <c r="E3979" s="18" t="str">
        <f t="shared" si="187"/>
        <v/>
      </c>
      <c r="F3979" s="17" t="str">
        <f t="shared" si="188"/>
        <v/>
      </c>
    </row>
    <row r="3980" spans="2:6" x14ac:dyDescent="0.2">
      <c r="B3980" s="12"/>
      <c r="C3980" s="12"/>
      <c r="D3980" s="17" t="str">
        <f t="shared" si="186"/>
        <v/>
      </c>
      <c r="E3980" s="18" t="str">
        <f t="shared" si="187"/>
        <v/>
      </c>
      <c r="F3980" s="17" t="str">
        <f t="shared" si="188"/>
        <v/>
      </c>
    </row>
    <row r="3981" spans="2:6" x14ac:dyDescent="0.2">
      <c r="B3981" s="12"/>
      <c r="C3981" s="12"/>
      <c r="D3981" s="17" t="str">
        <f t="shared" si="186"/>
        <v/>
      </c>
      <c r="E3981" s="18" t="str">
        <f t="shared" si="187"/>
        <v/>
      </c>
      <c r="F3981" s="17" t="str">
        <f t="shared" si="188"/>
        <v/>
      </c>
    </row>
    <row r="3982" spans="2:6" x14ac:dyDescent="0.2">
      <c r="B3982" s="12"/>
      <c r="C3982" s="12"/>
      <c r="D3982" s="17" t="str">
        <f t="shared" si="186"/>
        <v/>
      </c>
      <c r="E3982" s="18" t="str">
        <f t="shared" si="187"/>
        <v/>
      </c>
      <c r="F3982" s="17" t="str">
        <f t="shared" si="188"/>
        <v/>
      </c>
    </row>
    <row r="3983" spans="2:6" x14ac:dyDescent="0.2">
      <c r="B3983" s="12"/>
      <c r="C3983" s="12"/>
      <c r="D3983" s="17" t="str">
        <f t="shared" si="186"/>
        <v/>
      </c>
      <c r="E3983" s="18" t="str">
        <f t="shared" si="187"/>
        <v/>
      </c>
      <c r="F3983" s="17" t="str">
        <f t="shared" si="188"/>
        <v/>
      </c>
    </row>
    <row r="3984" spans="2:6" x14ac:dyDescent="0.2">
      <c r="B3984" s="12"/>
      <c r="C3984" s="12"/>
      <c r="D3984" s="17" t="str">
        <f t="shared" si="186"/>
        <v/>
      </c>
      <c r="E3984" s="18" t="str">
        <f t="shared" si="187"/>
        <v/>
      </c>
      <c r="F3984" s="17" t="str">
        <f t="shared" si="188"/>
        <v/>
      </c>
    </row>
    <row r="3985" spans="2:6" x14ac:dyDescent="0.2">
      <c r="B3985" s="12"/>
      <c r="C3985" s="12"/>
      <c r="D3985" s="17" t="str">
        <f t="shared" si="186"/>
        <v/>
      </c>
      <c r="E3985" s="18" t="str">
        <f t="shared" si="187"/>
        <v/>
      </c>
      <c r="F3985" s="17" t="str">
        <f t="shared" si="188"/>
        <v/>
      </c>
    </row>
    <row r="3986" spans="2:6" x14ac:dyDescent="0.2">
      <c r="B3986" s="12"/>
      <c r="C3986" s="12"/>
      <c r="D3986" s="17" t="str">
        <f t="shared" ref="D3986:D4049" si="189">IF(B3986="","",a+b*B3986)</f>
        <v/>
      </c>
      <c r="E3986" s="18" t="str">
        <f t="shared" si="187"/>
        <v/>
      </c>
      <c r="F3986" s="17" t="str">
        <f t="shared" si="188"/>
        <v/>
      </c>
    </row>
    <row r="3987" spans="2:6" x14ac:dyDescent="0.2">
      <c r="B3987" s="12"/>
      <c r="C3987" s="12"/>
      <c r="D3987" s="17" t="str">
        <f t="shared" si="189"/>
        <v/>
      </c>
      <c r="E3987" s="18" t="str">
        <f t="shared" si="187"/>
        <v/>
      </c>
      <c r="F3987" s="17" t="str">
        <f t="shared" si="188"/>
        <v/>
      </c>
    </row>
    <row r="3988" spans="2:6" x14ac:dyDescent="0.2">
      <c r="B3988" s="12"/>
      <c r="C3988" s="12"/>
      <c r="D3988" s="17" t="str">
        <f t="shared" si="189"/>
        <v/>
      </c>
      <c r="E3988" s="18" t="str">
        <f t="shared" si="187"/>
        <v/>
      </c>
      <c r="F3988" s="17" t="str">
        <f t="shared" si="188"/>
        <v/>
      </c>
    </row>
    <row r="3989" spans="2:6" x14ac:dyDescent="0.2">
      <c r="B3989" s="12"/>
      <c r="C3989" s="12"/>
      <c r="D3989" s="17" t="str">
        <f t="shared" si="189"/>
        <v/>
      </c>
      <c r="E3989" s="18" t="str">
        <f t="shared" si="187"/>
        <v/>
      </c>
      <c r="F3989" s="17" t="str">
        <f t="shared" si="188"/>
        <v/>
      </c>
    </row>
    <row r="3990" spans="2:6" x14ac:dyDescent="0.2">
      <c r="B3990" s="12"/>
      <c r="C3990" s="12"/>
      <c r="D3990" s="17" t="str">
        <f t="shared" si="189"/>
        <v/>
      </c>
      <c r="E3990" s="18" t="str">
        <f t="shared" si="187"/>
        <v/>
      </c>
      <c r="F3990" s="17" t="str">
        <f t="shared" si="188"/>
        <v/>
      </c>
    </row>
    <row r="3991" spans="2:6" x14ac:dyDescent="0.2">
      <c r="B3991" s="12"/>
      <c r="C3991" s="12"/>
      <c r="D3991" s="17" t="str">
        <f t="shared" si="189"/>
        <v/>
      </c>
      <c r="E3991" s="18" t="str">
        <f t="shared" si="187"/>
        <v/>
      </c>
      <c r="F3991" s="17" t="str">
        <f t="shared" si="188"/>
        <v/>
      </c>
    </row>
    <row r="3992" spans="2:6" x14ac:dyDescent="0.2">
      <c r="B3992" s="12"/>
      <c r="C3992" s="12"/>
      <c r="D3992" s="17" t="str">
        <f t="shared" si="189"/>
        <v/>
      </c>
      <c r="E3992" s="18" t="str">
        <f t="shared" si="187"/>
        <v/>
      </c>
      <c r="F3992" s="17" t="str">
        <f t="shared" si="188"/>
        <v/>
      </c>
    </row>
    <row r="3993" spans="2:6" x14ac:dyDescent="0.2">
      <c r="B3993" s="12"/>
      <c r="C3993" s="12"/>
      <c r="D3993" s="17" t="str">
        <f t="shared" si="189"/>
        <v/>
      </c>
      <c r="E3993" s="18" t="str">
        <f t="shared" si="187"/>
        <v/>
      </c>
      <c r="F3993" s="17" t="str">
        <f t="shared" si="188"/>
        <v/>
      </c>
    </row>
    <row r="3994" spans="2:6" x14ac:dyDescent="0.2">
      <c r="B3994" s="12"/>
      <c r="C3994" s="12"/>
      <c r="D3994" s="17" t="str">
        <f t="shared" si="189"/>
        <v/>
      </c>
      <c r="E3994" s="18" t="str">
        <f t="shared" si="187"/>
        <v/>
      </c>
      <c r="F3994" s="17" t="str">
        <f t="shared" si="188"/>
        <v/>
      </c>
    </row>
    <row r="3995" spans="2:6" x14ac:dyDescent="0.2">
      <c r="B3995" s="12"/>
      <c r="C3995" s="12"/>
      <c r="D3995" s="17" t="str">
        <f t="shared" si="189"/>
        <v/>
      </c>
      <c r="E3995" s="18" t="str">
        <f t="shared" si="187"/>
        <v/>
      </c>
      <c r="F3995" s="17" t="str">
        <f t="shared" si="188"/>
        <v/>
      </c>
    </row>
    <row r="3996" spans="2:6" x14ac:dyDescent="0.2">
      <c r="B3996" s="12"/>
      <c r="C3996" s="12"/>
      <c r="D3996" s="17" t="str">
        <f t="shared" si="189"/>
        <v/>
      </c>
      <c r="E3996" s="18" t="str">
        <f t="shared" si="187"/>
        <v/>
      </c>
      <c r="F3996" s="17" t="str">
        <f t="shared" si="188"/>
        <v/>
      </c>
    </row>
    <row r="3997" spans="2:6" x14ac:dyDescent="0.2">
      <c r="B3997" s="12"/>
      <c r="C3997" s="12"/>
      <c r="D3997" s="17" t="str">
        <f t="shared" si="189"/>
        <v/>
      </c>
      <c r="E3997" s="18" t="str">
        <f t="shared" si="187"/>
        <v/>
      </c>
      <c r="F3997" s="17" t="str">
        <f t="shared" si="188"/>
        <v/>
      </c>
    </row>
    <row r="3998" spans="2:6" x14ac:dyDescent="0.2">
      <c r="B3998" s="12"/>
      <c r="C3998" s="12"/>
      <c r="D3998" s="17" t="str">
        <f t="shared" si="189"/>
        <v/>
      </c>
      <c r="E3998" s="18" t="str">
        <f t="shared" si="187"/>
        <v/>
      </c>
      <c r="F3998" s="17" t="str">
        <f t="shared" si="188"/>
        <v/>
      </c>
    </row>
    <row r="3999" spans="2:6" x14ac:dyDescent="0.2">
      <c r="B3999" s="12"/>
      <c r="C3999" s="12"/>
      <c r="D3999" s="17" t="str">
        <f t="shared" si="189"/>
        <v/>
      </c>
      <c r="E3999" s="18" t="str">
        <f t="shared" si="187"/>
        <v/>
      </c>
      <c r="F3999" s="17" t="str">
        <f t="shared" si="188"/>
        <v/>
      </c>
    </row>
    <row r="4000" spans="2:6" x14ac:dyDescent="0.2">
      <c r="B4000" s="12"/>
      <c r="C4000" s="12"/>
      <c r="D4000" s="17" t="str">
        <f t="shared" si="189"/>
        <v/>
      </c>
      <c r="E4000" s="18" t="str">
        <f t="shared" si="187"/>
        <v/>
      </c>
      <c r="F4000" s="17" t="str">
        <f t="shared" si="188"/>
        <v/>
      </c>
    </row>
    <row r="4001" spans="2:6" x14ac:dyDescent="0.2">
      <c r="B4001" s="12"/>
      <c r="C4001" s="12"/>
      <c r="D4001" s="17" t="str">
        <f t="shared" si="189"/>
        <v/>
      </c>
      <c r="E4001" s="18" t="str">
        <f t="shared" si="187"/>
        <v/>
      </c>
      <c r="F4001" s="17" t="str">
        <f t="shared" si="188"/>
        <v/>
      </c>
    </row>
    <row r="4002" spans="2:6" x14ac:dyDescent="0.2">
      <c r="B4002" s="12"/>
      <c r="C4002" s="12"/>
      <c r="D4002" s="17" t="str">
        <f t="shared" si="189"/>
        <v/>
      </c>
      <c r="E4002" s="18" t="str">
        <f t="shared" si="187"/>
        <v/>
      </c>
      <c r="F4002" s="17" t="str">
        <f t="shared" si="188"/>
        <v/>
      </c>
    </row>
    <row r="4003" spans="2:6" x14ac:dyDescent="0.2">
      <c r="B4003" s="12"/>
      <c r="C4003" s="12"/>
      <c r="D4003" s="17" t="str">
        <f t="shared" si="189"/>
        <v/>
      </c>
      <c r="E4003" s="18" t="str">
        <f t="shared" si="187"/>
        <v/>
      </c>
      <c r="F4003" s="17" t="str">
        <f t="shared" si="188"/>
        <v/>
      </c>
    </row>
    <row r="4004" spans="2:6" x14ac:dyDescent="0.2">
      <c r="B4004" s="12"/>
      <c r="C4004" s="12"/>
      <c r="D4004" s="17" t="str">
        <f t="shared" si="189"/>
        <v/>
      </c>
      <c r="E4004" s="18" t="str">
        <f t="shared" si="187"/>
        <v/>
      </c>
      <c r="F4004" s="17" t="str">
        <f t="shared" si="188"/>
        <v/>
      </c>
    </row>
    <row r="4005" spans="2:6" x14ac:dyDescent="0.2">
      <c r="B4005" s="12"/>
      <c r="C4005" s="12"/>
      <c r="D4005" s="17" t="str">
        <f t="shared" si="189"/>
        <v/>
      </c>
      <c r="E4005" s="18" t="str">
        <f t="shared" si="187"/>
        <v/>
      </c>
      <c r="F4005" s="17" t="str">
        <f t="shared" si="188"/>
        <v/>
      </c>
    </row>
    <row r="4006" spans="2:6" x14ac:dyDescent="0.2">
      <c r="B4006" s="12"/>
      <c r="C4006" s="12"/>
      <c r="D4006" s="17" t="str">
        <f t="shared" si="189"/>
        <v/>
      </c>
      <c r="E4006" s="18" t="str">
        <f t="shared" si="187"/>
        <v/>
      </c>
      <c r="F4006" s="17" t="str">
        <f t="shared" si="188"/>
        <v/>
      </c>
    </row>
    <row r="4007" spans="2:6" x14ac:dyDescent="0.2">
      <c r="B4007" s="12"/>
      <c r="C4007" s="12"/>
      <c r="D4007" s="17" t="str">
        <f t="shared" si="189"/>
        <v/>
      </c>
      <c r="E4007" s="18" t="str">
        <f t="shared" si="187"/>
        <v/>
      </c>
      <c r="F4007" s="17" t="str">
        <f t="shared" si="188"/>
        <v/>
      </c>
    </row>
    <row r="4008" spans="2:6" x14ac:dyDescent="0.2">
      <c r="B4008" s="12"/>
      <c r="C4008" s="12"/>
      <c r="D4008" s="17" t="str">
        <f t="shared" si="189"/>
        <v/>
      </c>
      <c r="E4008" s="18" t="str">
        <f t="shared" si="187"/>
        <v/>
      </c>
      <c r="F4008" s="17" t="str">
        <f t="shared" si="188"/>
        <v/>
      </c>
    </row>
    <row r="4009" spans="2:6" x14ac:dyDescent="0.2">
      <c r="B4009" s="12"/>
      <c r="C4009" s="12"/>
      <c r="D4009" s="17" t="str">
        <f t="shared" si="189"/>
        <v/>
      </c>
      <c r="E4009" s="18" t="str">
        <f t="shared" si="187"/>
        <v/>
      </c>
      <c r="F4009" s="17" t="str">
        <f t="shared" si="188"/>
        <v/>
      </c>
    </row>
    <row r="4010" spans="2:6" x14ac:dyDescent="0.2">
      <c r="B4010" s="12"/>
      <c r="C4010" s="12"/>
      <c r="D4010" s="17" t="str">
        <f t="shared" si="189"/>
        <v/>
      </c>
      <c r="E4010" s="18" t="str">
        <f t="shared" si="187"/>
        <v/>
      </c>
      <c r="F4010" s="17" t="str">
        <f t="shared" si="188"/>
        <v/>
      </c>
    </row>
    <row r="4011" spans="2:6" x14ac:dyDescent="0.2">
      <c r="B4011" s="12"/>
      <c r="C4011" s="12"/>
      <c r="D4011" s="17" t="str">
        <f t="shared" si="189"/>
        <v/>
      </c>
      <c r="E4011" s="18" t="str">
        <f t="shared" si="187"/>
        <v/>
      </c>
      <c r="F4011" s="17" t="str">
        <f t="shared" si="188"/>
        <v/>
      </c>
    </row>
    <row r="4012" spans="2:6" x14ac:dyDescent="0.2">
      <c r="B4012" s="12"/>
      <c r="C4012" s="12"/>
      <c r="D4012" s="17" t="str">
        <f t="shared" si="189"/>
        <v/>
      </c>
      <c r="E4012" s="18" t="str">
        <f t="shared" si="187"/>
        <v/>
      </c>
      <c r="F4012" s="17" t="str">
        <f t="shared" si="188"/>
        <v/>
      </c>
    </row>
    <row r="4013" spans="2:6" x14ac:dyDescent="0.2">
      <c r="B4013" s="12"/>
      <c r="C4013" s="12"/>
      <c r="D4013" s="17" t="str">
        <f t="shared" si="189"/>
        <v/>
      </c>
      <c r="E4013" s="18" t="str">
        <f t="shared" si="187"/>
        <v/>
      </c>
      <c r="F4013" s="17" t="str">
        <f t="shared" si="188"/>
        <v/>
      </c>
    </row>
    <row r="4014" spans="2:6" x14ac:dyDescent="0.2">
      <c r="B4014" s="12"/>
      <c r="C4014" s="12"/>
      <c r="D4014" s="17" t="str">
        <f t="shared" si="189"/>
        <v/>
      </c>
      <c r="E4014" s="18" t="str">
        <f t="shared" si="187"/>
        <v/>
      </c>
      <c r="F4014" s="17" t="str">
        <f t="shared" si="188"/>
        <v/>
      </c>
    </row>
    <row r="4015" spans="2:6" x14ac:dyDescent="0.2">
      <c r="B4015" s="12"/>
      <c r="C4015" s="12"/>
      <c r="D4015" s="17" t="str">
        <f t="shared" si="189"/>
        <v/>
      </c>
      <c r="E4015" s="18" t="str">
        <f t="shared" si="187"/>
        <v/>
      </c>
      <c r="F4015" s="17" t="str">
        <f t="shared" si="188"/>
        <v/>
      </c>
    </row>
    <row r="4016" spans="2:6" x14ac:dyDescent="0.2">
      <c r="B4016" s="12"/>
      <c r="C4016" s="12"/>
      <c r="D4016" s="17" t="str">
        <f t="shared" si="189"/>
        <v/>
      </c>
      <c r="E4016" s="18" t="str">
        <f t="shared" si="187"/>
        <v/>
      </c>
      <c r="F4016" s="17" t="str">
        <f t="shared" si="188"/>
        <v/>
      </c>
    </row>
    <row r="4017" spans="2:6" x14ac:dyDescent="0.2">
      <c r="B4017" s="12"/>
      <c r="C4017" s="12"/>
      <c r="D4017" s="17" t="str">
        <f t="shared" si="189"/>
        <v/>
      </c>
      <c r="E4017" s="18" t="str">
        <f t="shared" si="187"/>
        <v/>
      </c>
      <c r="F4017" s="17" t="str">
        <f t="shared" si="188"/>
        <v/>
      </c>
    </row>
    <row r="4018" spans="2:6" x14ac:dyDescent="0.2">
      <c r="B4018" s="12"/>
      <c r="C4018" s="12"/>
      <c r="D4018" s="17" t="str">
        <f t="shared" si="189"/>
        <v/>
      </c>
      <c r="E4018" s="18" t="str">
        <f t="shared" si="187"/>
        <v/>
      </c>
      <c r="F4018" s="17" t="str">
        <f t="shared" si="188"/>
        <v/>
      </c>
    </row>
    <row r="4019" spans="2:6" x14ac:dyDescent="0.2">
      <c r="B4019" s="12"/>
      <c r="C4019" s="12"/>
      <c r="D4019" s="17" t="str">
        <f t="shared" si="189"/>
        <v/>
      </c>
      <c r="E4019" s="18" t="str">
        <f t="shared" si="187"/>
        <v/>
      </c>
      <c r="F4019" s="17" t="str">
        <f t="shared" si="188"/>
        <v/>
      </c>
    </row>
    <row r="4020" spans="2:6" x14ac:dyDescent="0.2">
      <c r="B4020" s="12"/>
      <c r="C4020" s="12"/>
      <c r="D4020" s="17" t="str">
        <f t="shared" si="189"/>
        <v/>
      </c>
      <c r="E4020" s="18" t="str">
        <f t="shared" si="187"/>
        <v/>
      </c>
      <c r="F4020" s="17" t="str">
        <f t="shared" si="188"/>
        <v/>
      </c>
    </row>
    <row r="4021" spans="2:6" x14ac:dyDescent="0.2">
      <c r="B4021" s="12"/>
      <c r="C4021" s="12"/>
      <c r="D4021" s="17" t="str">
        <f t="shared" si="189"/>
        <v/>
      </c>
      <c r="E4021" s="18" t="str">
        <f t="shared" si="187"/>
        <v/>
      </c>
      <c r="F4021" s="17" t="str">
        <f t="shared" si="188"/>
        <v/>
      </c>
    </row>
    <row r="4022" spans="2:6" x14ac:dyDescent="0.2">
      <c r="B4022" s="12"/>
      <c r="C4022" s="12"/>
      <c r="D4022" s="17" t="str">
        <f t="shared" si="189"/>
        <v/>
      </c>
      <c r="E4022" s="18" t="str">
        <f t="shared" si="187"/>
        <v/>
      </c>
      <c r="F4022" s="17" t="str">
        <f t="shared" si="188"/>
        <v/>
      </c>
    </row>
    <row r="4023" spans="2:6" x14ac:dyDescent="0.2">
      <c r="B4023" s="12"/>
      <c r="C4023" s="12"/>
      <c r="D4023" s="17" t="str">
        <f t="shared" si="189"/>
        <v/>
      </c>
      <c r="E4023" s="18" t="str">
        <f t="shared" si="187"/>
        <v/>
      </c>
      <c r="F4023" s="17" t="str">
        <f t="shared" si="188"/>
        <v/>
      </c>
    </row>
    <row r="4024" spans="2:6" x14ac:dyDescent="0.2">
      <c r="B4024" s="12"/>
      <c r="C4024" s="12"/>
      <c r="D4024" s="17" t="str">
        <f t="shared" si="189"/>
        <v/>
      </c>
      <c r="E4024" s="18" t="str">
        <f t="shared" si="187"/>
        <v/>
      </c>
      <c r="F4024" s="17" t="str">
        <f t="shared" si="188"/>
        <v/>
      </c>
    </row>
    <row r="4025" spans="2:6" x14ac:dyDescent="0.2">
      <c r="B4025" s="12"/>
      <c r="C4025" s="12"/>
      <c r="D4025" s="17" t="str">
        <f t="shared" si="189"/>
        <v/>
      </c>
      <c r="E4025" s="18" t="str">
        <f t="shared" si="187"/>
        <v/>
      </c>
      <c r="F4025" s="17" t="str">
        <f t="shared" si="188"/>
        <v/>
      </c>
    </row>
    <row r="4026" spans="2:6" x14ac:dyDescent="0.2">
      <c r="B4026" s="12"/>
      <c r="C4026" s="12"/>
      <c r="D4026" s="17" t="str">
        <f t="shared" si="189"/>
        <v/>
      </c>
      <c r="E4026" s="18" t="str">
        <f t="shared" si="187"/>
        <v/>
      </c>
      <c r="F4026" s="17" t="str">
        <f t="shared" si="188"/>
        <v/>
      </c>
    </row>
    <row r="4027" spans="2:6" x14ac:dyDescent="0.2">
      <c r="B4027" s="12"/>
      <c r="C4027" s="12"/>
      <c r="D4027" s="17" t="str">
        <f t="shared" si="189"/>
        <v/>
      </c>
      <c r="E4027" s="18" t="str">
        <f t="shared" si="187"/>
        <v/>
      </c>
      <c r="F4027" s="17" t="str">
        <f t="shared" si="188"/>
        <v/>
      </c>
    </row>
    <row r="4028" spans="2:6" x14ac:dyDescent="0.2">
      <c r="B4028" s="12"/>
      <c r="C4028" s="12"/>
      <c r="D4028" s="17" t="str">
        <f t="shared" si="189"/>
        <v/>
      </c>
      <c r="E4028" s="18" t="str">
        <f t="shared" si="187"/>
        <v/>
      </c>
      <c r="F4028" s="17" t="str">
        <f t="shared" si="188"/>
        <v/>
      </c>
    </row>
    <row r="4029" spans="2:6" x14ac:dyDescent="0.2">
      <c r="B4029" s="12"/>
      <c r="C4029" s="12"/>
      <c r="D4029" s="17" t="str">
        <f t="shared" si="189"/>
        <v/>
      </c>
      <c r="E4029" s="18" t="str">
        <f t="shared" si="187"/>
        <v/>
      </c>
      <c r="F4029" s="17" t="str">
        <f t="shared" si="188"/>
        <v/>
      </c>
    </row>
    <row r="4030" spans="2:6" x14ac:dyDescent="0.2">
      <c r="B4030" s="12"/>
      <c r="C4030" s="12"/>
      <c r="D4030" s="17" t="str">
        <f t="shared" si="189"/>
        <v/>
      </c>
      <c r="E4030" s="18" t="str">
        <f t="shared" si="187"/>
        <v/>
      </c>
      <c r="F4030" s="17" t="str">
        <f t="shared" si="188"/>
        <v/>
      </c>
    </row>
    <row r="4031" spans="2:6" x14ac:dyDescent="0.2">
      <c r="B4031" s="12"/>
      <c r="C4031" s="12"/>
      <c r="D4031" s="17" t="str">
        <f t="shared" si="189"/>
        <v/>
      </c>
      <c r="E4031" s="18" t="str">
        <f t="shared" si="187"/>
        <v/>
      </c>
      <c r="F4031" s="17" t="str">
        <f t="shared" si="188"/>
        <v/>
      </c>
    </row>
    <row r="4032" spans="2:6" x14ac:dyDescent="0.2">
      <c r="B4032" s="12"/>
      <c r="C4032" s="12"/>
      <c r="D4032" s="17" t="str">
        <f t="shared" si="189"/>
        <v/>
      </c>
      <c r="E4032" s="18" t="str">
        <f t="shared" si="187"/>
        <v/>
      </c>
      <c r="F4032" s="17" t="str">
        <f t="shared" si="188"/>
        <v/>
      </c>
    </row>
    <row r="4033" spans="2:6" x14ac:dyDescent="0.2">
      <c r="B4033" s="12"/>
      <c r="C4033" s="12"/>
      <c r="D4033" s="17" t="str">
        <f t="shared" si="189"/>
        <v/>
      </c>
      <c r="E4033" s="18" t="str">
        <f t="shared" si="187"/>
        <v/>
      </c>
      <c r="F4033" s="17" t="str">
        <f t="shared" si="188"/>
        <v/>
      </c>
    </row>
    <row r="4034" spans="2:6" x14ac:dyDescent="0.2">
      <c r="B4034" s="12"/>
      <c r="C4034" s="12"/>
      <c r="D4034" s="17" t="str">
        <f t="shared" si="189"/>
        <v/>
      </c>
      <c r="E4034" s="18" t="str">
        <f t="shared" si="187"/>
        <v/>
      </c>
      <c r="F4034" s="17" t="str">
        <f t="shared" si="188"/>
        <v/>
      </c>
    </row>
    <row r="4035" spans="2:6" x14ac:dyDescent="0.2">
      <c r="B4035" s="12"/>
      <c r="C4035" s="12"/>
      <c r="D4035" s="17" t="str">
        <f t="shared" si="189"/>
        <v/>
      </c>
      <c r="E4035" s="18" t="str">
        <f t="shared" si="187"/>
        <v/>
      </c>
      <c r="F4035" s="17" t="str">
        <f t="shared" si="188"/>
        <v/>
      </c>
    </row>
    <row r="4036" spans="2:6" x14ac:dyDescent="0.2">
      <c r="B4036" s="12"/>
      <c r="C4036" s="12"/>
      <c r="D4036" s="17" t="str">
        <f t="shared" si="189"/>
        <v/>
      </c>
      <c r="E4036" s="18" t="str">
        <f t="shared" si="187"/>
        <v/>
      </c>
      <c r="F4036" s="17" t="str">
        <f t="shared" si="188"/>
        <v/>
      </c>
    </row>
    <row r="4037" spans="2:6" x14ac:dyDescent="0.2">
      <c r="B4037" s="12"/>
      <c r="C4037" s="12"/>
      <c r="D4037" s="17" t="str">
        <f t="shared" si="189"/>
        <v/>
      </c>
      <c r="E4037" s="18" t="str">
        <f t="shared" ref="E4037:E4100" si="190">IF(B4037="","",ABS(C4037-D4037))</f>
        <v/>
      </c>
      <c r="F4037" s="17" t="str">
        <f t="shared" ref="F4037:F4100" si="191">IF(B4037="","",E4037^2)</f>
        <v/>
      </c>
    </row>
    <row r="4038" spans="2:6" x14ac:dyDescent="0.2">
      <c r="B4038" s="12"/>
      <c r="C4038" s="12"/>
      <c r="D4038" s="17" t="str">
        <f t="shared" si="189"/>
        <v/>
      </c>
      <c r="E4038" s="18" t="str">
        <f t="shared" si="190"/>
        <v/>
      </c>
      <c r="F4038" s="17" t="str">
        <f t="shared" si="191"/>
        <v/>
      </c>
    </row>
    <row r="4039" spans="2:6" x14ac:dyDescent="0.2">
      <c r="B4039" s="12"/>
      <c r="C4039" s="12"/>
      <c r="D4039" s="17" t="str">
        <f t="shared" si="189"/>
        <v/>
      </c>
      <c r="E4039" s="18" t="str">
        <f t="shared" si="190"/>
        <v/>
      </c>
      <c r="F4039" s="17" t="str">
        <f t="shared" si="191"/>
        <v/>
      </c>
    </row>
    <row r="4040" spans="2:6" x14ac:dyDescent="0.2">
      <c r="B4040" s="12"/>
      <c r="C4040" s="12"/>
      <c r="D4040" s="17" t="str">
        <f t="shared" si="189"/>
        <v/>
      </c>
      <c r="E4040" s="18" t="str">
        <f t="shared" si="190"/>
        <v/>
      </c>
      <c r="F4040" s="17" t="str">
        <f t="shared" si="191"/>
        <v/>
      </c>
    </row>
    <row r="4041" spans="2:6" x14ac:dyDescent="0.2">
      <c r="B4041" s="12"/>
      <c r="C4041" s="12"/>
      <c r="D4041" s="17" t="str">
        <f t="shared" si="189"/>
        <v/>
      </c>
      <c r="E4041" s="18" t="str">
        <f t="shared" si="190"/>
        <v/>
      </c>
      <c r="F4041" s="17" t="str">
        <f t="shared" si="191"/>
        <v/>
      </c>
    </row>
    <row r="4042" spans="2:6" x14ac:dyDescent="0.2">
      <c r="B4042" s="12"/>
      <c r="C4042" s="12"/>
      <c r="D4042" s="17" t="str">
        <f t="shared" si="189"/>
        <v/>
      </c>
      <c r="E4042" s="18" t="str">
        <f t="shared" si="190"/>
        <v/>
      </c>
      <c r="F4042" s="17" t="str">
        <f t="shared" si="191"/>
        <v/>
      </c>
    </row>
    <row r="4043" spans="2:6" x14ac:dyDescent="0.2">
      <c r="B4043" s="12"/>
      <c r="C4043" s="12"/>
      <c r="D4043" s="17" t="str">
        <f t="shared" si="189"/>
        <v/>
      </c>
      <c r="E4043" s="18" t="str">
        <f t="shared" si="190"/>
        <v/>
      </c>
      <c r="F4043" s="17" t="str">
        <f t="shared" si="191"/>
        <v/>
      </c>
    </row>
    <row r="4044" spans="2:6" x14ac:dyDescent="0.2">
      <c r="B4044" s="12"/>
      <c r="C4044" s="12"/>
      <c r="D4044" s="17" t="str">
        <f t="shared" si="189"/>
        <v/>
      </c>
      <c r="E4044" s="18" t="str">
        <f t="shared" si="190"/>
        <v/>
      </c>
      <c r="F4044" s="17" t="str">
        <f t="shared" si="191"/>
        <v/>
      </c>
    </row>
    <row r="4045" spans="2:6" x14ac:dyDescent="0.2">
      <c r="B4045" s="12"/>
      <c r="C4045" s="12"/>
      <c r="D4045" s="17" t="str">
        <f t="shared" si="189"/>
        <v/>
      </c>
      <c r="E4045" s="18" t="str">
        <f t="shared" si="190"/>
        <v/>
      </c>
      <c r="F4045" s="17" t="str">
        <f t="shared" si="191"/>
        <v/>
      </c>
    </row>
    <row r="4046" spans="2:6" x14ac:dyDescent="0.2">
      <c r="B4046" s="12"/>
      <c r="C4046" s="12"/>
      <c r="D4046" s="17" t="str">
        <f t="shared" si="189"/>
        <v/>
      </c>
      <c r="E4046" s="18" t="str">
        <f t="shared" si="190"/>
        <v/>
      </c>
      <c r="F4046" s="17" t="str">
        <f t="shared" si="191"/>
        <v/>
      </c>
    </row>
    <row r="4047" spans="2:6" x14ac:dyDescent="0.2">
      <c r="B4047" s="12"/>
      <c r="C4047" s="12"/>
      <c r="D4047" s="17" t="str">
        <f t="shared" si="189"/>
        <v/>
      </c>
      <c r="E4047" s="18" t="str">
        <f t="shared" si="190"/>
        <v/>
      </c>
      <c r="F4047" s="17" t="str">
        <f t="shared" si="191"/>
        <v/>
      </c>
    </row>
    <row r="4048" spans="2:6" x14ac:dyDescent="0.2">
      <c r="B4048" s="12"/>
      <c r="C4048" s="12"/>
      <c r="D4048" s="17" t="str">
        <f t="shared" si="189"/>
        <v/>
      </c>
      <c r="E4048" s="18" t="str">
        <f t="shared" si="190"/>
        <v/>
      </c>
      <c r="F4048" s="17" t="str">
        <f t="shared" si="191"/>
        <v/>
      </c>
    </row>
    <row r="4049" spans="2:6" x14ac:dyDescent="0.2">
      <c r="B4049" s="12"/>
      <c r="C4049" s="12"/>
      <c r="D4049" s="17" t="str">
        <f t="shared" si="189"/>
        <v/>
      </c>
      <c r="E4049" s="18" t="str">
        <f t="shared" si="190"/>
        <v/>
      </c>
      <c r="F4049" s="17" t="str">
        <f t="shared" si="191"/>
        <v/>
      </c>
    </row>
    <row r="4050" spans="2:6" x14ac:dyDescent="0.2">
      <c r="B4050" s="12"/>
      <c r="C4050" s="12"/>
      <c r="D4050" s="17" t="str">
        <f t="shared" ref="D4050:D4113" si="192">IF(B4050="","",a+b*B4050)</f>
        <v/>
      </c>
      <c r="E4050" s="18" t="str">
        <f t="shared" si="190"/>
        <v/>
      </c>
      <c r="F4050" s="17" t="str">
        <f t="shared" si="191"/>
        <v/>
      </c>
    </row>
    <row r="4051" spans="2:6" x14ac:dyDescent="0.2">
      <c r="B4051" s="12"/>
      <c r="C4051" s="12"/>
      <c r="D4051" s="17" t="str">
        <f t="shared" si="192"/>
        <v/>
      </c>
      <c r="E4051" s="18" t="str">
        <f t="shared" si="190"/>
        <v/>
      </c>
      <c r="F4051" s="17" t="str">
        <f t="shared" si="191"/>
        <v/>
      </c>
    </row>
    <row r="4052" spans="2:6" x14ac:dyDescent="0.2">
      <c r="B4052" s="12"/>
      <c r="C4052" s="12"/>
      <c r="D4052" s="17" t="str">
        <f t="shared" si="192"/>
        <v/>
      </c>
      <c r="E4052" s="18" t="str">
        <f t="shared" si="190"/>
        <v/>
      </c>
      <c r="F4052" s="17" t="str">
        <f t="shared" si="191"/>
        <v/>
      </c>
    </row>
    <row r="4053" spans="2:6" x14ac:dyDescent="0.2">
      <c r="B4053" s="12"/>
      <c r="C4053" s="12"/>
      <c r="D4053" s="17" t="str">
        <f t="shared" si="192"/>
        <v/>
      </c>
      <c r="E4053" s="18" t="str">
        <f t="shared" si="190"/>
        <v/>
      </c>
      <c r="F4053" s="17" t="str">
        <f t="shared" si="191"/>
        <v/>
      </c>
    </row>
    <row r="4054" spans="2:6" x14ac:dyDescent="0.2">
      <c r="B4054" s="12"/>
      <c r="C4054" s="12"/>
      <c r="D4054" s="17" t="str">
        <f t="shared" si="192"/>
        <v/>
      </c>
      <c r="E4054" s="18" t="str">
        <f t="shared" si="190"/>
        <v/>
      </c>
      <c r="F4054" s="17" t="str">
        <f t="shared" si="191"/>
        <v/>
      </c>
    </row>
    <row r="4055" spans="2:6" x14ac:dyDescent="0.2">
      <c r="B4055" s="12"/>
      <c r="C4055" s="12"/>
      <c r="D4055" s="17" t="str">
        <f t="shared" si="192"/>
        <v/>
      </c>
      <c r="E4055" s="18" t="str">
        <f t="shared" si="190"/>
        <v/>
      </c>
      <c r="F4055" s="17" t="str">
        <f t="shared" si="191"/>
        <v/>
      </c>
    </row>
    <row r="4056" spans="2:6" x14ac:dyDescent="0.2">
      <c r="B4056" s="12"/>
      <c r="C4056" s="12"/>
      <c r="D4056" s="17" t="str">
        <f t="shared" si="192"/>
        <v/>
      </c>
      <c r="E4056" s="18" t="str">
        <f t="shared" si="190"/>
        <v/>
      </c>
      <c r="F4056" s="17" t="str">
        <f t="shared" si="191"/>
        <v/>
      </c>
    </row>
    <row r="4057" spans="2:6" x14ac:dyDescent="0.2">
      <c r="B4057" s="12"/>
      <c r="C4057" s="12"/>
      <c r="D4057" s="17" t="str">
        <f t="shared" si="192"/>
        <v/>
      </c>
      <c r="E4057" s="18" t="str">
        <f t="shared" si="190"/>
        <v/>
      </c>
      <c r="F4057" s="17" t="str">
        <f t="shared" si="191"/>
        <v/>
      </c>
    </row>
    <row r="4058" spans="2:6" x14ac:dyDescent="0.2">
      <c r="B4058" s="12"/>
      <c r="C4058" s="12"/>
      <c r="D4058" s="17" t="str">
        <f t="shared" si="192"/>
        <v/>
      </c>
      <c r="E4058" s="18" t="str">
        <f t="shared" si="190"/>
        <v/>
      </c>
      <c r="F4058" s="17" t="str">
        <f t="shared" si="191"/>
        <v/>
      </c>
    </row>
    <row r="4059" spans="2:6" x14ac:dyDescent="0.2">
      <c r="B4059" s="12"/>
      <c r="C4059" s="12"/>
      <c r="D4059" s="17" t="str">
        <f t="shared" si="192"/>
        <v/>
      </c>
      <c r="E4059" s="18" t="str">
        <f t="shared" si="190"/>
        <v/>
      </c>
      <c r="F4059" s="17" t="str">
        <f t="shared" si="191"/>
        <v/>
      </c>
    </row>
    <row r="4060" spans="2:6" x14ac:dyDescent="0.2">
      <c r="B4060" s="12"/>
      <c r="C4060" s="12"/>
      <c r="D4060" s="17" t="str">
        <f t="shared" si="192"/>
        <v/>
      </c>
      <c r="E4060" s="18" t="str">
        <f t="shared" si="190"/>
        <v/>
      </c>
      <c r="F4060" s="17" t="str">
        <f t="shared" si="191"/>
        <v/>
      </c>
    </row>
    <row r="4061" spans="2:6" x14ac:dyDescent="0.2">
      <c r="B4061" s="12"/>
      <c r="C4061" s="12"/>
      <c r="D4061" s="17" t="str">
        <f t="shared" si="192"/>
        <v/>
      </c>
      <c r="E4061" s="18" t="str">
        <f t="shared" si="190"/>
        <v/>
      </c>
      <c r="F4061" s="17" t="str">
        <f t="shared" si="191"/>
        <v/>
      </c>
    </row>
    <row r="4062" spans="2:6" x14ac:dyDescent="0.2">
      <c r="B4062" s="12"/>
      <c r="C4062" s="12"/>
      <c r="D4062" s="17" t="str">
        <f t="shared" si="192"/>
        <v/>
      </c>
      <c r="E4062" s="18" t="str">
        <f t="shared" si="190"/>
        <v/>
      </c>
      <c r="F4062" s="17" t="str">
        <f t="shared" si="191"/>
        <v/>
      </c>
    </row>
    <row r="4063" spans="2:6" x14ac:dyDescent="0.2">
      <c r="B4063" s="12"/>
      <c r="C4063" s="12"/>
      <c r="D4063" s="17" t="str">
        <f t="shared" si="192"/>
        <v/>
      </c>
      <c r="E4063" s="18" t="str">
        <f t="shared" si="190"/>
        <v/>
      </c>
      <c r="F4063" s="17" t="str">
        <f t="shared" si="191"/>
        <v/>
      </c>
    </row>
    <row r="4064" spans="2:6" x14ac:dyDescent="0.2">
      <c r="B4064" s="12"/>
      <c r="C4064" s="12"/>
      <c r="D4064" s="17" t="str">
        <f t="shared" si="192"/>
        <v/>
      </c>
      <c r="E4064" s="18" t="str">
        <f t="shared" si="190"/>
        <v/>
      </c>
      <c r="F4064" s="17" t="str">
        <f t="shared" si="191"/>
        <v/>
      </c>
    </row>
    <row r="4065" spans="2:6" x14ac:dyDescent="0.2">
      <c r="B4065" s="12"/>
      <c r="C4065" s="12"/>
      <c r="D4065" s="17" t="str">
        <f t="shared" si="192"/>
        <v/>
      </c>
      <c r="E4065" s="18" t="str">
        <f t="shared" si="190"/>
        <v/>
      </c>
      <c r="F4065" s="17" t="str">
        <f t="shared" si="191"/>
        <v/>
      </c>
    </row>
    <row r="4066" spans="2:6" x14ac:dyDescent="0.2">
      <c r="B4066" s="12"/>
      <c r="C4066" s="12"/>
      <c r="D4066" s="17" t="str">
        <f t="shared" si="192"/>
        <v/>
      </c>
      <c r="E4066" s="18" t="str">
        <f t="shared" si="190"/>
        <v/>
      </c>
      <c r="F4066" s="17" t="str">
        <f t="shared" si="191"/>
        <v/>
      </c>
    </row>
    <row r="4067" spans="2:6" x14ac:dyDescent="0.2">
      <c r="B4067" s="12"/>
      <c r="C4067" s="12"/>
      <c r="D4067" s="17" t="str">
        <f t="shared" si="192"/>
        <v/>
      </c>
      <c r="E4067" s="18" t="str">
        <f t="shared" si="190"/>
        <v/>
      </c>
      <c r="F4067" s="17" t="str">
        <f t="shared" si="191"/>
        <v/>
      </c>
    </row>
    <row r="4068" spans="2:6" x14ac:dyDescent="0.2">
      <c r="B4068" s="12"/>
      <c r="C4068" s="12"/>
      <c r="D4068" s="17" t="str">
        <f t="shared" si="192"/>
        <v/>
      </c>
      <c r="E4068" s="18" t="str">
        <f t="shared" si="190"/>
        <v/>
      </c>
      <c r="F4068" s="17" t="str">
        <f t="shared" si="191"/>
        <v/>
      </c>
    </row>
    <row r="4069" spans="2:6" x14ac:dyDescent="0.2">
      <c r="B4069" s="12"/>
      <c r="C4069" s="12"/>
      <c r="D4069" s="17" t="str">
        <f t="shared" si="192"/>
        <v/>
      </c>
      <c r="E4069" s="18" t="str">
        <f t="shared" si="190"/>
        <v/>
      </c>
      <c r="F4069" s="17" t="str">
        <f t="shared" si="191"/>
        <v/>
      </c>
    </row>
    <row r="4070" spans="2:6" x14ac:dyDescent="0.2">
      <c r="B4070" s="12"/>
      <c r="C4070" s="12"/>
      <c r="D4070" s="17" t="str">
        <f t="shared" si="192"/>
        <v/>
      </c>
      <c r="E4070" s="18" t="str">
        <f t="shared" si="190"/>
        <v/>
      </c>
      <c r="F4070" s="17" t="str">
        <f t="shared" si="191"/>
        <v/>
      </c>
    </row>
    <row r="4071" spans="2:6" x14ac:dyDescent="0.2">
      <c r="B4071" s="12"/>
      <c r="C4071" s="12"/>
      <c r="D4071" s="17" t="str">
        <f t="shared" si="192"/>
        <v/>
      </c>
      <c r="E4071" s="18" t="str">
        <f t="shared" si="190"/>
        <v/>
      </c>
      <c r="F4071" s="17" t="str">
        <f t="shared" si="191"/>
        <v/>
      </c>
    </row>
    <row r="4072" spans="2:6" x14ac:dyDescent="0.2">
      <c r="B4072" s="12"/>
      <c r="C4072" s="12"/>
      <c r="D4072" s="17" t="str">
        <f t="shared" si="192"/>
        <v/>
      </c>
      <c r="E4072" s="18" t="str">
        <f t="shared" si="190"/>
        <v/>
      </c>
      <c r="F4072" s="17" t="str">
        <f t="shared" si="191"/>
        <v/>
      </c>
    </row>
    <row r="4073" spans="2:6" x14ac:dyDescent="0.2">
      <c r="B4073" s="12"/>
      <c r="C4073" s="12"/>
      <c r="D4073" s="17" t="str">
        <f t="shared" si="192"/>
        <v/>
      </c>
      <c r="E4073" s="18" t="str">
        <f t="shared" si="190"/>
        <v/>
      </c>
      <c r="F4073" s="17" t="str">
        <f t="shared" si="191"/>
        <v/>
      </c>
    </row>
    <row r="4074" spans="2:6" x14ac:dyDescent="0.2">
      <c r="B4074" s="12"/>
      <c r="C4074" s="12"/>
      <c r="D4074" s="17" t="str">
        <f t="shared" si="192"/>
        <v/>
      </c>
      <c r="E4074" s="18" t="str">
        <f t="shared" si="190"/>
        <v/>
      </c>
      <c r="F4074" s="17" t="str">
        <f t="shared" si="191"/>
        <v/>
      </c>
    </row>
    <row r="4075" spans="2:6" x14ac:dyDescent="0.2">
      <c r="B4075" s="12"/>
      <c r="C4075" s="12"/>
      <c r="D4075" s="17" t="str">
        <f t="shared" si="192"/>
        <v/>
      </c>
      <c r="E4075" s="18" t="str">
        <f t="shared" si="190"/>
        <v/>
      </c>
      <c r="F4075" s="17" t="str">
        <f t="shared" si="191"/>
        <v/>
      </c>
    </row>
    <row r="4076" spans="2:6" x14ac:dyDescent="0.2">
      <c r="B4076" s="12"/>
      <c r="C4076" s="12"/>
      <c r="D4076" s="17" t="str">
        <f t="shared" si="192"/>
        <v/>
      </c>
      <c r="E4076" s="18" t="str">
        <f t="shared" si="190"/>
        <v/>
      </c>
      <c r="F4076" s="17" t="str">
        <f t="shared" si="191"/>
        <v/>
      </c>
    </row>
    <row r="4077" spans="2:6" x14ac:dyDescent="0.2">
      <c r="B4077" s="12"/>
      <c r="C4077" s="12"/>
      <c r="D4077" s="17" t="str">
        <f t="shared" si="192"/>
        <v/>
      </c>
      <c r="E4077" s="18" t="str">
        <f t="shared" si="190"/>
        <v/>
      </c>
      <c r="F4077" s="17" t="str">
        <f t="shared" si="191"/>
        <v/>
      </c>
    </row>
    <row r="4078" spans="2:6" x14ac:dyDescent="0.2">
      <c r="B4078" s="12"/>
      <c r="C4078" s="12"/>
      <c r="D4078" s="17" t="str">
        <f t="shared" si="192"/>
        <v/>
      </c>
      <c r="E4078" s="18" t="str">
        <f t="shared" si="190"/>
        <v/>
      </c>
      <c r="F4078" s="17" t="str">
        <f t="shared" si="191"/>
        <v/>
      </c>
    </row>
    <row r="4079" spans="2:6" x14ac:dyDescent="0.2">
      <c r="B4079" s="12"/>
      <c r="C4079" s="12"/>
      <c r="D4079" s="17" t="str">
        <f t="shared" si="192"/>
        <v/>
      </c>
      <c r="E4079" s="18" t="str">
        <f t="shared" si="190"/>
        <v/>
      </c>
      <c r="F4079" s="17" t="str">
        <f t="shared" si="191"/>
        <v/>
      </c>
    </row>
    <row r="4080" spans="2:6" x14ac:dyDescent="0.2">
      <c r="B4080" s="12"/>
      <c r="C4080" s="12"/>
      <c r="D4080" s="17" t="str">
        <f t="shared" si="192"/>
        <v/>
      </c>
      <c r="E4080" s="18" t="str">
        <f t="shared" si="190"/>
        <v/>
      </c>
      <c r="F4080" s="17" t="str">
        <f t="shared" si="191"/>
        <v/>
      </c>
    </row>
    <row r="4081" spans="2:6" x14ac:dyDescent="0.2">
      <c r="B4081" s="12"/>
      <c r="C4081" s="12"/>
      <c r="D4081" s="17" t="str">
        <f t="shared" si="192"/>
        <v/>
      </c>
      <c r="E4081" s="18" t="str">
        <f t="shared" si="190"/>
        <v/>
      </c>
      <c r="F4081" s="17" t="str">
        <f t="shared" si="191"/>
        <v/>
      </c>
    </row>
    <row r="4082" spans="2:6" x14ac:dyDescent="0.2">
      <c r="B4082" s="12"/>
      <c r="C4082" s="12"/>
      <c r="D4082" s="17" t="str">
        <f t="shared" si="192"/>
        <v/>
      </c>
      <c r="E4082" s="18" t="str">
        <f t="shared" si="190"/>
        <v/>
      </c>
      <c r="F4082" s="17" t="str">
        <f t="shared" si="191"/>
        <v/>
      </c>
    </row>
    <row r="4083" spans="2:6" x14ac:dyDescent="0.2">
      <c r="B4083" s="12"/>
      <c r="C4083" s="12"/>
      <c r="D4083" s="17" t="str">
        <f t="shared" si="192"/>
        <v/>
      </c>
      <c r="E4083" s="18" t="str">
        <f t="shared" si="190"/>
        <v/>
      </c>
      <c r="F4083" s="17" t="str">
        <f t="shared" si="191"/>
        <v/>
      </c>
    </row>
    <row r="4084" spans="2:6" x14ac:dyDescent="0.2">
      <c r="B4084" s="12"/>
      <c r="C4084" s="12"/>
      <c r="D4084" s="17" t="str">
        <f t="shared" si="192"/>
        <v/>
      </c>
      <c r="E4084" s="18" t="str">
        <f t="shared" si="190"/>
        <v/>
      </c>
      <c r="F4084" s="17" t="str">
        <f t="shared" si="191"/>
        <v/>
      </c>
    </row>
    <row r="4085" spans="2:6" x14ac:dyDescent="0.2">
      <c r="B4085" s="12"/>
      <c r="C4085" s="12"/>
      <c r="D4085" s="17" t="str">
        <f t="shared" si="192"/>
        <v/>
      </c>
      <c r="E4085" s="18" t="str">
        <f t="shared" si="190"/>
        <v/>
      </c>
      <c r="F4085" s="17" t="str">
        <f t="shared" si="191"/>
        <v/>
      </c>
    </row>
    <row r="4086" spans="2:6" x14ac:dyDescent="0.2">
      <c r="B4086" s="12"/>
      <c r="C4086" s="12"/>
      <c r="D4086" s="17" t="str">
        <f t="shared" si="192"/>
        <v/>
      </c>
      <c r="E4086" s="18" t="str">
        <f t="shared" si="190"/>
        <v/>
      </c>
      <c r="F4086" s="17" t="str">
        <f t="shared" si="191"/>
        <v/>
      </c>
    </row>
    <row r="4087" spans="2:6" x14ac:dyDescent="0.2">
      <c r="B4087" s="12"/>
      <c r="C4087" s="12"/>
      <c r="D4087" s="17" t="str">
        <f t="shared" si="192"/>
        <v/>
      </c>
      <c r="E4087" s="18" t="str">
        <f t="shared" si="190"/>
        <v/>
      </c>
      <c r="F4087" s="17" t="str">
        <f t="shared" si="191"/>
        <v/>
      </c>
    </row>
    <row r="4088" spans="2:6" x14ac:dyDescent="0.2">
      <c r="B4088" s="12"/>
      <c r="C4088" s="12"/>
      <c r="D4088" s="17" t="str">
        <f t="shared" si="192"/>
        <v/>
      </c>
      <c r="E4088" s="18" t="str">
        <f t="shared" si="190"/>
        <v/>
      </c>
      <c r="F4088" s="17" t="str">
        <f t="shared" si="191"/>
        <v/>
      </c>
    </row>
    <row r="4089" spans="2:6" x14ac:dyDescent="0.2">
      <c r="B4089" s="12"/>
      <c r="C4089" s="12"/>
      <c r="D4089" s="17" t="str">
        <f t="shared" si="192"/>
        <v/>
      </c>
      <c r="E4089" s="18" t="str">
        <f t="shared" si="190"/>
        <v/>
      </c>
      <c r="F4089" s="17" t="str">
        <f t="shared" si="191"/>
        <v/>
      </c>
    </row>
    <row r="4090" spans="2:6" x14ac:dyDescent="0.2">
      <c r="B4090" s="12"/>
      <c r="C4090" s="12"/>
      <c r="D4090" s="17" t="str">
        <f t="shared" si="192"/>
        <v/>
      </c>
      <c r="E4090" s="18" t="str">
        <f t="shared" si="190"/>
        <v/>
      </c>
      <c r="F4090" s="17" t="str">
        <f t="shared" si="191"/>
        <v/>
      </c>
    </row>
    <row r="4091" spans="2:6" x14ac:dyDescent="0.2">
      <c r="B4091" s="12"/>
      <c r="C4091" s="12"/>
      <c r="D4091" s="17" t="str">
        <f t="shared" si="192"/>
        <v/>
      </c>
      <c r="E4091" s="18" t="str">
        <f t="shared" si="190"/>
        <v/>
      </c>
      <c r="F4091" s="17" t="str">
        <f t="shared" si="191"/>
        <v/>
      </c>
    </row>
    <row r="4092" spans="2:6" x14ac:dyDescent="0.2">
      <c r="B4092" s="12"/>
      <c r="C4092" s="12"/>
      <c r="D4092" s="17" t="str">
        <f t="shared" si="192"/>
        <v/>
      </c>
      <c r="E4092" s="18" t="str">
        <f t="shared" si="190"/>
        <v/>
      </c>
      <c r="F4092" s="17" t="str">
        <f t="shared" si="191"/>
        <v/>
      </c>
    </row>
    <row r="4093" spans="2:6" x14ac:dyDescent="0.2">
      <c r="B4093" s="12"/>
      <c r="C4093" s="12"/>
      <c r="D4093" s="17" t="str">
        <f t="shared" si="192"/>
        <v/>
      </c>
      <c r="E4093" s="18" t="str">
        <f t="shared" si="190"/>
        <v/>
      </c>
      <c r="F4093" s="17" t="str">
        <f t="shared" si="191"/>
        <v/>
      </c>
    </row>
    <row r="4094" spans="2:6" x14ac:dyDescent="0.2">
      <c r="B4094" s="12"/>
      <c r="C4094" s="12"/>
      <c r="D4094" s="17" t="str">
        <f t="shared" si="192"/>
        <v/>
      </c>
      <c r="E4094" s="18" t="str">
        <f t="shared" si="190"/>
        <v/>
      </c>
      <c r="F4094" s="17" t="str">
        <f t="shared" si="191"/>
        <v/>
      </c>
    </row>
    <row r="4095" spans="2:6" x14ac:dyDescent="0.2">
      <c r="B4095" s="12"/>
      <c r="C4095" s="12"/>
      <c r="D4095" s="17" t="str">
        <f t="shared" si="192"/>
        <v/>
      </c>
      <c r="E4095" s="18" t="str">
        <f t="shared" si="190"/>
        <v/>
      </c>
      <c r="F4095" s="17" t="str">
        <f t="shared" si="191"/>
        <v/>
      </c>
    </row>
    <row r="4096" spans="2:6" x14ac:dyDescent="0.2">
      <c r="B4096" s="12"/>
      <c r="C4096" s="12"/>
      <c r="D4096" s="17" t="str">
        <f t="shared" si="192"/>
        <v/>
      </c>
      <c r="E4096" s="18" t="str">
        <f t="shared" si="190"/>
        <v/>
      </c>
      <c r="F4096" s="17" t="str">
        <f t="shared" si="191"/>
        <v/>
      </c>
    </row>
    <row r="4097" spans="2:6" x14ac:dyDescent="0.2">
      <c r="B4097" s="12"/>
      <c r="C4097" s="12"/>
      <c r="D4097" s="17" t="str">
        <f t="shared" si="192"/>
        <v/>
      </c>
      <c r="E4097" s="18" t="str">
        <f t="shared" si="190"/>
        <v/>
      </c>
      <c r="F4097" s="17" t="str">
        <f t="shared" si="191"/>
        <v/>
      </c>
    </row>
    <row r="4098" spans="2:6" x14ac:dyDescent="0.2">
      <c r="B4098" s="12"/>
      <c r="C4098" s="12"/>
      <c r="D4098" s="17" t="str">
        <f t="shared" si="192"/>
        <v/>
      </c>
      <c r="E4098" s="18" t="str">
        <f t="shared" si="190"/>
        <v/>
      </c>
      <c r="F4098" s="17" t="str">
        <f t="shared" si="191"/>
        <v/>
      </c>
    </row>
    <row r="4099" spans="2:6" x14ac:dyDescent="0.2">
      <c r="B4099" s="12"/>
      <c r="C4099" s="12"/>
      <c r="D4099" s="17" t="str">
        <f t="shared" si="192"/>
        <v/>
      </c>
      <c r="E4099" s="18" t="str">
        <f t="shared" si="190"/>
        <v/>
      </c>
      <c r="F4099" s="17" t="str">
        <f t="shared" si="191"/>
        <v/>
      </c>
    </row>
    <row r="4100" spans="2:6" x14ac:dyDescent="0.2">
      <c r="B4100" s="12"/>
      <c r="C4100" s="12"/>
      <c r="D4100" s="17" t="str">
        <f t="shared" si="192"/>
        <v/>
      </c>
      <c r="E4100" s="18" t="str">
        <f t="shared" si="190"/>
        <v/>
      </c>
      <c r="F4100" s="17" t="str">
        <f t="shared" si="191"/>
        <v/>
      </c>
    </row>
    <row r="4101" spans="2:6" x14ac:dyDescent="0.2">
      <c r="B4101" s="12"/>
      <c r="C4101" s="12"/>
      <c r="D4101" s="17" t="str">
        <f t="shared" si="192"/>
        <v/>
      </c>
      <c r="E4101" s="18" t="str">
        <f t="shared" ref="E4101:E4164" si="193">IF(B4101="","",ABS(C4101-D4101))</f>
        <v/>
      </c>
      <c r="F4101" s="17" t="str">
        <f t="shared" ref="F4101:F4164" si="194">IF(B4101="","",E4101^2)</f>
        <v/>
      </c>
    </row>
    <row r="4102" spans="2:6" x14ac:dyDescent="0.2">
      <c r="B4102" s="12"/>
      <c r="C4102" s="12"/>
      <c r="D4102" s="17" t="str">
        <f t="shared" si="192"/>
        <v/>
      </c>
      <c r="E4102" s="18" t="str">
        <f t="shared" si="193"/>
        <v/>
      </c>
      <c r="F4102" s="17" t="str">
        <f t="shared" si="194"/>
        <v/>
      </c>
    </row>
    <row r="4103" spans="2:6" x14ac:dyDescent="0.2">
      <c r="B4103" s="12"/>
      <c r="C4103" s="12"/>
      <c r="D4103" s="17" t="str">
        <f t="shared" si="192"/>
        <v/>
      </c>
      <c r="E4103" s="18" t="str">
        <f t="shared" si="193"/>
        <v/>
      </c>
      <c r="F4103" s="17" t="str">
        <f t="shared" si="194"/>
        <v/>
      </c>
    </row>
    <row r="4104" spans="2:6" x14ac:dyDescent="0.2">
      <c r="B4104" s="12"/>
      <c r="C4104" s="12"/>
      <c r="D4104" s="17" t="str">
        <f t="shared" si="192"/>
        <v/>
      </c>
      <c r="E4104" s="18" t="str">
        <f t="shared" si="193"/>
        <v/>
      </c>
      <c r="F4104" s="17" t="str">
        <f t="shared" si="194"/>
        <v/>
      </c>
    </row>
    <row r="4105" spans="2:6" x14ac:dyDescent="0.2">
      <c r="B4105" s="12"/>
      <c r="C4105" s="12"/>
      <c r="D4105" s="17" t="str">
        <f t="shared" si="192"/>
        <v/>
      </c>
      <c r="E4105" s="18" t="str">
        <f t="shared" si="193"/>
        <v/>
      </c>
      <c r="F4105" s="17" t="str">
        <f t="shared" si="194"/>
        <v/>
      </c>
    </row>
    <row r="4106" spans="2:6" x14ac:dyDescent="0.2">
      <c r="B4106" s="12"/>
      <c r="C4106" s="12"/>
      <c r="D4106" s="17" t="str">
        <f t="shared" si="192"/>
        <v/>
      </c>
      <c r="E4106" s="18" t="str">
        <f t="shared" si="193"/>
        <v/>
      </c>
      <c r="F4106" s="17" t="str">
        <f t="shared" si="194"/>
        <v/>
      </c>
    </row>
    <row r="4107" spans="2:6" x14ac:dyDescent="0.2">
      <c r="B4107" s="12"/>
      <c r="C4107" s="12"/>
      <c r="D4107" s="17" t="str">
        <f t="shared" si="192"/>
        <v/>
      </c>
      <c r="E4107" s="18" t="str">
        <f t="shared" si="193"/>
        <v/>
      </c>
      <c r="F4107" s="17" t="str">
        <f t="shared" si="194"/>
        <v/>
      </c>
    </row>
    <row r="4108" spans="2:6" x14ac:dyDescent="0.2">
      <c r="B4108" s="12"/>
      <c r="C4108" s="12"/>
      <c r="D4108" s="17" t="str">
        <f t="shared" si="192"/>
        <v/>
      </c>
      <c r="E4108" s="18" t="str">
        <f t="shared" si="193"/>
        <v/>
      </c>
      <c r="F4108" s="17" t="str">
        <f t="shared" si="194"/>
        <v/>
      </c>
    </row>
    <row r="4109" spans="2:6" x14ac:dyDescent="0.2">
      <c r="B4109" s="12"/>
      <c r="C4109" s="12"/>
      <c r="D4109" s="17" t="str">
        <f t="shared" si="192"/>
        <v/>
      </c>
      <c r="E4109" s="18" t="str">
        <f t="shared" si="193"/>
        <v/>
      </c>
      <c r="F4109" s="17" t="str">
        <f t="shared" si="194"/>
        <v/>
      </c>
    </row>
    <row r="4110" spans="2:6" x14ac:dyDescent="0.2">
      <c r="B4110" s="12"/>
      <c r="C4110" s="12"/>
      <c r="D4110" s="17" t="str">
        <f t="shared" si="192"/>
        <v/>
      </c>
      <c r="E4110" s="18" t="str">
        <f t="shared" si="193"/>
        <v/>
      </c>
      <c r="F4110" s="17" t="str">
        <f t="shared" si="194"/>
        <v/>
      </c>
    </row>
    <row r="4111" spans="2:6" x14ac:dyDescent="0.2">
      <c r="B4111" s="12"/>
      <c r="C4111" s="12"/>
      <c r="D4111" s="17" t="str">
        <f t="shared" si="192"/>
        <v/>
      </c>
      <c r="E4111" s="18" t="str">
        <f t="shared" si="193"/>
        <v/>
      </c>
      <c r="F4111" s="17" t="str">
        <f t="shared" si="194"/>
        <v/>
      </c>
    </row>
    <row r="4112" spans="2:6" x14ac:dyDescent="0.2">
      <c r="B4112" s="12"/>
      <c r="C4112" s="12"/>
      <c r="D4112" s="17" t="str">
        <f t="shared" si="192"/>
        <v/>
      </c>
      <c r="E4112" s="18" t="str">
        <f t="shared" si="193"/>
        <v/>
      </c>
      <c r="F4112" s="17" t="str">
        <f t="shared" si="194"/>
        <v/>
      </c>
    </row>
    <row r="4113" spans="2:6" x14ac:dyDescent="0.2">
      <c r="B4113" s="12"/>
      <c r="C4113" s="12"/>
      <c r="D4113" s="17" t="str">
        <f t="shared" si="192"/>
        <v/>
      </c>
      <c r="E4113" s="18" t="str">
        <f t="shared" si="193"/>
        <v/>
      </c>
      <c r="F4113" s="17" t="str">
        <f t="shared" si="194"/>
        <v/>
      </c>
    </row>
    <row r="4114" spans="2:6" x14ac:dyDescent="0.2">
      <c r="B4114" s="12"/>
      <c r="C4114" s="12"/>
      <c r="D4114" s="17" t="str">
        <f t="shared" ref="D4114:D4177" si="195">IF(B4114="","",a+b*B4114)</f>
        <v/>
      </c>
      <c r="E4114" s="18" t="str">
        <f t="shared" si="193"/>
        <v/>
      </c>
      <c r="F4114" s="17" t="str">
        <f t="shared" si="194"/>
        <v/>
      </c>
    </row>
    <row r="4115" spans="2:6" x14ac:dyDescent="0.2">
      <c r="B4115" s="12"/>
      <c r="C4115" s="12"/>
      <c r="D4115" s="17" t="str">
        <f t="shared" si="195"/>
        <v/>
      </c>
      <c r="E4115" s="18" t="str">
        <f t="shared" si="193"/>
        <v/>
      </c>
      <c r="F4115" s="17" t="str">
        <f t="shared" si="194"/>
        <v/>
      </c>
    </row>
    <row r="4116" spans="2:6" x14ac:dyDescent="0.2">
      <c r="B4116" s="12"/>
      <c r="C4116" s="12"/>
      <c r="D4116" s="17" t="str">
        <f t="shared" si="195"/>
        <v/>
      </c>
      <c r="E4116" s="18" t="str">
        <f t="shared" si="193"/>
        <v/>
      </c>
      <c r="F4116" s="17" t="str">
        <f t="shared" si="194"/>
        <v/>
      </c>
    </row>
    <row r="4117" spans="2:6" x14ac:dyDescent="0.2">
      <c r="B4117" s="12"/>
      <c r="C4117" s="12"/>
      <c r="D4117" s="17" t="str">
        <f t="shared" si="195"/>
        <v/>
      </c>
      <c r="E4117" s="18" t="str">
        <f t="shared" si="193"/>
        <v/>
      </c>
      <c r="F4117" s="17" t="str">
        <f t="shared" si="194"/>
        <v/>
      </c>
    </row>
    <row r="4118" spans="2:6" x14ac:dyDescent="0.2">
      <c r="B4118" s="12"/>
      <c r="C4118" s="12"/>
      <c r="D4118" s="17" t="str">
        <f t="shared" si="195"/>
        <v/>
      </c>
      <c r="E4118" s="18" t="str">
        <f t="shared" si="193"/>
        <v/>
      </c>
      <c r="F4118" s="17" t="str">
        <f t="shared" si="194"/>
        <v/>
      </c>
    </row>
    <row r="4119" spans="2:6" x14ac:dyDescent="0.2">
      <c r="B4119" s="12"/>
      <c r="C4119" s="12"/>
      <c r="D4119" s="17" t="str">
        <f t="shared" si="195"/>
        <v/>
      </c>
      <c r="E4119" s="18" t="str">
        <f t="shared" si="193"/>
        <v/>
      </c>
      <c r="F4119" s="17" t="str">
        <f t="shared" si="194"/>
        <v/>
      </c>
    </row>
    <row r="4120" spans="2:6" x14ac:dyDescent="0.2">
      <c r="B4120" s="12"/>
      <c r="C4120" s="12"/>
      <c r="D4120" s="17" t="str">
        <f t="shared" si="195"/>
        <v/>
      </c>
      <c r="E4120" s="18" t="str">
        <f t="shared" si="193"/>
        <v/>
      </c>
      <c r="F4120" s="17" t="str">
        <f t="shared" si="194"/>
        <v/>
      </c>
    </row>
    <row r="4121" spans="2:6" x14ac:dyDescent="0.2">
      <c r="B4121" s="12"/>
      <c r="C4121" s="12"/>
      <c r="D4121" s="17" t="str">
        <f t="shared" si="195"/>
        <v/>
      </c>
      <c r="E4121" s="18" t="str">
        <f t="shared" si="193"/>
        <v/>
      </c>
      <c r="F4121" s="17" t="str">
        <f t="shared" si="194"/>
        <v/>
      </c>
    </row>
    <row r="4122" spans="2:6" x14ac:dyDescent="0.2">
      <c r="B4122" s="12"/>
      <c r="C4122" s="12"/>
      <c r="D4122" s="17" t="str">
        <f t="shared" si="195"/>
        <v/>
      </c>
      <c r="E4122" s="18" t="str">
        <f t="shared" si="193"/>
        <v/>
      </c>
      <c r="F4122" s="17" t="str">
        <f t="shared" si="194"/>
        <v/>
      </c>
    </row>
    <row r="4123" spans="2:6" x14ac:dyDescent="0.2">
      <c r="B4123" s="12"/>
      <c r="C4123" s="12"/>
      <c r="D4123" s="17" t="str">
        <f t="shared" si="195"/>
        <v/>
      </c>
      <c r="E4123" s="18" t="str">
        <f t="shared" si="193"/>
        <v/>
      </c>
      <c r="F4123" s="17" t="str">
        <f t="shared" si="194"/>
        <v/>
      </c>
    </row>
    <row r="4124" spans="2:6" x14ac:dyDescent="0.2">
      <c r="B4124" s="12"/>
      <c r="C4124" s="12"/>
      <c r="D4124" s="17" t="str">
        <f t="shared" si="195"/>
        <v/>
      </c>
      <c r="E4124" s="18" t="str">
        <f t="shared" si="193"/>
        <v/>
      </c>
      <c r="F4124" s="17" t="str">
        <f t="shared" si="194"/>
        <v/>
      </c>
    </row>
    <row r="4125" spans="2:6" x14ac:dyDescent="0.2">
      <c r="B4125" s="12"/>
      <c r="C4125" s="12"/>
      <c r="D4125" s="17" t="str">
        <f t="shared" si="195"/>
        <v/>
      </c>
      <c r="E4125" s="18" t="str">
        <f t="shared" si="193"/>
        <v/>
      </c>
      <c r="F4125" s="17" t="str">
        <f t="shared" si="194"/>
        <v/>
      </c>
    </row>
    <row r="4126" spans="2:6" x14ac:dyDescent="0.2">
      <c r="B4126" s="12"/>
      <c r="C4126" s="12"/>
      <c r="D4126" s="17" t="str">
        <f t="shared" si="195"/>
        <v/>
      </c>
      <c r="E4126" s="18" t="str">
        <f t="shared" si="193"/>
        <v/>
      </c>
      <c r="F4126" s="17" t="str">
        <f t="shared" si="194"/>
        <v/>
      </c>
    </row>
    <row r="4127" spans="2:6" x14ac:dyDescent="0.2">
      <c r="B4127" s="12"/>
      <c r="C4127" s="12"/>
      <c r="D4127" s="17" t="str">
        <f t="shared" si="195"/>
        <v/>
      </c>
      <c r="E4127" s="18" t="str">
        <f t="shared" si="193"/>
        <v/>
      </c>
      <c r="F4127" s="17" t="str">
        <f t="shared" si="194"/>
        <v/>
      </c>
    </row>
    <row r="4128" spans="2:6" x14ac:dyDescent="0.2">
      <c r="B4128" s="12"/>
      <c r="C4128" s="12"/>
      <c r="D4128" s="17" t="str">
        <f t="shared" si="195"/>
        <v/>
      </c>
      <c r="E4128" s="18" t="str">
        <f t="shared" si="193"/>
        <v/>
      </c>
      <c r="F4128" s="17" t="str">
        <f t="shared" si="194"/>
        <v/>
      </c>
    </row>
    <row r="4129" spans="2:6" x14ac:dyDescent="0.2">
      <c r="B4129" s="12"/>
      <c r="C4129" s="12"/>
      <c r="D4129" s="17" t="str">
        <f t="shared" si="195"/>
        <v/>
      </c>
      <c r="E4129" s="18" t="str">
        <f t="shared" si="193"/>
        <v/>
      </c>
      <c r="F4129" s="17" t="str">
        <f t="shared" si="194"/>
        <v/>
      </c>
    </row>
    <row r="4130" spans="2:6" x14ac:dyDescent="0.2">
      <c r="B4130" s="12"/>
      <c r="C4130" s="12"/>
      <c r="D4130" s="17" t="str">
        <f t="shared" si="195"/>
        <v/>
      </c>
      <c r="E4130" s="18" t="str">
        <f t="shared" si="193"/>
        <v/>
      </c>
      <c r="F4130" s="17" t="str">
        <f t="shared" si="194"/>
        <v/>
      </c>
    </row>
    <row r="4131" spans="2:6" x14ac:dyDescent="0.2">
      <c r="B4131" s="12"/>
      <c r="C4131" s="12"/>
      <c r="D4131" s="17" t="str">
        <f t="shared" si="195"/>
        <v/>
      </c>
      <c r="E4131" s="18" t="str">
        <f t="shared" si="193"/>
        <v/>
      </c>
      <c r="F4131" s="17" t="str">
        <f t="shared" si="194"/>
        <v/>
      </c>
    </row>
    <row r="4132" spans="2:6" x14ac:dyDescent="0.2">
      <c r="B4132" s="12"/>
      <c r="C4132" s="12"/>
      <c r="D4132" s="17" t="str">
        <f t="shared" si="195"/>
        <v/>
      </c>
      <c r="E4132" s="18" t="str">
        <f t="shared" si="193"/>
        <v/>
      </c>
      <c r="F4132" s="17" t="str">
        <f t="shared" si="194"/>
        <v/>
      </c>
    </row>
    <row r="4133" spans="2:6" x14ac:dyDescent="0.2">
      <c r="B4133" s="12"/>
      <c r="C4133" s="12"/>
      <c r="D4133" s="17" t="str">
        <f t="shared" si="195"/>
        <v/>
      </c>
      <c r="E4133" s="18" t="str">
        <f t="shared" si="193"/>
        <v/>
      </c>
      <c r="F4133" s="17" t="str">
        <f t="shared" si="194"/>
        <v/>
      </c>
    </row>
    <row r="4134" spans="2:6" x14ac:dyDescent="0.2">
      <c r="B4134" s="12"/>
      <c r="C4134" s="12"/>
      <c r="D4134" s="17" t="str">
        <f t="shared" si="195"/>
        <v/>
      </c>
      <c r="E4134" s="18" t="str">
        <f t="shared" si="193"/>
        <v/>
      </c>
      <c r="F4134" s="17" t="str">
        <f t="shared" si="194"/>
        <v/>
      </c>
    </row>
    <row r="4135" spans="2:6" x14ac:dyDescent="0.2">
      <c r="B4135" s="12"/>
      <c r="C4135" s="12"/>
      <c r="D4135" s="17" t="str">
        <f t="shared" si="195"/>
        <v/>
      </c>
      <c r="E4135" s="18" t="str">
        <f t="shared" si="193"/>
        <v/>
      </c>
      <c r="F4135" s="17" t="str">
        <f t="shared" si="194"/>
        <v/>
      </c>
    </row>
    <row r="4136" spans="2:6" x14ac:dyDescent="0.2">
      <c r="B4136" s="12"/>
      <c r="C4136" s="12"/>
      <c r="D4136" s="17" t="str">
        <f t="shared" si="195"/>
        <v/>
      </c>
      <c r="E4136" s="18" t="str">
        <f t="shared" si="193"/>
        <v/>
      </c>
      <c r="F4136" s="17" t="str">
        <f t="shared" si="194"/>
        <v/>
      </c>
    </row>
    <row r="4137" spans="2:6" x14ac:dyDescent="0.2">
      <c r="B4137" s="12"/>
      <c r="C4137" s="12"/>
      <c r="D4137" s="17" t="str">
        <f t="shared" si="195"/>
        <v/>
      </c>
      <c r="E4137" s="18" t="str">
        <f t="shared" si="193"/>
        <v/>
      </c>
      <c r="F4137" s="17" t="str">
        <f t="shared" si="194"/>
        <v/>
      </c>
    </row>
    <row r="4138" spans="2:6" x14ac:dyDescent="0.2">
      <c r="B4138" s="12"/>
      <c r="C4138" s="12"/>
      <c r="D4138" s="17" t="str">
        <f t="shared" si="195"/>
        <v/>
      </c>
      <c r="E4138" s="18" t="str">
        <f t="shared" si="193"/>
        <v/>
      </c>
      <c r="F4138" s="17" t="str">
        <f t="shared" si="194"/>
        <v/>
      </c>
    </row>
    <row r="4139" spans="2:6" x14ac:dyDescent="0.2">
      <c r="B4139" s="12"/>
      <c r="C4139" s="12"/>
      <c r="D4139" s="17" t="str">
        <f t="shared" si="195"/>
        <v/>
      </c>
      <c r="E4139" s="18" t="str">
        <f t="shared" si="193"/>
        <v/>
      </c>
      <c r="F4139" s="17" t="str">
        <f t="shared" si="194"/>
        <v/>
      </c>
    </row>
    <row r="4140" spans="2:6" x14ac:dyDescent="0.2">
      <c r="B4140" s="12"/>
      <c r="C4140" s="12"/>
      <c r="D4140" s="17" t="str">
        <f t="shared" si="195"/>
        <v/>
      </c>
      <c r="E4140" s="18" t="str">
        <f t="shared" si="193"/>
        <v/>
      </c>
      <c r="F4140" s="17" t="str">
        <f t="shared" si="194"/>
        <v/>
      </c>
    </row>
    <row r="4141" spans="2:6" x14ac:dyDescent="0.2">
      <c r="B4141" s="12"/>
      <c r="C4141" s="12"/>
      <c r="D4141" s="17" t="str">
        <f t="shared" si="195"/>
        <v/>
      </c>
      <c r="E4141" s="18" t="str">
        <f t="shared" si="193"/>
        <v/>
      </c>
      <c r="F4141" s="17" t="str">
        <f t="shared" si="194"/>
        <v/>
      </c>
    </row>
    <row r="4142" spans="2:6" x14ac:dyDescent="0.2">
      <c r="B4142" s="12"/>
      <c r="C4142" s="12"/>
      <c r="D4142" s="17" t="str">
        <f t="shared" si="195"/>
        <v/>
      </c>
      <c r="E4142" s="18" t="str">
        <f t="shared" si="193"/>
        <v/>
      </c>
      <c r="F4142" s="17" t="str">
        <f t="shared" si="194"/>
        <v/>
      </c>
    </row>
    <row r="4143" spans="2:6" x14ac:dyDescent="0.2">
      <c r="B4143" s="12"/>
      <c r="C4143" s="12"/>
      <c r="D4143" s="17" t="str">
        <f t="shared" si="195"/>
        <v/>
      </c>
      <c r="E4143" s="18" t="str">
        <f t="shared" si="193"/>
        <v/>
      </c>
      <c r="F4143" s="17" t="str">
        <f t="shared" si="194"/>
        <v/>
      </c>
    </row>
    <row r="4144" spans="2:6" x14ac:dyDescent="0.2">
      <c r="B4144" s="12"/>
      <c r="C4144" s="12"/>
      <c r="D4144" s="17" t="str">
        <f t="shared" si="195"/>
        <v/>
      </c>
      <c r="E4144" s="18" t="str">
        <f t="shared" si="193"/>
        <v/>
      </c>
      <c r="F4144" s="17" t="str">
        <f t="shared" si="194"/>
        <v/>
      </c>
    </row>
    <row r="4145" spans="2:6" x14ac:dyDescent="0.2">
      <c r="B4145" s="12"/>
      <c r="C4145" s="12"/>
      <c r="D4145" s="17" t="str">
        <f t="shared" si="195"/>
        <v/>
      </c>
      <c r="E4145" s="18" t="str">
        <f t="shared" si="193"/>
        <v/>
      </c>
      <c r="F4145" s="17" t="str">
        <f t="shared" si="194"/>
        <v/>
      </c>
    </row>
    <row r="4146" spans="2:6" x14ac:dyDescent="0.2">
      <c r="B4146" s="12"/>
      <c r="C4146" s="12"/>
      <c r="D4146" s="17" t="str">
        <f t="shared" si="195"/>
        <v/>
      </c>
      <c r="E4146" s="18" t="str">
        <f t="shared" si="193"/>
        <v/>
      </c>
      <c r="F4146" s="17" t="str">
        <f t="shared" si="194"/>
        <v/>
      </c>
    </row>
    <row r="4147" spans="2:6" x14ac:dyDescent="0.2">
      <c r="B4147" s="12"/>
      <c r="C4147" s="12"/>
      <c r="D4147" s="17" t="str">
        <f t="shared" si="195"/>
        <v/>
      </c>
      <c r="E4147" s="18" t="str">
        <f t="shared" si="193"/>
        <v/>
      </c>
      <c r="F4147" s="17" t="str">
        <f t="shared" si="194"/>
        <v/>
      </c>
    </row>
    <row r="4148" spans="2:6" x14ac:dyDescent="0.2">
      <c r="B4148" s="12"/>
      <c r="C4148" s="12"/>
      <c r="D4148" s="17" t="str">
        <f t="shared" si="195"/>
        <v/>
      </c>
      <c r="E4148" s="18" t="str">
        <f t="shared" si="193"/>
        <v/>
      </c>
      <c r="F4148" s="17" t="str">
        <f t="shared" si="194"/>
        <v/>
      </c>
    </row>
    <row r="4149" spans="2:6" x14ac:dyDescent="0.2">
      <c r="B4149" s="12"/>
      <c r="C4149" s="12"/>
      <c r="D4149" s="17" t="str">
        <f t="shared" si="195"/>
        <v/>
      </c>
      <c r="E4149" s="18" t="str">
        <f t="shared" si="193"/>
        <v/>
      </c>
      <c r="F4149" s="17" t="str">
        <f t="shared" si="194"/>
        <v/>
      </c>
    </row>
    <row r="4150" spans="2:6" x14ac:dyDescent="0.2">
      <c r="B4150" s="12"/>
      <c r="C4150" s="12"/>
      <c r="D4150" s="17" t="str">
        <f t="shared" si="195"/>
        <v/>
      </c>
      <c r="E4150" s="18" t="str">
        <f t="shared" si="193"/>
        <v/>
      </c>
      <c r="F4150" s="17" t="str">
        <f t="shared" si="194"/>
        <v/>
      </c>
    </row>
    <row r="4151" spans="2:6" x14ac:dyDescent="0.2">
      <c r="B4151" s="12"/>
      <c r="C4151" s="12"/>
      <c r="D4151" s="17" t="str">
        <f t="shared" si="195"/>
        <v/>
      </c>
      <c r="E4151" s="18" t="str">
        <f t="shared" si="193"/>
        <v/>
      </c>
      <c r="F4151" s="17" t="str">
        <f t="shared" si="194"/>
        <v/>
      </c>
    </row>
    <row r="4152" spans="2:6" x14ac:dyDescent="0.2">
      <c r="B4152" s="12"/>
      <c r="C4152" s="12"/>
      <c r="D4152" s="17" t="str">
        <f t="shared" si="195"/>
        <v/>
      </c>
      <c r="E4152" s="18" t="str">
        <f t="shared" si="193"/>
        <v/>
      </c>
      <c r="F4152" s="17" t="str">
        <f t="shared" si="194"/>
        <v/>
      </c>
    </row>
    <row r="4153" spans="2:6" x14ac:dyDescent="0.2">
      <c r="B4153" s="12"/>
      <c r="C4153" s="12"/>
      <c r="D4153" s="17" t="str">
        <f t="shared" si="195"/>
        <v/>
      </c>
      <c r="E4153" s="18" t="str">
        <f t="shared" si="193"/>
        <v/>
      </c>
      <c r="F4153" s="17" t="str">
        <f t="shared" si="194"/>
        <v/>
      </c>
    </row>
    <row r="4154" spans="2:6" x14ac:dyDescent="0.2">
      <c r="B4154" s="12"/>
      <c r="C4154" s="12"/>
      <c r="D4154" s="17" t="str">
        <f t="shared" si="195"/>
        <v/>
      </c>
      <c r="E4154" s="18" t="str">
        <f t="shared" si="193"/>
        <v/>
      </c>
      <c r="F4154" s="17" t="str">
        <f t="shared" si="194"/>
        <v/>
      </c>
    </row>
    <row r="4155" spans="2:6" x14ac:dyDescent="0.2">
      <c r="B4155" s="12"/>
      <c r="C4155" s="12"/>
      <c r="D4155" s="17" t="str">
        <f t="shared" si="195"/>
        <v/>
      </c>
      <c r="E4155" s="18" t="str">
        <f t="shared" si="193"/>
        <v/>
      </c>
      <c r="F4155" s="17" t="str">
        <f t="shared" si="194"/>
        <v/>
      </c>
    </row>
    <row r="4156" spans="2:6" x14ac:dyDescent="0.2">
      <c r="B4156" s="12"/>
      <c r="C4156" s="12"/>
      <c r="D4156" s="17" t="str">
        <f t="shared" si="195"/>
        <v/>
      </c>
      <c r="E4156" s="18" t="str">
        <f t="shared" si="193"/>
        <v/>
      </c>
      <c r="F4156" s="17" t="str">
        <f t="shared" si="194"/>
        <v/>
      </c>
    </row>
    <row r="4157" spans="2:6" x14ac:dyDescent="0.2">
      <c r="B4157" s="12"/>
      <c r="C4157" s="12"/>
      <c r="D4157" s="17" t="str">
        <f t="shared" si="195"/>
        <v/>
      </c>
      <c r="E4157" s="18" t="str">
        <f t="shared" si="193"/>
        <v/>
      </c>
      <c r="F4157" s="17" t="str">
        <f t="shared" si="194"/>
        <v/>
      </c>
    </row>
    <row r="4158" spans="2:6" x14ac:dyDescent="0.2">
      <c r="B4158" s="12"/>
      <c r="C4158" s="12"/>
      <c r="D4158" s="17" t="str">
        <f t="shared" si="195"/>
        <v/>
      </c>
      <c r="E4158" s="18" t="str">
        <f t="shared" si="193"/>
        <v/>
      </c>
      <c r="F4158" s="17" t="str">
        <f t="shared" si="194"/>
        <v/>
      </c>
    </row>
    <row r="4159" spans="2:6" x14ac:dyDescent="0.2">
      <c r="B4159" s="12"/>
      <c r="C4159" s="12"/>
      <c r="D4159" s="17" t="str">
        <f t="shared" si="195"/>
        <v/>
      </c>
      <c r="E4159" s="18" t="str">
        <f t="shared" si="193"/>
        <v/>
      </c>
      <c r="F4159" s="17" t="str">
        <f t="shared" si="194"/>
        <v/>
      </c>
    </row>
    <row r="4160" spans="2:6" x14ac:dyDescent="0.2">
      <c r="B4160" s="12"/>
      <c r="C4160" s="12"/>
      <c r="D4160" s="17" t="str">
        <f t="shared" si="195"/>
        <v/>
      </c>
      <c r="E4160" s="18" t="str">
        <f t="shared" si="193"/>
        <v/>
      </c>
      <c r="F4160" s="17" t="str">
        <f t="shared" si="194"/>
        <v/>
      </c>
    </row>
    <row r="4161" spans="2:6" x14ac:dyDescent="0.2">
      <c r="B4161" s="12"/>
      <c r="C4161" s="12"/>
      <c r="D4161" s="17" t="str">
        <f t="shared" si="195"/>
        <v/>
      </c>
      <c r="E4161" s="18" t="str">
        <f t="shared" si="193"/>
        <v/>
      </c>
      <c r="F4161" s="17" t="str">
        <f t="shared" si="194"/>
        <v/>
      </c>
    </row>
    <row r="4162" spans="2:6" x14ac:dyDescent="0.2">
      <c r="B4162" s="12"/>
      <c r="C4162" s="12"/>
      <c r="D4162" s="17" t="str">
        <f t="shared" si="195"/>
        <v/>
      </c>
      <c r="E4162" s="18" t="str">
        <f t="shared" si="193"/>
        <v/>
      </c>
      <c r="F4162" s="17" t="str">
        <f t="shared" si="194"/>
        <v/>
      </c>
    </row>
    <row r="4163" spans="2:6" x14ac:dyDescent="0.2">
      <c r="B4163" s="12"/>
      <c r="C4163" s="12"/>
      <c r="D4163" s="17" t="str">
        <f t="shared" si="195"/>
        <v/>
      </c>
      <c r="E4163" s="18" t="str">
        <f t="shared" si="193"/>
        <v/>
      </c>
      <c r="F4163" s="17" t="str">
        <f t="shared" si="194"/>
        <v/>
      </c>
    </row>
    <row r="4164" spans="2:6" x14ac:dyDescent="0.2">
      <c r="B4164" s="12"/>
      <c r="C4164" s="12"/>
      <c r="D4164" s="17" t="str">
        <f t="shared" si="195"/>
        <v/>
      </c>
      <c r="E4164" s="18" t="str">
        <f t="shared" si="193"/>
        <v/>
      </c>
      <c r="F4164" s="17" t="str">
        <f t="shared" si="194"/>
        <v/>
      </c>
    </row>
    <row r="4165" spans="2:6" x14ac:dyDescent="0.2">
      <c r="B4165" s="12"/>
      <c r="C4165" s="12"/>
      <c r="D4165" s="17" t="str">
        <f t="shared" si="195"/>
        <v/>
      </c>
      <c r="E4165" s="18" t="str">
        <f t="shared" ref="E4165:E4228" si="196">IF(B4165="","",ABS(C4165-D4165))</f>
        <v/>
      </c>
      <c r="F4165" s="17" t="str">
        <f t="shared" ref="F4165:F4228" si="197">IF(B4165="","",E4165^2)</f>
        <v/>
      </c>
    </row>
    <row r="4166" spans="2:6" x14ac:dyDescent="0.2">
      <c r="B4166" s="12"/>
      <c r="C4166" s="12"/>
      <c r="D4166" s="17" t="str">
        <f t="shared" si="195"/>
        <v/>
      </c>
      <c r="E4166" s="18" t="str">
        <f t="shared" si="196"/>
        <v/>
      </c>
      <c r="F4166" s="17" t="str">
        <f t="shared" si="197"/>
        <v/>
      </c>
    </row>
    <row r="4167" spans="2:6" x14ac:dyDescent="0.2">
      <c r="B4167" s="12"/>
      <c r="C4167" s="12"/>
      <c r="D4167" s="17" t="str">
        <f t="shared" si="195"/>
        <v/>
      </c>
      <c r="E4167" s="18" t="str">
        <f t="shared" si="196"/>
        <v/>
      </c>
      <c r="F4167" s="17" t="str">
        <f t="shared" si="197"/>
        <v/>
      </c>
    </row>
    <row r="4168" spans="2:6" x14ac:dyDescent="0.2">
      <c r="B4168" s="12"/>
      <c r="C4168" s="12"/>
      <c r="D4168" s="17" t="str">
        <f t="shared" si="195"/>
        <v/>
      </c>
      <c r="E4168" s="18" t="str">
        <f t="shared" si="196"/>
        <v/>
      </c>
      <c r="F4168" s="17" t="str">
        <f t="shared" si="197"/>
        <v/>
      </c>
    </row>
    <row r="4169" spans="2:6" x14ac:dyDescent="0.2">
      <c r="B4169" s="12"/>
      <c r="C4169" s="12"/>
      <c r="D4169" s="17" t="str">
        <f t="shared" si="195"/>
        <v/>
      </c>
      <c r="E4169" s="18" t="str">
        <f t="shared" si="196"/>
        <v/>
      </c>
      <c r="F4169" s="17" t="str">
        <f t="shared" si="197"/>
        <v/>
      </c>
    </row>
    <row r="4170" spans="2:6" x14ac:dyDescent="0.2">
      <c r="B4170" s="12"/>
      <c r="C4170" s="12"/>
      <c r="D4170" s="17" t="str">
        <f t="shared" si="195"/>
        <v/>
      </c>
      <c r="E4170" s="18" t="str">
        <f t="shared" si="196"/>
        <v/>
      </c>
      <c r="F4170" s="17" t="str">
        <f t="shared" si="197"/>
        <v/>
      </c>
    </row>
    <row r="4171" spans="2:6" x14ac:dyDescent="0.2">
      <c r="B4171" s="12"/>
      <c r="C4171" s="12"/>
      <c r="D4171" s="17" t="str">
        <f t="shared" si="195"/>
        <v/>
      </c>
      <c r="E4171" s="18" t="str">
        <f t="shared" si="196"/>
        <v/>
      </c>
      <c r="F4171" s="17" t="str">
        <f t="shared" si="197"/>
        <v/>
      </c>
    </row>
    <row r="4172" spans="2:6" x14ac:dyDescent="0.2">
      <c r="B4172" s="12"/>
      <c r="C4172" s="12"/>
      <c r="D4172" s="17" t="str">
        <f t="shared" si="195"/>
        <v/>
      </c>
      <c r="E4172" s="18" t="str">
        <f t="shared" si="196"/>
        <v/>
      </c>
      <c r="F4172" s="17" t="str">
        <f t="shared" si="197"/>
        <v/>
      </c>
    </row>
    <row r="4173" spans="2:6" x14ac:dyDescent="0.2">
      <c r="B4173" s="12"/>
      <c r="C4173" s="12"/>
      <c r="D4173" s="17" t="str">
        <f t="shared" si="195"/>
        <v/>
      </c>
      <c r="E4173" s="18" t="str">
        <f t="shared" si="196"/>
        <v/>
      </c>
      <c r="F4173" s="17" t="str">
        <f t="shared" si="197"/>
        <v/>
      </c>
    </row>
    <row r="4174" spans="2:6" x14ac:dyDescent="0.2">
      <c r="B4174" s="12"/>
      <c r="C4174" s="12"/>
      <c r="D4174" s="17" t="str">
        <f t="shared" si="195"/>
        <v/>
      </c>
      <c r="E4174" s="18" t="str">
        <f t="shared" si="196"/>
        <v/>
      </c>
      <c r="F4174" s="17" t="str">
        <f t="shared" si="197"/>
        <v/>
      </c>
    </row>
    <row r="4175" spans="2:6" x14ac:dyDescent="0.2">
      <c r="B4175" s="12"/>
      <c r="C4175" s="12"/>
      <c r="D4175" s="17" t="str">
        <f t="shared" si="195"/>
        <v/>
      </c>
      <c r="E4175" s="18" t="str">
        <f t="shared" si="196"/>
        <v/>
      </c>
      <c r="F4175" s="17" t="str">
        <f t="shared" si="197"/>
        <v/>
      </c>
    </row>
    <row r="4176" spans="2:6" x14ac:dyDescent="0.2">
      <c r="B4176" s="12"/>
      <c r="C4176" s="12"/>
      <c r="D4176" s="17" t="str">
        <f t="shared" si="195"/>
        <v/>
      </c>
      <c r="E4176" s="18" t="str">
        <f t="shared" si="196"/>
        <v/>
      </c>
      <c r="F4176" s="17" t="str">
        <f t="shared" si="197"/>
        <v/>
      </c>
    </row>
    <row r="4177" spans="2:6" x14ac:dyDescent="0.2">
      <c r="B4177" s="12"/>
      <c r="C4177" s="12"/>
      <c r="D4177" s="17" t="str">
        <f t="shared" si="195"/>
        <v/>
      </c>
      <c r="E4177" s="18" t="str">
        <f t="shared" si="196"/>
        <v/>
      </c>
      <c r="F4177" s="17" t="str">
        <f t="shared" si="197"/>
        <v/>
      </c>
    </row>
    <row r="4178" spans="2:6" x14ac:dyDescent="0.2">
      <c r="B4178" s="12"/>
      <c r="C4178" s="12"/>
      <c r="D4178" s="17" t="str">
        <f t="shared" ref="D4178:D4241" si="198">IF(B4178="","",a+b*B4178)</f>
        <v/>
      </c>
      <c r="E4178" s="18" t="str">
        <f t="shared" si="196"/>
        <v/>
      </c>
      <c r="F4178" s="17" t="str">
        <f t="shared" si="197"/>
        <v/>
      </c>
    </row>
    <row r="4179" spans="2:6" x14ac:dyDescent="0.2">
      <c r="B4179" s="12"/>
      <c r="C4179" s="12"/>
      <c r="D4179" s="17" t="str">
        <f t="shared" si="198"/>
        <v/>
      </c>
      <c r="E4179" s="18" t="str">
        <f t="shared" si="196"/>
        <v/>
      </c>
      <c r="F4179" s="17" t="str">
        <f t="shared" si="197"/>
        <v/>
      </c>
    </row>
    <row r="4180" spans="2:6" x14ac:dyDescent="0.2">
      <c r="B4180" s="12"/>
      <c r="C4180" s="12"/>
      <c r="D4180" s="17" t="str">
        <f t="shared" si="198"/>
        <v/>
      </c>
      <c r="E4180" s="18" t="str">
        <f t="shared" si="196"/>
        <v/>
      </c>
      <c r="F4180" s="17" t="str">
        <f t="shared" si="197"/>
        <v/>
      </c>
    </row>
    <row r="4181" spans="2:6" x14ac:dyDescent="0.2">
      <c r="B4181" s="12"/>
      <c r="C4181" s="12"/>
      <c r="D4181" s="17" t="str">
        <f t="shared" si="198"/>
        <v/>
      </c>
      <c r="E4181" s="18" t="str">
        <f t="shared" si="196"/>
        <v/>
      </c>
      <c r="F4181" s="17" t="str">
        <f t="shared" si="197"/>
        <v/>
      </c>
    </row>
    <row r="4182" spans="2:6" x14ac:dyDescent="0.2">
      <c r="B4182" s="12"/>
      <c r="C4182" s="12"/>
      <c r="D4182" s="17" t="str">
        <f t="shared" si="198"/>
        <v/>
      </c>
      <c r="E4182" s="18" t="str">
        <f t="shared" si="196"/>
        <v/>
      </c>
      <c r="F4182" s="17" t="str">
        <f t="shared" si="197"/>
        <v/>
      </c>
    </row>
    <row r="4183" spans="2:6" x14ac:dyDescent="0.2">
      <c r="B4183" s="12"/>
      <c r="C4183" s="12"/>
      <c r="D4183" s="17" t="str">
        <f t="shared" si="198"/>
        <v/>
      </c>
      <c r="E4183" s="18" t="str">
        <f t="shared" si="196"/>
        <v/>
      </c>
      <c r="F4183" s="17" t="str">
        <f t="shared" si="197"/>
        <v/>
      </c>
    </row>
    <row r="4184" spans="2:6" x14ac:dyDescent="0.2">
      <c r="B4184" s="12"/>
      <c r="C4184" s="12"/>
      <c r="D4184" s="17" t="str">
        <f t="shared" si="198"/>
        <v/>
      </c>
      <c r="E4184" s="18" t="str">
        <f t="shared" si="196"/>
        <v/>
      </c>
      <c r="F4184" s="17" t="str">
        <f t="shared" si="197"/>
        <v/>
      </c>
    </row>
    <row r="4185" spans="2:6" x14ac:dyDescent="0.2">
      <c r="B4185" s="12"/>
      <c r="C4185" s="12"/>
      <c r="D4185" s="17" t="str">
        <f t="shared" si="198"/>
        <v/>
      </c>
      <c r="E4185" s="18" t="str">
        <f t="shared" si="196"/>
        <v/>
      </c>
      <c r="F4185" s="17" t="str">
        <f t="shared" si="197"/>
        <v/>
      </c>
    </row>
    <row r="4186" spans="2:6" x14ac:dyDescent="0.2">
      <c r="B4186" s="12"/>
      <c r="C4186" s="12"/>
      <c r="D4186" s="17" t="str">
        <f t="shared" si="198"/>
        <v/>
      </c>
      <c r="E4186" s="18" t="str">
        <f t="shared" si="196"/>
        <v/>
      </c>
      <c r="F4186" s="17" t="str">
        <f t="shared" si="197"/>
        <v/>
      </c>
    </row>
    <row r="4187" spans="2:6" x14ac:dyDescent="0.2">
      <c r="B4187" s="12"/>
      <c r="C4187" s="12"/>
      <c r="D4187" s="17" t="str">
        <f t="shared" si="198"/>
        <v/>
      </c>
      <c r="E4187" s="18" t="str">
        <f t="shared" si="196"/>
        <v/>
      </c>
      <c r="F4187" s="17" t="str">
        <f t="shared" si="197"/>
        <v/>
      </c>
    </row>
    <row r="4188" spans="2:6" x14ac:dyDescent="0.2">
      <c r="B4188" s="12"/>
      <c r="C4188" s="12"/>
      <c r="D4188" s="17" t="str">
        <f t="shared" si="198"/>
        <v/>
      </c>
      <c r="E4188" s="18" t="str">
        <f t="shared" si="196"/>
        <v/>
      </c>
      <c r="F4188" s="17" t="str">
        <f t="shared" si="197"/>
        <v/>
      </c>
    </row>
    <row r="4189" spans="2:6" x14ac:dyDescent="0.2">
      <c r="B4189" s="12"/>
      <c r="C4189" s="12"/>
      <c r="D4189" s="17" t="str">
        <f t="shared" si="198"/>
        <v/>
      </c>
      <c r="E4189" s="18" t="str">
        <f t="shared" si="196"/>
        <v/>
      </c>
      <c r="F4189" s="17" t="str">
        <f t="shared" si="197"/>
        <v/>
      </c>
    </row>
    <row r="4190" spans="2:6" x14ac:dyDescent="0.2">
      <c r="B4190" s="12"/>
      <c r="C4190" s="12"/>
      <c r="D4190" s="17" t="str">
        <f t="shared" si="198"/>
        <v/>
      </c>
      <c r="E4190" s="18" t="str">
        <f t="shared" si="196"/>
        <v/>
      </c>
      <c r="F4190" s="17" t="str">
        <f t="shared" si="197"/>
        <v/>
      </c>
    </row>
    <row r="4191" spans="2:6" x14ac:dyDescent="0.2">
      <c r="B4191" s="12"/>
      <c r="C4191" s="12"/>
      <c r="D4191" s="17" t="str">
        <f t="shared" si="198"/>
        <v/>
      </c>
      <c r="E4191" s="18" t="str">
        <f t="shared" si="196"/>
        <v/>
      </c>
      <c r="F4191" s="17" t="str">
        <f t="shared" si="197"/>
        <v/>
      </c>
    </row>
    <row r="4192" spans="2:6" x14ac:dyDescent="0.2">
      <c r="B4192" s="12"/>
      <c r="C4192" s="12"/>
      <c r="D4192" s="17" t="str">
        <f t="shared" si="198"/>
        <v/>
      </c>
      <c r="E4192" s="18" t="str">
        <f t="shared" si="196"/>
        <v/>
      </c>
      <c r="F4192" s="17" t="str">
        <f t="shared" si="197"/>
        <v/>
      </c>
    </row>
    <row r="4193" spans="2:6" x14ac:dyDescent="0.2">
      <c r="B4193" s="12"/>
      <c r="C4193" s="12"/>
      <c r="D4193" s="17" t="str">
        <f t="shared" si="198"/>
        <v/>
      </c>
      <c r="E4193" s="18" t="str">
        <f t="shared" si="196"/>
        <v/>
      </c>
      <c r="F4193" s="17" t="str">
        <f t="shared" si="197"/>
        <v/>
      </c>
    </row>
    <row r="4194" spans="2:6" x14ac:dyDescent="0.2">
      <c r="B4194" s="12"/>
      <c r="C4194" s="12"/>
      <c r="D4194" s="17" t="str">
        <f t="shared" si="198"/>
        <v/>
      </c>
      <c r="E4194" s="18" t="str">
        <f t="shared" si="196"/>
        <v/>
      </c>
      <c r="F4194" s="17" t="str">
        <f t="shared" si="197"/>
        <v/>
      </c>
    </row>
    <row r="4195" spans="2:6" x14ac:dyDescent="0.2">
      <c r="B4195" s="12"/>
      <c r="C4195" s="12"/>
      <c r="D4195" s="17" t="str">
        <f t="shared" si="198"/>
        <v/>
      </c>
      <c r="E4195" s="18" t="str">
        <f t="shared" si="196"/>
        <v/>
      </c>
      <c r="F4195" s="17" t="str">
        <f t="shared" si="197"/>
        <v/>
      </c>
    </row>
    <row r="4196" spans="2:6" x14ac:dyDescent="0.2">
      <c r="B4196" s="12"/>
      <c r="C4196" s="12"/>
      <c r="D4196" s="17" t="str">
        <f t="shared" si="198"/>
        <v/>
      </c>
      <c r="E4196" s="18" t="str">
        <f t="shared" si="196"/>
        <v/>
      </c>
      <c r="F4196" s="17" t="str">
        <f t="shared" si="197"/>
        <v/>
      </c>
    </row>
    <row r="4197" spans="2:6" x14ac:dyDescent="0.2">
      <c r="B4197" s="12"/>
      <c r="C4197" s="12"/>
      <c r="D4197" s="17" t="str">
        <f t="shared" si="198"/>
        <v/>
      </c>
      <c r="E4197" s="18" t="str">
        <f t="shared" si="196"/>
        <v/>
      </c>
      <c r="F4197" s="17" t="str">
        <f t="shared" si="197"/>
        <v/>
      </c>
    </row>
    <row r="4198" spans="2:6" x14ac:dyDescent="0.2">
      <c r="B4198" s="12"/>
      <c r="C4198" s="12"/>
      <c r="D4198" s="17" t="str">
        <f t="shared" si="198"/>
        <v/>
      </c>
      <c r="E4198" s="18" t="str">
        <f t="shared" si="196"/>
        <v/>
      </c>
      <c r="F4198" s="17" t="str">
        <f t="shared" si="197"/>
        <v/>
      </c>
    </row>
    <row r="4199" spans="2:6" x14ac:dyDescent="0.2">
      <c r="B4199" s="12"/>
      <c r="C4199" s="12"/>
      <c r="D4199" s="17" t="str">
        <f t="shared" si="198"/>
        <v/>
      </c>
      <c r="E4199" s="18" t="str">
        <f t="shared" si="196"/>
        <v/>
      </c>
      <c r="F4199" s="17" t="str">
        <f t="shared" si="197"/>
        <v/>
      </c>
    </row>
    <row r="4200" spans="2:6" x14ac:dyDescent="0.2">
      <c r="B4200" s="12"/>
      <c r="C4200" s="12"/>
      <c r="D4200" s="17" t="str">
        <f t="shared" si="198"/>
        <v/>
      </c>
      <c r="E4200" s="18" t="str">
        <f t="shared" si="196"/>
        <v/>
      </c>
      <c r="F4200" s="17" t="str">
        <f t="shared" si="197"/>
        <v/>
      </c>
    </row>
    <row r="4201" spans="2:6" x14ac:dyDescent="0.2">
      <c r="B4201" s="12"/>
      <c r="C4201" s="12"/>
      <c r="D4201" s="17" t="str">
        <f t="shared" si="198"/>
        <v/>
      </c>
      <c r="E4201" s="18" t="str">
        <f t="shared" si="196"/>
        <v/>
      </c>
      <c r="F4201" s="17" t="str">
        <f t="shared" si="197"/>
        <v/>
      </c>
    </row>
    <row r="4202" spans="2:6" x14ac:dyDescent="0.2">
      <c r="B4202" s="12"/>
      <c r="C4202" s="12"/>
      <c r="D4202" s="17" t="str">
        <f t="shared" si="198"/>
        <v/>
      </c>
      <c r="E4202" s="18" t="str">
        <f t="shared" si="196"/>
        <v/>
      </c>
      <c r="F4202" s="17" t="str">
        <f t="shared" si="197"/>
        <v/>
      </c>
    </row>
    <row r="4203" spans="2:6" x14ac:dyDescent="0.2">
      <c r="B4203" s="12"/>
      <c r="C4203" s="12"/>
      <c r="D4203" s="17" t="str">
        <f t="shared" si="198"/>
        <v/>
      </c>
      <c r="E4203" s="18" t="str">
        <f t="shared" si="196"/>
        <v/>
      </c>
      <c r="F4203" s="17" t="str">
        <f t="shared" si="197"/>
        <v/>
      </c>
    </row>
    <row r="4204" spans="2:6" x14ac:dyDescent="0.2">
      <c r="B4204" s="12"/>
      <c r="C4204" s="12"/>
      <c r="D4204" s="17" t="str">
        <f t="shared" si="198"/>
        <v/>
      </c>
      <c r="E4204" s="18" t="str">
        <f t="shared" si="196"/>
        <v/>
      </c>
      <c r="F4204" s="17" t="str">
        <f t="shared" si="197"/>
        <v/>
      </c>
    </row>
    <row r="4205" spans="2:6" x14ac:dyDescent="0.2">
      <c r="B4205" s="12"/>
      <c r="C4205" s="12"/>
      <c r="D4205" s="17" t="str">
        <f t="shared" si="198"/>
        <v/>
      </c>
      <c r="E4205" s="18" t="str">
        <f t="shared" si="196"/>
        <v/>
      </c>
      <c r="F4205" s="17" t="str">
        <f t="shared" si="197"/>
        <v/>
      </c>
    </row>
    <row r="4206" spans="2:6" x14ac:dyDescent="0.2">
      <c r="B4206" s="12"/>
      <c r="C4206" s="12"/>
      <c r="D4206" s="17" t="str">
        <f t="shared" si="198"/>
        <v/>
      </c>
      <c r="E4206" s="18" t="str">
        <f t="shared" si="196"/>
        <v/>
      </c>
      <c r="F4206" s="17" t="str">
        <f t="shared" si="197"/>
        <v/>
      </c>
    </row>
    <row r="4207" spans="2:6" x14ac:dyDescent="0.2">
      <c r="B4207" s="12"/>
      <c r="C4207" s="12"/>
      <c r="D4207" s="17" t="str">
        <f t="shared" si="198"/>
        <v/>
      </c>
      <c r="E4207" s="18" t="str">
        <f t="shared" si="196"/>
        <v/>
      </c>
      <c r="F4207" s="17" t="str">
        <f t="shared" si="197"/>
        <v/>
      </c>
    </row>
    <row r="4208" spans="2:6" x14ac:dyDescent="0.2">
      <c r="B4208" s="12"/>
      <c r="C4208" s="12"/>
      <c r="D4208" s="17" t="str">
        <f t="shared" si="198"/>
        <v/>
      </c>
      <c r="E4208" s="18" t="str">
        <f t="shared" si="196"/>
        <v/>
      </c>
      <c r="F4208" s="17" t="str">
        <f t="shared" si="197"/>
        <v/>
      </c>
    </row>
    <row r="4209" spans="2:6" x14ac:dyDescent="0.2">
      <c r="B4209" s="12"/>
      <c r="C4209" s="12"/>
      <c r="D4209" s="17" t="str">
        <f t="shared" si="198"/>
        <v/>
      </c>
      <c r="E4209" s="18" t="str">
        <f t="shared" si="196"/>
        <v/>
      </c>
      <c r="F4209" s="17" t="str">
        <f t="shared" si="197"/>
        <v/>
      </c>
    </row>
    <row r="4210" spans="2:6" x14ac:dyDescent="0.2">
      <c r="B4210" s="12"/>
      <c r="C4210" s="12"/>
      <c r="D4210" s="17" t="str">
        <f t="shared" si="198"/>
        <v/>
      </c>
      <c r="E4210" s="18" t="str">
        <f t="shared" si="196"/>
        <v/>
      </c>
      <c r="F4210" s="17" t="str">
        <f t="shared" si="197"/>
        <v/>
      </c>
    </row>
    <row r="4211" spans="2:6" x14ac:dyDescent="0.2">
      <c r="B4211" s="12"/>
      <c r="C4211" s="12"/>
      <c r="D4211" s="17" t="str">
        <f t="shared" si="198"/>
        <v/>
      </c>
      <c r="E4211" s="18" t="str">
        <f t="shared" si="196"/>
        <v/>
      </c>
      <c r="F4211" s="17" t="str">
        <f t="shared" si="197"/>
        <v/>
      </c>
    </row>
    <row r="4212" spans="2:6" x14ac:dyDescent="0.2">
      <c r="B4212" s="12"/>
      <c r="C4212" s="12"/>
      <c r="D4212" s="17" t="str">
        <f t="shared" si="198"/>
        <v/>
      </c>
      <c r="E4212" s="18" t="str">
        <f t="shared" si="196"/>
        <v/>
      </c>
      <c r="F4212" s="17" t="str">
        <f t="shared" si="197"/>
        <v/>
      </c>
    </row>
    <row r="4213" spans="2:6" x14ac:dyDescent="0.2">
      <c r="B4213" s="12"/>
      <c r="C4213" s="12"/>
      <c r="D4213" s="17" t="str">
        <f t="shared" si="198"/>
        <v/>
      </c>
      <c r="E4213" s="18" t="str">
        <f t="shared" si="196"/>
        <v/>
      </c>
      <c r="F4213" s="17" t="str">
        <f t="shared" si="197"/>
        <v/>
      </c>
    </row>
    <row r="4214" spans="2:6" x14ac:dyDescent="0.2">
      <c r="B4214" s="12"/>
      <c r="C4214" s="12"/>
      <c r="D4214" s="17" t="str">
        <f t="shared" si="198"/>
        <v/>
      </c>
      <c r="E4214" s="18" t="str">
        <f t="shared" si="196"/>
        <v/>
      </c>
      <c r="F4214" s="17" t="str">
        <f t="shared" si="197"/>
        <v/>
      </c>
    </row>
    <row r="4215" spans="2:6" x14ac:dyDescent="0.2">
      <c r="B4215" s="12"/>
      <c r="C4215" s="12"/>
      <c r="D4215" s="17" t="str">
        <f t="shared" si="198"/>
        <v/>
      </c>
      <c r="E4215" s="18" t="str">
        <f t="shared" si="196"/>
        <v/>
      </c>
      <c r="F4215" s="17" t="str">
        <f t="shared" si="197"/>
        <v/>
      </c>
    </row>
    <row r="4216" spans="2:6" x14ac:dyDescent="0.2">
      <c r="B4216" s="12"/>
      <c r="C4216" s="12"/>
      <c r="D4216" s="17" t="str">
        <f t="shared" si="198"/>
        <v/>
      </c>
      <c r="E4216" s="18" t="str">
        <f t="shared" si="196"/>
        <v/>
      </c>
      <c r="F4216" s="17" t="str">
        <f t="shared" si="197"/>
        <v/>
      </c>
    </row>
    <row r="4217" spans="2:6" x14ac:dyDescent="0.2">
      <c r="B4217" s="12"/>
      <c r="C4217" s="12"/>
      <c r="D4217" s="17" t="str">
        <f t="shared" si="198"/>
        <v/>
      </c>
      <c r="E4217" s="18" t="str">
        <f t="shared" si="196"/>
        <v/>
      </c>
      <c r="F4217" s="17" t="str">
        <f t="shared" si="197"/>
        <v/>
      </c>
    </row>
    <row r="4218" spans="2:6" x14ac:dyDescent="0.2">
      <c r="B4218" s="12"/>
      <c r="C4218" s="12"/>
      <c r="D4218" s="17" t="str">
        <f t="shared" si="198"/>
        <v/>
      </c>
      <c r="E4218" s="18" t="str">
        <f t="shared" si="196"/>
        <v/>
      </c>
      <c r="F4218" s="17" t="str">
        <f t="shared" si="197"/>
        <v/>
      </c>
    </row>
    <row r="4219" spans="2:6" x14ac:dyDescent="0.2">
      <c r="B4219" s="12"/>
      <c r="C4219" s="12"/>
      <c r="D4219" s="17" t="str">
        <f t="shared" si="198"/>
        <v/>
      </c>
      <c r="E4219" s="18" t="str">
        <f t="shared" si="196"/>
        <v/>
      </c>
      <c r="F4219" s="17" t="str">
        <f t="shared" si="197"/>
        <v/>
      </c>
    </row>
    <row r="4220" spans="2:6" x14ac:dyDescent="0.2">
      <c r="B4220" s="12"/>
      <c r="C4220" s="12"/>
      <c r="D4220" s="17" t="str">
        <f t="shared" si="198"/>
        <v/>
      </c>
      <c r="E4220" s="18" t="str">
        <f t="shared" si="196"/>
        <v/>
      </c>
      <c r="F4220" s="17" t="str">
        <f t="shared" si="197"/>
        <v/>
      </c>
    </row>
    <row r="4221" spans="2:6" x14ac:dyDescent="0.2">
      <c r="B4221" s="12"/>
      <c r="C4221" s="12"/>
      <c r="D4221" s="17" t="str">
        <f t="shared" si="198"/>
        <v/>
      </c>
      <c r="E4221" s="18" t="str">
        <f t="shared" si="196"/>
        <v/>
      </c>
      <c r="F4221" s="17" t="str">
        <f t="shared" si="197"/>
        <v/>
      </c>
    </row>
    <row r="4222" spans="2:6" x14ac:dyDescent="0.2">
      <c r="B4222" s="12"/>
      <c r="C4222" s="12"/>
      <c r="D4222" s="17" t="str">
        <f t="shared" si="198"/>
        <v/>
      </c>
      <c r="E4222" s="18" t="str">
        <f t="shared" si="196"/>
        <v/>
      </c>
      <c r="F4222" s="17" t="str">
        <f t="shared" si="197"/>
        <v/>
      </c>
    </row>
    <row r="4223" spans="2:6" x14ac:dyDescent="0.2">
      <c r="B4223" s="12"/>
      <c r="C4223" s="12"/>
      <c r="D4223" s="17" t="str">
        <f t="shared" si="198"/>
        <v/>
      </c>
      <c r="E4223" s="18" t="str">
        <f t="shared" si="196"/>
        <v/>
      </c>
      <c r="F4223" s="17" t="str">
        <f t="shared" si="197"/>
        <v/>
      </c>
    </row>
    <row r="4224" spans="2:6" x14ac:dyDescent="0.2">
      <c r="B4224" s="12"/>
      <c r="C4224" s="12"/>
      <c r="D4224" s="17" t="str">
        <f t="shared" si="198"/>
        <v/>
      </c>
      <c r="E4224" s="18" t="str">
        <f t="shared" si="196"/>
        <v/>
      </c>
      <c r="F4224" s="17" t="str">
        <f t="shared" si="197"/>
        <v/>
      </c>
    </row>
    <row r="4225" spans="2:6" x14ac:dyDescent="0.2">
      <c r="B4225" s="12"/>
      <c r="C4225" s="12"/>
      <c r="D4225" s="17" t="str">
        <f t="shared" si="198"/>
        <v/>
      </c>
      <c r="E4225" s="18" t="str">
        <f t="shared" si="196"/>
        <v/>
      </c>
      <c r="F4225" s="17" t="str">
        <f t="shared" si="197"/>
        <v/>
      </c>
    </row>
    <row r="4226" spans="2:6" x14ac:dyDescent="0.2">
      <c r="B4226" s="12"/>
      <c r="C4226" s="12"/>
      <c r="D4226" s="17" t="str">
        <f t="shared" si="198"/>
        <v/>
      </c>
      <c r="E4226" s="18" t="str">
        <f t="shared" si="196"/>
        <v/>
      </c>
      <c r="F4226" s="17" t="str">
        <f t="shared" si="197"/>
        <v/>
      </c>
    </row>
    <row r="4227" spans="2:6" x14ac:dyDescent="0.2">
      <c r="B4227" s="12"/>
      <c r="C4227" s="12"/>
      <c r="D4227" s="17" t="str">
        <f t="shared" si="198"/>
        <v/>
      </c>
      <c r="E4227" s="18" t="str">
        <f t="shared" si="196"/>
        <v/>
      </c>
      <c r="F4227" s="17" t="str">
        <f t="shared" si="197"/>
        <v/>
      </c>
    </row>
    <row r="4228" spans="2:6" x14ac:dyDescent="0.2">
      <c r="B4228" s="12"/>
      <c r="C4228" s="12"/>
      <c r="D4228" s="17" t="str">
        <f t="shared" si="198"/>
        <v/>
      </c>
      <c r="E4228" s="18" t="str">
        <f t="shared" si="196"/>
        <v/>
      </c>
      <c r="F4228" s="17" t="str">
        <f t="shared" si="197"/>
        <v/>
      </c>
    </row>
    <row r="4229" spans="2:6" x14ac:dyDescent="0.2">
      <c r="B4229" s="12"/>
      <c r="C4229" s="12"/>
      <c r="D4229" s="17" t="str">
        <f t="shared" si="198"/>
        <v/>
      </c>
      <c r="E4229" s="18" t="str">
        <f t="shared" ref="E4229:E4292" si="199">IF(B4229="","",ABS(C4229-D4229))</f>
        <v/>
      </c>
      <c r="F4229" s="17" t="str">
        <f t="shared" ref="F4229:F4292" si="200">IF(B4229="","",E4229^2)</f>
        <v/>
      </c>
    </row>
    <row r="4230" spans="2:6" x14ac:dyDescent="0.2">
      <c r="B4230" s="12"/>
      <c r="C4230" s="12"/>
      <c r="D4230" s="17" t="str">
        <f t="shared" si="198"/>
        <v/>
      </c>
      <c r="E4230" s="18" t="str">
        <f t="shared" si="199"/>
        <v/>
      </c>
      <c r="F4230" s="17" t="str">
        <f t="shared" si="200"/>
        <v/>
      </c>
    </row>
    <row r="4231" spans="2:6" x14ac:dyDescent="0.2">
      <c r="B4231" s="12"/>
      <c r="C4231" s="12"/>
      <c r="D4231" s="17" t="str">
        <f t="shared" si="198"/>
        <v/>
      </c>
      <c r="E4231" s="18" t="str">
        <f t="shared" si="199"/>
        <v/>
      </c>
      <c r="F4231" s="17" t="str">
        <f t="shared" si="200"/>
        <v/>
      </c>
    </row>
    <row r="4232" spans="2:6" x14ac:dyDescent="0.2">
      <c r="B4232" s="12"/>
      <c r="C4232" s="12"/>
      <c r="D4232" s="17" t="str">
        <f t="shared" si="198"/>
        <v/>
      </c>
      <c r="E4232" s="18" t="str">
        <f t="shared" si="199"/>
        <v/>
      </c>
      <c r="F4232" s="17" t="str">
        <f t="shared" si="200"/>
        <v/>
      </c>
    </row>
    <row r="4233" spans="2:6" x14ac:dyDescent="0.2">
      <c r="B4233" s="12"/>
      <c r="C4233" s="12"/>
      <c r="D4233" s="17" t="str">
        <f t="shared" si="198"/>
        <v/>
      </c>
      <c r="E4233" s="18" t="str">
        <f t="shared" si="199"/>
        <v/>
      </c>
      <c r="F4233" s="17" t="str">
        <f t="shared" si="200"/>
        <v/>
      </c>
    </row>
    <row r="4234" spans="2:6" x14ac:dyDescent="0.2">
      <c r="B4234" s="12"/>
      <c r="C4234" s="12"/>
      <c r="D4234" s="17" t="str">
        <f t="shared" si="198"/>
        <v/>
      </c>
      <c r="E4234" s="18" t="str">
        <f t="shared" si="199"/>
        <v/>
      </c>
      <c r="F4234" s="17" t="str">
        <f t="shared" si="200"/>
        <v/>
      </c>
    </row>
    <row r="4235" spans="2:6" x14ac:dyDescent="0.2">
      <c r="B4235" s="12"/>
      <c r="C4235" s="12"/>
      <c r="D4235" s="17" t="str">
        <f t="shared" si="198"/>
        <v/>
      </c>
      <c r="E4235" s="18" t="str">
        <f t="shared" si="199"/>
        <v/>
      </c>
      <c r="F4235" s="17" t="str">
        <f t="shared" si="200"/>
        <v/>
      </c>
    </row>
    <row r="4236" spans="2:6" x14ac:dyDescent="0.2">
      <c r="B4236" s="12"/>
      <c r="C4236" s="12"/>
      <c r="D4236" s="17" t="str">
        <f t="shared" si="198"/>
        <v/>
      </c>
      <c r="E4236" s="18" t="str">
        <f t="shared" si="199"/>
        <v/>
      </c>
      <c r="F4236" s="17" t="str">
        <f t="shared" si="200"/>
        <v/>
      </c>
    </row>
    <row r="4237" spans="2:6" x14ac:dyDescent="0.2">
      <c r="B4237" s="12"/>
      <c r="C4237" s="12"/>
      <c r="D4237" s="17" t="str">
        <f t="shared" si="198"/>
        <v/>
      </c>
      <c r="E4237" s="18" t="str">
        <f t="shared" si="199"/>
        <v/>
      </c>
      <c r="F4237" s="17" t="str">
        <f t="shared" si="200"/>
        <v/>
      </c>
    </row>
    <row r="4238" spans="2:6" x14ac:dyDescent="0.2">
      <c r="B4238" s="12"/>
      <c r="C4238" s="12"/>
      <c r="D4238" s="17" t="str">
        <f t="shared" si="198"/>
        <v/>
      </c>
      <c r="E4238" s="18" t="str">
        <f t="shared" si="199"/>
        <v/>
      </c>
      <c r="F4238" s="17" t="str">
        <f t="shared" si="200"/>
        <v/>
      </c>
    </row>
    <row r="4239" spans="2:6" x14ac:dyDescent="0.2">
      <c r="B4239" s="12"/>
      <c r="C4239" s="12"/>
      <c r="D4239" s="17" t="str">
        <f t="shared" si="198"/>
        <v/>
      </c>
      <c r="E4239" s="18" t="str">
        <f t="shared" si="199"/>
        <v/>
      </c>
      <c r="F4239" s="17" t="str">
        <f t="shared" si="200"/>
        <v/>
      </c>
    </row>
    <row r="4240" spans="2:6" x14ac:dyDescent="0.2">
      <c r="B4240" s="12"/>
      <c r="C4240" s="12"/>
      <c r="D4240" s="17" t="str">
        <f t="shared" si="198"/>
        <v/>
      </c>
      <c r="E4240" s="18" t="str">
        <f t="shared" si="199"/>
        <v/>
      </c>
      <c r="F4240" s="17" t="str">
        <f t="shared" si="200"/>
        <v/>
      </c>
    </row>
    <row r="4241" spans="2:6" x14ac:dyDescent="0.2">
      <c r="B4241" s="12"/>
      <c r="C4241" s="12"/>
      <c r="D4241" s="17" t="str">
        <f t="shared" si="198"/>
        <v/>
      </c>
      <c r="E4241" s="18" t="str">
        <f t="shared" si="199"/>
        <v/>
      </c>
      <c r="F4241" s="17" t="str">
        <f t="shared" si="200"/>
        <v/>
      </c>
    </row>
    <row r="4242" spans="2:6" x14ac:dyDescent="0.2">
      <c r="B4242" s="12"/>
      <c r="C4242" s="12"/>
      <c r="D4242" s="17" t="str">
        <f t="shared" ref="D4242:D4305" si="201">IF(B4242="","",a+b*B4242)</f>
        <v/>
      </c>
      <c r="E4242" s="18" t="str">
        <f t="shared" si="199"/>
        <v/>
      </c>
      <c r="F4242" s="17" t="str">
        <f t="shared" si="200"/>
        <v/>
      </c>
    </row>
    <row r="4243" spans="2:6" x14ac:dyDescent="0.2">
      <c r="B4243" s="12"/>
      <c r="C4243" s="12"/>
      <c r="D4243" s="17" t="str">
        <f t="shared" si="201"/>
        <v/>
      </c>
      <c r="E4243" s="18" t="str">
        <f t="shared" si="199"/>
        <v/>
      </c>
      <c r="F4243" s="17" t="str">
        <f t="shared" si="200"/>
        <v/>
      </c>
    </row>
    <row r="4244" spans="2:6" x14ac:dyDescent="0.2">
      <c r="B4244" s="12"/>
      <c r="C4244" s="12"/>
      <c r="D4244" s="17" t="str">
        <f t="shared" si="201"/>
        <v/>
      </c>
      <c r="E4244" s="18" t="str">
        <f t="shared" si="199"/>
        <v/>
      </c>
      <c r="F4244" s="17" t="str">
        <f t="shared" si="200"/>
        <v/>
      </c>
    </row>
    <row r="4245" spans="2:6" x14ac:dyDescent="0.2">
      <c r="B4245" s="12"/>
      <c r="C4245" s="12"/>
      <c r="D4245" s="17" t="str">
        <f t="shared" si="201"/>
        <v/>
      </c>
      <c r="E4245" s="18" t="str">
        <f t="shared" si="199"/>
        <v/>
      </c>
      <c r="F4245" s="17" t="str">
        <f t="shared" si="200"/>
        <v/>
      </c>
    </row>
    <row r="4246" spans="2:6" x14ac:dyDescent="0.2">
      <c r="B4246" s="12"/>
      <c r="C4246" s="12"/>
      <c r="D4246" s="17" t="str">
        <f t="shared" si="201"/>
        <v/>
      </c>
      <c r="E4246" s="18" t="str">
        <f t="shared" si="199"/>
        <v/>
      </c>
      <c r="F4246" s="17" t="str">
        <f t="shared" si="200"/>
        <v/>
      </c>
    </row>
    <row r="4247" spans="2:6" x14ac:dyDescent="0.2">
      <c r="B4247" s="12"/>
      <c r="C4247" s="12"/>
      <c r="D4247" s="17" t="str">
        <f t="shared" si="201"/>
        <v/>
      </c>
      <c r="E4247" s="18" t="str">
        <f t="shared" si="199"/>
        <v/>
      </c>
      <c r="F4247" s="17" t="str">
        <f t="shared" si="200"/>
        <v/>
      </c>
    </row>
    <row r="4248" spans="2:6" x14ac:dyDescent="0.2">
      <c r="B4248" s="12"/>
      <c r="C4248" s="12"/>
      <c r="D4248" s="17" t="str">
        <f t="shared" si="201"/>
        <v/>
      </c>
      <c r="E4248" s="18" t="str">
        <f t="shared" si="199"/>
        <v/>
      </c>
      <c r="F4248" s="17" t="str">
        <f t="shared" si="200"/>
        <v/>
      </c>
    </row>
    <row r="4249" spans="2:6" x14ac:dyDescent="0.2">
      <c r="B4249" s="12"/>
      <c r="C4249" s="12"/>
      <c r="D4249" s="17" t="str">
        <f t="shared" si="201"/>
        <v/>
      </c>
      <c r="E4249" s="18" t="str">
        <f t="shared" si="199"/>
        <v/>
      </c>
      <c r="F4249" s="17" t="str">
        <f t="shared" si="200"/>
        <v/>
      </c>
    </row>
    <row r="4250" spans="2:6" x14ac:dyDescent="0.2">
      <c r="B4250" s="12"/>
      <c r="C4250" s="12"/>
      <c r="D4250" s="17" t="str">
        <f t="shared" si="201"/>
        <v/>
      </c>
      <c r="E4250" s="18" t="str">
        <f t="shared" si="199"/>
        <v/>
      </c>
      <c r="F4250" s="17" t="str">
        <f t="shared" si="200"/>
        <v/>
      </c>
    </row>
    <row r="4251" spans="2:6" x14ac:dyDescent="0.2">
      <c r="B4251" s="12"/>
      <c r="C4251" s="12"/>
      <c r="D4251" s="17" t="str">
        <f t="shared" si="201"/>
        <v/>
      </c>
      <c r="E4251" s="18" t="str">
        <f t="shared" si="199"/>
        <v/>
      </c>
      <c r="F4251" s="17" t="str">
        <f t="shared" si="200"/>
        <v/>
      </c>
    </row>
    <row r="4252" spans="2:6" x14ac:dyDescent="0.2">
      <c r="B4252" s="12"/>
      <c r="C4252" s="12"/>
      <c r="D4252" s="17" t="str">
        <f t="shared" si="201"/>
        <v/>
      </c>
      <c r="E4252" s="18" t="str">
        <f t="shared" si="199"/>
        <v/>
      </c>
      <c r="F4252" s="17" t="str">
        <f t="shared" si="200"/>
        <v/>
      </c>
    </row>
    <row r="4253" spans="2:6" x14ac:dyDescent="0.2">
      <c r="B4253" s="12"/>
      <c r="C4253" s="12"/>
      <c r="D4253" s="17" t="str">
        <f t="shared" si="201"/>
        <v/>
      </c>
      <c r="E4253" s="18" t="str">
        <f t="shared" si="199"/>
        <v/>
      </c>
      <c r="F4253" s="17" t="str">
        <f t="shared" si="200"/>
        <v/>
      </c>
    </row>
    <row r="4254" spans="2:6" x14ac:dyDescent="0.2">
      <c r="B4254" s="12"/>
      <c r="C4254" s="12"/>
      <c r="D4254" s="17" t="str">
        <f t="shared" si="201"/>
        <v/>
      </c>
      <c r="E4254" s="18" t="str">
        <f t="shared" si="199"/>
        <v/>
      </c>
      <c r="F4254" s="17" t="str">
        <f t="shared" si="200"/>
        <v/>
      </c>
    </row>
    <row r="4255" spans="2:6" x14ac:dyDescent="0.2">
      <c r="B4255" s="12"/>
      <c r="C4255" s="12"/>
      <c r="D4255" s="17" t="str">
        <f t="shared" si="201"/>
        <v/>
      </c>
      <c r="E4255" s="18" t="str">
        <f t="shared" si="199"/>
        <v/>
      </c>
      <c r="F4255" s="17" t="str">
        <f t="shared" si="200"/>
        <v/>
      </c>
    </row>
    <row r="4256" spans="2:6" x14ac:dyDescent="0.2">
      <c r="B4256" s="12"/>
      <c r="C4256" s="12"/>
      <c r="D4256" s="17" t="str">
        <f t="shared" si="201"/>
        <v/>
      </c>
      <c r="E4256" s="18" t="str">
        <f t="shared" si="199"/>
        <v/>
      </c>
      <c r="F4256" s="17" t="str">
        <f t="shared" si="200"/>
        <v/>
      </c>
    </row>
    <row r="4257" spans="2:6" x14ac:dyDescent="0.2">
      <c r="B4257" s="12"/>
      <c r="C4257" s="12"/>
      <c r="D4257" s="17" t="str">
        <f t="shared" si="201"/>
        <v/>
      </c>
      <c r="E4257" s="18" t="str">
        <f t="shared" si="199"/>
        <v/>
      </c>
      <c r="F4257" s="17" t="str">
        <f t="shared" si="200"/>
        <v/>
      </c>
    </row>
    <row r="4258" spans="2:6" x14ac:dyDescent="0.2">
      <c r="B4258" s="12"/>
      <c r="C4258" s="12"/>
      <c r="D4258" s="17" t="str">
        <f t="shared" si="201"/>
        <v/>
      </c>
      <c r="E4258" s="18" t="str">
        <f t="shared" si="199"/>
        <v/>
      </c>
      <c r="F4258" s="17" t="str">
        <f t="shared" si="200"/>
        <v/>
      </c>
    </row>
    <row r="4259" spans="2:6" x14ac:dyDescent="0.2">
      <c r="B4259" s="12"/>
      <c r="C4259" s="12"/>
      <c r="D4259" s="17" t="str">
        <f t="shared" si="201"/>
        <v/>
      </c>
      <c r="E4259" s="18" t="str">
        <f t="shared" si="199"/>
        <v/>
      </c>
      <c r="F4259" s="17" t="str">
        <f t="shared" si="200"/>
        <v/>
      </c>
    </row>
    <row r="4260" spans="2:6" x14ac:dyDescent="0.2">
      <c r="B4260" s="12"/>
      <c r="C4260" s="12"/>
      <c r="D4260" s="17" t="str">
        <f t="shared" si="201"/>
        <v/>
      </c>
      <c r="E4260" s="18" t="str">
        <f t="shared" si="199"/>
        <v/>
      </c>
      <c r="F4260" s="17" t="str">
        <f t="shared" si="200"/>
        <v/>
      </c>
    </row>
    <row r="4261" spans="2:6" x14ac:dyDescent="0.2">
      <c r="B4261" s="12"/>
      <c r="C4261" s="12"/>
      <c r="D4261" s="17" t="str">
        <f t="shared" si="201"/>
        <v/>
      </c>
      <c r="E4261" s="18" t="str">
        <f t="shared" si="199"/>
        <v/>
      </c>
      <c r="F4261" s="17" t="str">
        <f t="shared" si="200"/>
        <v/>
      </c>
    </row>
    <row r="4262" spans="2:6" x14ac:dyDescent="0.2">
      <c r="B4262" s="12"/>
      <c r="C4262" s="12"/>
      <c r="D4262" s="17" t="str">
        <f t="shared" si="201"/>
        <v/>
      </c>
      <c r="E4262" s="18" t="str">
        <f t="shared" si="199"/>
        <v/>
      </c>
      <c r="F4262" s="17" t="str">
        <f t="shared" si="200"/>
        <v/>
      </c>
    </row>
    <row r="4263" spans="2:6" x14ac:dyDescent="0.2">
      <c r="B4263" s="12"/>
      <c r="C4263" s="12"/>
      <c r="D4263" s="17" t="str">
        <f t="shared" si="201"/>
        <v/>
      </c>
      <c r="E4263" s="18" t="str">
        <f t="shared" si="199"/>
        <v/>
      </c>
      <c r="F4263" s="17" t="str">
        <f t="shared" si="200"/>
        <v/>
      </c>
    </row>
    <row r="4264" spans="2:6" x14ac:dyDescent="0.2">
      <c r="B4264" s="12"/>
      <c r="C4264" s="12"/>
      <c r="D4264" s="17" t="str">
        <f t="shared" si="201"/>
        <v/>
      </c>
      <c r="E4264" s="18" t="str">
        <f t="shared" si="199"/>
        <v/>
      </c>
      <c r="F4264" s="17" t="str">
        <f t="shared" si="200"/>
        <v/>
      </c>
    </row>
    <row r="4265" spans="2:6" x14ac:dyDescent="0.2">
      <c r="B4265" s="12"/>
      <c r="C4265" s="12"/>
      <c r="D4265" s="17" t="str">
        <f t="shared" si="201"/>
        <v/>
      </c>
      <c r="E4265" s="18" t="str">
        <f t="shared" si="199"/>
        <v/>
      </c>
      <c r="F4265" s="17" t="str">
        <f t="shared" si="200"/>
        <v/>
      </c>
    </row>
    <row r="4266" spans="2:6" x14ac:dyDescent="0.2">
      <c r="B4266" s="12"/>
      <c r="C4266" s="12"/>
      <c r="D4266" s="17" t="str">
        <f t="shared" si="201"/>
        <v/>
      </c>
      <c r="E4266" s="18" t="str">
        <f t="shared" si="199"/>
        <v/>
      </c>
      <c r="F4266" s="17" t="str">
        <f t="shared" si="200"/>
        <v/>
      </c>
    </row>
    <row r="4267" spans="2:6" x14ac:dyDescent="0.2">
      <c r="B4267" s="12"/>
      <c r="C4267" s="12"/>
      <c r="D4267" s="17" t="str">
        <f t="shared" si="201"/>
        <v/>
      </c>
      <c r="E4267" s="18" t="str">
        <f t="shared" si="199"/>
        <v/>
      </c>
      <c r="F4267" s="17" t="str">
        <f t="shared" si="200"/>
        <v/>
      </c>
    </row>
    <row r="4268" spans="2:6" x14ac:dyDescent="0.2">
      <c r="B4268" s="12"/>
      <c r="C4268" s="12"/>
      <c r="D4268" s="17" t="str">
        <f t="shared" si="201"/>
        <v/>
      </c>
      <c r="E4268" s="18" t="str">
        <f t="shared" si="199"/>
        <v/>
      </c>
      <c r="F4268" s="17" t="str">
        <f t="shared" si="200"/>
        <v/>
      </c>
    </row>
    <row r="4269" spans="2:6" x14ac:dyDescent="0.2">
      <c r="B4269" s="12"/>
      <c r="C4269" s="12"/>
      <c r="D4269" s="17" t="str">
        <f t="shared" si="201"/>
        <v/>
      </c>
      <c r="E4269" s="18" t="str">
        <f t="shared" si="199"/>
        <v/>
      </c>
      <c r="F4269" s="17" t="str">
        <f t="shared" si="200"/>
        <v/>
      </c>
    </row>
    <row r="4270" spans="2:6" x14ac:dyDescent="0.2">
      <c r="B4270" s="12"/>
      <c r="C4270" s="12"/>
      <c r="D4270" s="17" t="str">
        <f t="shared" si="201"/>
        <v/>
      </c>
      <c r="E4270" s="18" t="str">
        <f t="shared" si="199"/>
        <v/>
      </c>
      <c r="F4270" s="17" t="str">
        <f t="shared" si="200"/>
        <v/>
      </c>
    </row>
    <row r="4271" spans="2:6" x14ac:dyDescent="0.2">
      <c r="B4271" s="12"/>
      <c r="C4271" s="12"/>
      <c r="D4271" s="17" t="str">
        <f t="shared" si="201"/>
        <v/>
      </c>
      <c r="E4271" s="18" t="str">
        <f t="shared" si="199"/>
        <v/>
      </c>
      <c r="F4271" s="17" t="str">
        <f t="shared" si="200"/>
        <v/>
      </c>
    </row>
    <row r="4272" spans="2:6" x14ac:dyDescent="0.2">
      <c r="B4272" s="12"/>
      <c r="C4272" s="12"/>
      <c r="D4272" s="17" t="str">
        <f t="shared" si="201"/>
        <v/>
      </c>
      <c r="E4272" s="18" t="str">
        <f t="shared" si="199"/>
        <v/>
      </c>
      <c r="F4272" s="17" t="str">
        <f t="shared" si="200"/>
        <v/>
      </c>
    </row>
    <row r="4273" spans="2:6" x14ac:dyDescent="0.2">
      <c r="B4273" s="12"/>
      <c r="C4273" s="12"/>
      <c r="D4273" s="17" t="str">
        <f t="shared" si="201"/>
        <v/>
      </c>
      <c r="E4273" s="18" t="str">
        <f t="shared" si="199"/>
        <v/>
      </c>
      <c r="F4273" s="17" t="str">
        <f t="shared" si="200"/>
        <v/>
      </c>
    </row>
    <row r="4274" spans="2:6" x14ac:dyDescent="0.2">
      <c r="B4274" s="12"/>
      <c r="C4274" s="12"/>
      <c r="D4274" s="17" t="str">
        <f t="shared" si="201"/>
        <v/>
      </c>
      <c r="E4274" s="18" t="str">
        <f t="shared" si="199"/>
        <v/>
      </c>
      <c r="F4274" s="17" t="str">
        <f t="shared" si="200"/>
        <v/>
      </c>
    </row>
    <row r="4275" spans="2:6" x14ac:dyDescent="0.2">
      <c r="B4275" s="12"/>
      <c r="C4275" s="12"/>
      <c r="D4275" s="17" t="str">
        <f t="shared" si="201"/>
        <v/>
      </c>
      <c r="E4275" s="18" t="str">
        <f t="shared" si="199"/>
        <v/>
      </c>
      <c r="F4275" s="17" t="str">
        <f t="shared" si="200"/>
        <v/>
      </c>
    </row>
    <row r="4276" spans="2:6" x14ac:dyDescent="0.2">
      <c r="B4276" s="12"/>
      <c r="C4276" s="12"/>
      <c r="D4276" s="17" t="str">
        <f t="shared" si="201"/>
        <v/>
      </c>
      <c r="E4276" s="18" t="str">
        <f t="shared" si="199"/>
        <v/>
      </c>
      <c r="F4276" s="17" t="str">
        <f t="shared" si="200"/>
        <v/>
      </c>
    </row>
    <row r="4277" spans="2:6" x14ac:dyDescent="0.2">
      <c r="B4277" s="12"/>
      <c r="C4277" s="12"/>
      <c r="D4277" s="17" t="str">
        <f t="shared" si="201"/>
        <v/>
      </c>
      <c r="E4277" s="18" t="str">
        <f t="shared" si="199"/>
        <v/>
      </c>
      <c r="F4277" s="17" t="str">
        <f t="shared" si="200"/>
        <v/>
      </c>
    </row>
    <row r="4278" spans="2:6" x14ac:dyDescent="0.2">
      <c r="B4278" s="12"/>
      <c r="C4278" s="12"/>
      <c r="D4278" s="17" t="str">
        <f t="shared" si="201"/>
        <v/>
      </c>
      <c r="E4278" s="18" t="str">
        <f t="shared" si="199"/>
        <v/>
      </c>
      <c r="F4278" s="17" t="str">
        <f t="shared" si="200"/>
        <v/>
      </c>
    </row>
    <row r="4279" spans="2:6" x14ac:dyDescent="0.2">
      <c r="B4279" s="12"/>
      <c r="C4279" s="12"/>
      <c r="D4279" s="17" t="str">
        <f t="shared" si="201"/>
        <v/>
      </c>
      <c r="E4279" s="18" t="str">
        <f t="shared" si="199"/>
        <v/>
      </c>
      <c r="F4279" s="17" t="str">
        <f t="shared" si="200"/>
        <v/>
      </c>
    </row>
    <row r="4280" spans="2:6" x14ac:dyDescent="0.2">
      <c r="B4280" s="12"/>
      <c r="C4280" s="12"/>
      <c r="D4280" s="17" t="str">
        <f t="shared" si="201"/>
        <v/>
      </c>
      <c r="E4280" s="18" t="str">
        <f t="shared" si="199"/>
        <v/>
      </c>
      <c r="F4280" s="17" t="str">
        <f t="shared" si="200"/>
        <v/>
      </c>
    </row>
    <row r="4281" spans="2:6" x14ac:dyDescent="0.2">
      <c r="B4281" s="12"/>
      <c r="C4281" s="12"/>
      <c r="D4281" s="17" t="str">
        <f t="shared" si="201"/>
        <v/>
      </c>
      <c r="E4281" s="18" t="str">
        <f t="shared" si="199"/>
        <v/>
      </c>
      <c r="F4281" s="17" t="str">
        <f t="shared" si="200"/>
        <v/>
      </c>
    </row>
    <row r="4282" spans="2:6" x14ac:dyDescent="0.2">
      <c r="B4282" s="12"/>
      <c r="C4282" s="12"/>
      <c r="D4282" s="17" t="str">
        <f t="shared" si="201"/>
        <v/>
      </c>
      <c r="E4282" s="18" t="str">
        <f t="shared" si="199"/>
        <v/>
      </c>
      <c r="F4282" s="17" t="str">
        <f t="shared" si="200"/>
        <v/>
      </c>
    </row>
    <row r="4283" spans="2:6" x14ac:dyDescent="0.2">
      <c r="B4283" s="12"/>
      <c r="C4283" s="12"/>
      <c r="D4283" s="17" t="str">
        <f t="shared" si="201"/>
        <v/>
      </c>
      <c r="E4283" s="18" t="str">
        <f t="shared" si="199"/>
        <v/>
      </c>
      <c r="F4283" s="17" t="str">
        <f t="shared" si="200"/>
        <v/>
      </c>
    </row>
    <row r="4284" spans="2:6" x14ac:dyDescent="0.2">
      <c r="B4284" s="12"/>
      <c r="C4284" s="12"/>
      <c r="D4284" s="17" t="str">
        <f t="shared" si="201"/>
        <v/>
      </c>
      <c r="E4284" s="18" t="str">
        <f t="shared" si="199"/>
        <v/>
      </c>
      <c r="F4284" s="17" t="str">
        <f t="shared" si="200"/>
        <v/>
      </c>
    </row>
    <row r="4285" spans="2:6" x14ac:dyDescent="0.2">
      <c r="B4285" s="12"/>
      <c r="C4285" s="12"/>
      <c r="D4285" s="17" t="str">
        <f t="shared" si="201"/>
        <v/>
      </c>
      <c r="E4285" s="18" t="str">
        <f t="shared" si="199"/>
        <v/>
      </c>
      <c r="F4285" s="17" t="str">
        <f t="shared" si="200"/>
        <v/>
      </c>
    </row>
    <row r="4286" spans="2:6" x14ac:dyDescent="0.2">
      <c r="B4286" s="12"/>
      <c r="C4286" s="12"/>
      <c r="D4286" s="17" t="str">
        <f t="shared" si="201"/>
        <v/>
      </c>
      <c r="E4286" s="18" t="str">
        <f t="shared" si="199"/>
        <v/>
      </c>
      <c r="F4286" s="17" t="str">
        <f t="shared" si="200"/>
        <v/>
      </c>
    </row>
    <row r="4287" spans="2:6" x14ac:dyDescent="0.2">
      <c r="B4287" s="12"/>
      <c r="C4287" s="12"/>
      <c r="D4287" s="17" t="str">
        <f t="shared" si="201"/>
        <v/>
      </c>
      <c r="E4287" s="18" t="str">
        <f t="shared" si="199"/>
        <v/>
      </c>
      <c r="F4287" s="17" t="str">
        <f t="shared" si="200"/>
        <v/>
      </c>
    </row>
    <row r="4288" spans="2:6" x14ac:dyDescent="0.2">
      <c r="B4288" s="12"/>
      <c r="C4288" s="12"/>
      <c r="D4288" s="17" t="str">
        <f t="shared" si="201"/>
        <v/>
      </c>
      <c r="E4288" s="18" t="str">
        <f t="shared" si="199"/>
        <v/>
      </c>
      <c r="F4288" s="17" t="str">
        <f t="shared" si="200"/>
        <v/>
      </c>
    </row>
    <row r="4289" spans="2:6" x14ac:dyDescent="0.2">
      <c r="B4289" s="12"/>
      <c r="C4289" s="12"/>
      <c r="D4289" s="17" t="str">
        <f t="shared" si="201"/>
        <v/>
      </c>
      <c r="E4289" s="18" t="str">
        <f t="shared" si="199"/>
        <v/>
      </c>
      <c r="F4289" s="17" t="str">
        <f t="shared" si="200"/>
        <v/>
      </c>
    </row>
    <row r="4290" spans="2:6" x14ac:dyDescent="0.2">
      <c r="B4290" s="12"/>
      <c r="C4290" s="12"/>
      <c r="D4290" s="17" t="str">
        <f t="shared" si="201"/>
        <v/>
      </c>
      <c r="E4290" s="18" t="str">
        <f t="shared" si="199"/>
        <v/>
      </c>
      <c r="F4290" s="17" t="str">
        <f t="shared" si="200"/>
        <v/>
      </c>
    </row>
    <row r="4291" spans="2:6" x14ac:dyDescent="0.2">
      <c r="B4291" s="12"/>
      <c r="C4291" s="12"/>
      <c r="D4291" s="17" t="str">
        <f t="shared" si="201"/>
        <v/>
      </c>
      <c r="E4291" s="18" t="str">
        <f t="shared" si="199"/>
        <v/>
      </c>
      <c r="F4291" s="17" t="str">
        <f t="shared" si="200"/>
        <v/>
      </c>
    </row>
    <row r="4292" spans="2:6" x14ac:dyDescent="0.2">
      <c r="B4292" s="12"/>
      <c r="C4292" s="12"/>
      <c r="D4292" s="17" t="str">
        <f t="shared" si="201"/>
        <v/>
      </c>
      <c r="E4292" s="18" t="str">
        <f t="shared" si="199"/>
        <v/>
      </c>
      <c r="F4292" s="17" t="str">
        <f t="shared" si="200"/>
        <v/>
      </c>
    </row>
    <row r="4293" spans="2:6" x14ac:dyDescent="0.2">
      <c r="B4293" s="12"/>
      <c r="C4293" s="12"/>
      <c r="D4293" s="17" t="str">
        <f t="shared" si="201"/>
        <v/>
      </c>
      <c r="E4293" s="18" t="str">
        <f t="shared" ref="E4293:E4356" si="202">IF(B4293="","",ABS(C4293-D4293))</f>
        <v/>
      </c>
      <c r="F4293" s="17" t="str">
        <f t="shared" ref="F4293:F4356" si="203">IF(B4293="","",E4293^2)</f>
        <v/>
      </c>
    </row>
    <row r="4294" spans="2:6" x14ac:dyDescent="0.2">
      <c r="B4294" s="12"/>
      <c r="C4294" s="12"/>
      <c r="D4294" s="17" t="str">
        <f t="shared" si="201"/>
        <v/>
      </c>
      <c r="E4294" s="18" t="str">
        <f t="shared" si="202"/>
        <v/>
      </c>
      <c r="F4294" s="17" t="str">
        <f t="shared" si="203"/>
        <v/>
      </c>
    </row>
    <row r="4295" spans="2:6" x14ac:dyDescent="0.2">
      <c r="B4295" s="12"/>
      <c r="C4295" s="12"/>
      <c r="D4295" s="17" t="str">
        <f t="shared" si="201"/>
        <v/>
      </c>
      <c r="E4295" s="18" t="str">
        <f t="shared" si="202"/>
        <v/>
      </c>
      <c r="F4295" s="17" t="str">
        <f t="shared" si="203"/>
        <v/>
      </c>
    </row>
    <row r="4296" spans="2:6" x14ac:dyDescent="0.2">
      <c r="B4296" s="12"/>
      <c r="C4296" s="12"/>
      <c r="D4296" s="17" t="str">
        <f t="shared" si="201"/>
        <v/>
      </c>
      <c r="E4296" s="18" t="str">
        <f t="shared" si="202"/>
        <v/>
      </c>
      <c r="F4296" s="17" t="str">
        <f t="shared" si="203"/>
        <v/>
      </c>
    </row>
    <row r="4297" spans="2:6" x14ac:dyDescent="0.2">
      <c r="B4297" s="12"/>
      <c r="C4297" s="12"/>
      <c r="D4297" s="17" t="str">
        <f t="shared" si="201"/>
        <v/>
      </c>
      <c r="E4297" s="18" t="str">
        <f t="shared" si="202"/>
        <v/>
      </c>
      <c r="F4297" s="17" t="str">
        <f t="shared" si="203"/>
        <v/>
      </c>
    </row>
    <row r="4298" spans="2:6" x14ac:dyDescent="0.2">
      <c r="B4298" s="12"/>
      <c r="C4298" s="12"/>
      <c r="D4298" s="17" t="str">
        <f t="shared" si="201"/>
        <v/>
      </c>
      <c r="E4298" s="18" t="str">
        <f t="shared" si="202"/>
        <v/>
      </c>
      <c r="F4298" s="17" t="str">
        <f t="shared" si="203"/>
        <v/>
      </c>
    </row>
    <row r="4299" spans="2:6" x14ac:dyDescent="0.2">
      <c r="B4299" s="12"/>
      <c r="C4299" s="12"/>
      <c r="D4299" s="17" t="str">
        <f t="shared" si="201"/>
        <v/>
      </c>
      <c r="E4299" s="18" t="str">
        <f t="shared" si="202"/>
        <v/>
      </c>
      <c r="F4299" s="17" t="str">
        <f t="shared" si="203"/>
        <v/>
      </c>
    </row>
    <row r="4300" spans="2:6" x14ac:dyDescent="0.2">
      <c r="B4300" s="12"/>
      <c r="C4300" s="12"/>
      <c r="D4300" s="17" t="str">
        <f t="shared" si="201"/>
        <v/>
      </c>
      <c r="E4300" s="18" t="str">
        <f t="shared" si="202"/>
        <v/>
      </c>
      <c r="F4300" s="17" t="str">
        <f t="shared" si="203"/>
        <v/>
      </c>
    </row>
    <row r="4301" spans="2:6" x14ac:dyDescent="0.2">
      <c r="B4301" s="12"/>
      <c r="C4301" s="12"/>
      <c r="D4301" s="17" t="str">
        <f t="shared" si="201"/>
        <v/>
      </c>
      <c r="E4301" s="18" t="str">
        <f t="shared" si="202"/>
        <v/>
      </c>
      <c r="F4301" s="17" t="str">
        <f t="shared" si="203"/>
        <v/>
      </c>
    </row>
    <row r="4302" spans="2:6" x14ac:dyDescent="0.2">
      <c r="B4302" s="12"/>
      <c r="C4302" s="12"/>
      <c r="D4302" s="17" t="str">
        <f t="shared" si="201"/>
        <v/>
      </c>
      <c r="E4302" s="18" t="str">
        <f t="shared" si="202"/>
        <v/>
      </c>
      <c r="F4302" s="17" t="str">
        <f t="shared" si="203"/>
        <v/>
      </c>
    </row>
    <row r="4303" spans="2:6" x14ac:dyDescent="0.2">
      <c r="B4303" s="12"/>
      <c r="C4303" s="12"/>
      <c r="D4303" s="17" t="str">
        <f t="shared" si="201"/>
        <v/>
      </c>
      <c r="E4303" s="18" t="str">
        <f t="shared" si="202"/>
        <v/>
      </c>
      <c r="F4303" s="17" t="str">
        <f t="shared" si="203"/>
        <v/>
      </c>
    </row>
    <row r="4304" spans="2:6" x14ac:dyDescent="0.2">
      <c r="B4304" s="12"/>
      <c r="C4304" s="12"/>
      <c r="D4304" s="17" t="str">
        <f t="shared" si="201"/>
        <v/>
      </c>
      <c r="E4304" s="18" t="str">
        <f t="shared" si="202"/>
        <v/>
      </c>
      <c r="F4304" s="17" t="str">
        <f t="shared" si="203"/>
        <v/>
      </c>
    </row>
    <row r="4305" spans="2:6" x14ac:dyDescent="0.2">
      <c r="B4305" s="12"/>
      <c r="C4305" s="12"/>
      <c r="D4305" s="17" t="str">
        <f t="shared" si="201"/>
        <v/>
      </c>
      <c r="E4305" s="18" t="str">
        <f t="shared" si="202"/>
        <v/>
      </c>
      <c r="F4305" s="17" t="str">
        <f t="shared" si="203"/>
        <v/>
      </c>
    </row>
    <row r="4306" spans="2:6" x14ac:dyDescent="0.2">
      <c r="B4306" s="12"/>
      <c r="C4306" s="12"/>
      <c r="D4306" s="17" t="str">
        <f t="shared" ref="D4306:D4369" si="204">IF(B4306="","",a+b*B4306)</f>
        <v/>
      </c>
      <c r="E4306" s="18" t="str">
        <f t="shared" si="202"/>
        <v/>
      </c>
      <c r="F4306" s="17" t="str">
        <f t="shared" si="203"/>
        <v/>
      </c>
    </row>
    <row r="4307" spans="2:6" x14ac:dyDescent="0.2">
      <c r="B4307" s="12"/>
      <c r="C4307" s="12"/>
      <c r="D4307" s="17" t="str">
        <f t="shared" si="204"/>
        <v/>
      </c>
      <c r="E4307" s="18" t="str">
        <f t="shared" si="202"/>
        <v/>
      </c>
      <c r="F4307" s="17" t="str">
        <f t="shared" si="203"/>
        <v/>
      </c>
    </row>
    <row r="4308" spans="2:6" x14ac:dyDescent="0.2">
      <c r="B4308" s="12"/>
      <c r="C4308" s="12"/>
      <c r="D4308" s="17" t="str">
        <f t="shared" si="204"/>
        <v/>
      </c>
      <c r="E4308" s="18" t="str">
        <f t="shared" si="202"/>
        <v/>
      </c>
      <c r="F4308" s="17" t="str">
        <f t="shared" si="203"/>
        <v/>
      </c>
    </row>
    <row r="4309" spans="2:6" x14ac:dyDescent="0.2">
      <c r="B4309" s="12"/>
      <c r="C4309" s="12"/>
      <c r="D4309" s="17" t="str">
        <f t="shared" si="204"/>
        <v/>
      </c>
      <c r="E4309" s="18" t="str">
        <f t="shared" si="202"/>
        <v/>
      </c>
      <c r="F4309" s="17" t="str">
        <f t="shared" si="203"/>
        <v/>
      </c>
    </row>
    <row r="4310" spans="2:6" x14ac:dyDescent="0.2">
      <c r="B4310" s="12"/>
      <c r="C4310" s="12"/>
      <c r="D4310" s="17" t="str">
        <f t="shared" si="204"/>
        <v/>
      </c>
      <c r="E4310" s="18" t="str">
        <f t="shared" si="202"/>
        <v/>
      </c>
      <c r="F4310" s="17" t="str">
        <f t="shared" si="203"/>
        <v/>
      </c>
    </row>
    <row r="4311" spans="2:6" x14ac:dyDescent="0.2">
      <c r="B4311" s="12"/>
      <c r="C4311" s="12"/>
      <c r="D4311" s="17" t="str">
        <f t="shared" si="204"/>
        <v/>
      </c>
      <c r="E4311" s="18" t="str">
        <f t="shared" si="202"/>
        <v/>
      </c>
      <c r="F4311" s="17" t="str">
        <f t="shared" si="203"/>
        <v/>
      </c>
    </row>
    <row r="4312" spans="2:6" x14ac:dyDescent="0.2">
      <c r="B4312" s="12"/>
      <c r="C4312" s="12"/>
      <c r="D4312" s="17" t="str">
        <f t="shared" si="204"/>
        <v/>
      </c>
      <c r="E4312" s="18" t="str">
        <f t="shared" si="202"/>
        <v/>
      </c>
      <c r="F4312" s="17" t="str">
        <f t="shared" si="203"/>
        <v/>
      </c>
    </row>
    <row r="4313" spans="2:6" x14ac:dyDescent="0.2">
      <c r="B4313" s="12"/>
      <c r="C4313" s="12"/>
      <c r="D4313" s="17" t="str">
        <f t="shared" si="204"/>
        <v/>
      </c>
      <c r="E4313" s="18" t="str">
        <f t="shared" si="202"/>
        <v/>
      </c>
      <c r="F4313" s="17" t="str">
        <f t="shared" si="203"/>
        <v/>
      </c>
    </row>
    <row r="4314" spans="2:6" x14ac:dyDescent="0.2">
      <c r="B4314" s="12"/>
      <c r="C4314" s="12"/>
      <c r="D4314" s="17" t="str">
        <f t="shared" si="204"/>
        <v/>
      </c>
      <c r="E4314" s="18" t="str">
        <f t="shared" si="202"/>
        <v/>
      </c>
      <c r="F4314" s="17" t="str">
        <f t="shared" si="203"/>
        <v/>
      </c>
    </row>
    <row r="4315" spans="2:6" x14ac:dyDescent="0.2">
      <c r="B4315" s="12"/>
      <c r="C4315" s="12"/>
      <c r="D4315" s="17" t="str">
        <f t="shared" si="204"/>
        <v/>
      </c>
      <c r="E4315" s="18" t="str">
        <f t="shared" si="202"/>
        <v/>
      </c>
      <c r="F4315" s="17" t="str">
        <f t="shared" si="203"/>
        <v/>
      </c>
    </row>
    <row r="4316" spans="2:6" x14ac:dyDescent="0.2">
      <c r="B4316" s="12"/>
      <c r="C4316" s="12"/>
      <c r="D4316" s="17" t="str">
        <f t="shared" si="204"/>
        <v/>
      </c>
      <c r="E4316" s="18" t="str">
        <f t="shared" si="202"/>
        <v/>
      </c>
      <c r="F4316" s="17" t="str">
        <f t="shared" si="203"/>
        <v/>
      </c>
    </row>
    <row r="4317" spans="2:6" x14ac:dyDescent="0.2">
      <c r="B4317" s="12"/>
      <c r="C4317" s="12"/>
      <c r="D4317" s="17" t="str">
        <f t="shared" si="204"/>
        <v/>
      </c>
      <c r="E4317" s="18" t="str">
        <f t="shared" si="202"/>
        <v/>
      </c>
      <c r="F4317" s="17" t="str">
        <f t="shared" si="203"/>
        <v/>
      </c>
    </row>
    <row r="4318" spans="2:6" x14ac:dyDescent="0.2">
      <c r="B4318" s="12"/>
      <c r="C4318" s="12"/>
      <c r="D4318" s="17" t="str">
        <f t="shared" si="204"/>
        <v/>
      </c>
      <c r="E4318" s="18" t="str">
        <f t="shared" si="202"/>
        <v/>
      </c>
      <c r="F4318" s="17" t="str">
        <f t="shared" si="203"/>
        <v/>
      </c>
    </row>
    <row r="4319" spans="2:6" x14ac:dyDescent="0.2">
      <c r="B4319" s="12"/>
      <c r="C4319" s="12"/>
      <c r="D4319" s="17" t="str">
        <f t="shared" si="204"/>
        <v/>
      </c>
      <c r="E4319" s="18" t="str">
        <f t="shared" si="202"/>
        <v/>
      </c>
      <c r="F4319" s="17" t="str">
        <f t="shared" si="203"/>
        <v/>
      </c>
    </row>
    <row r="4320" spans="2:6" x14ac:dyDescent="0.2">
      <c r="B4320" s="12"/>
      <c r="C4320" s="12"/>
      <c r="D4320" s="17" t="str">
        <f t="shared" si="204"/>
        <v/>
      </c>
      <c r="E4320" s="18" t="str">
        <f t="shared" si="202"/>
        <v/>
      </c>
      <c r="F4320" s="17" t="str">
        <f t="shared" si="203"/>
        <v/>
      </c>
    </row>
    <row r="4321" spans="2:6" x14ac:dyDescent="0.2">
      <c r="B4321" s="12"/>
      <c r="C4321" s="12"/>
      <c r="D4321" s="17" t="str">
        <f t="shared" si="204"/>
        <v/>
      </c>
      <c r="E4321" s="18" t="str">
        <f t="shared" si="202"/>
        <v/>
      </c>
      <c r="F4321" s="17" t="str">
        <f t="shared" si="203"/>
        <v/>
      </c>
    </row>
    <row r="4322" spans="2:6" x14ac:dyDescent="0.2">
      <c r="B4322" s="12"/>
      <c r="C4322" s="12"/>
      <c r="D4322" s="17" t="str">
        <f t="shared" si="204"/>
        <v/>
      </c>
      <c r="E4322" s="18" t="str">
        <f t="shared" si="202"/>
        <v/>
      </c>
      <c r="F4322" s="17" t="str">
        <f t="shared" si="203"/>
        <v/>
      </c>
    </row>
    <row r="4323" spans="2:6" x14ac:dyDescent="0.2">
      <c r="B4323" s="12"/>
      <c r="C4323" s="12"/>
      <c r="D4323" s="17" t="str">
        <f t="shared" si="204"/>
        <v/>
      </c>
      <c r="E4323" s="18" t="str">
        <f t="shared" si="202"/>
        <v/>
      </c>
      <c r="F4323" s="17" t="str">
        <f t="shared" si="203"/>
        <v/>
      </c>
    </row>
    <row r="4324" spans="2:6" x14ac:dyDescent="0.2">
      <c r="B4324" s="12"/>
      <c r="C4324" s="12"/>
      <c r="D4324" s="17" t="str">
        <f t="shared" si="204"/>
        <v/>
      </c>
      <c r="E4324" s="18" t="str">
        <f t="shared" si="202"/>
        <v/>
      </c>
      <c r="F4324" s="17" t="str">
        <f t="shared" si="203"/>
        <v/>
      </c>
    </row>
    <row r="4325" spans="2:6" x14ac:dyDescent="0.2">
      <c r="B4325" s="12"/>
      <c r="C4325" s="12"/>
      <c r="D4325" s="17" t="str">
        <f t="shared" si="204"/>
        <v/>
      </c>
      <c r="E4325" s="18" t="str">
        <f t="shared" si="202"/>
        <v/>
      </c>
      <c r="F4325" s="17" t="str">
        <f t="shared" si="203"/>
        <v/>
      </c>
    </row>
    <row r="4326" spans="2:6" x14ac:dyDescent="0.2">
      <c r="B4326" s="12"/>
      <c r="C4326" s="12"/>
      <c r="D4326" s="17" t="str">
        <f t="shared" si="204"/>
        <v/>
      </c>
      <c r="E4326" s="18" t="str">
        <f t="shared" si="202"/>
        <v/>
      </c>
      <c r="F4326" s="17" t="str">
        <f t="shared" si="203"/>
        <v/>
      </c>
    </row>
    <row r="4327" spans="2:6" x14ac:dyDescent="0.2">
      <c r="B4327" s="12"/>
      <c r="C4327" s="12"/>
      <c r="D4327" s="17" t="str">
        <f t="shared" si="204"/>
        <v/>
      </c>
      <c r="E4327" s="18" t="str">
        <f t="shared" si="202"/>
        <v/>
      </c>
      <c r="F4327" s="17" t="str">
        <f t="shared" si="203"/>
        <v/>
      </c>
    </row>
    <row r="4328" spans="2:6" x14ac:dyDescent="0.2">
      <c r="B4328" s="12"/>
      <c r="C4328" s="12"/>
      <c r="D4328" s="17" t="str">
        <f t="shared" si="204"/>
        <v/>
      </c>
      <c r="E4328" s="18" t="str">
        <f t="shared" si="202"/>
        <v/>
      </c>
      <c r="F4328" s="17" t="str">
        <f t="shared" si="203"/>
        <v/>
      </c>
    </row>
    <row r="4329" spans="2:6" x14ac:dyDescent="0.2">
      <c r="B4329" s="12"/>
      <c r="C4329" s="12"/>
      <c r="D4329" s="17" t="str">
        <f t="shared" si="204"/>
        <v/>
      </c>
      <c r="E4329" s="18" t="str">
        <f t="shared" si="202"/>
        <v/>
      </c>
      <c r="F4329" s="17" t="str">
        <f t="shared" si="203"/>
        <v/>
      </c>
    </row>
    <row r="4330" spans="2:6" x14ac:dyDescent="0.2">
      <c r="B4330" s="12"/>
      <c r="C4330" s="12"/>
      <c r="D4330" s="17" t="str">
        <f t="shared" si="204"/>
        <v/>
      </c>
      <c r="E4330" s="18" t="str">
        <f t="shared" si="202"/>
        <v/>
      </c>
      <c r="F4330" s="17" t="str">
        <f t="shared" si="203"/>
        <v/>
      </c>
    </row>
    <row r="4331" spans="2:6" x14ac:dyDescent="0.2">
      <c r="B4331" s="12"/>
      <c r="C4331" s="12"/>
      <c r="D4331" s="17" t="str">
        <f t="shared" si="204"/>
        <v/>
      </c>
      <c r="E4331" s="18" t="str">
        <f t="shared" si="202"/>
        <v/>
      </c>
      <c r="F4331" s="17" t="str">
        <f t="shared" si="203"/>
        <v/>
      </c>
    </row>
    <row r="4332" spans="2:6" x14ac:dyDescent="0.2">
      <c r="B4332" s="12"/>
      <c r="C4332" s="12"/>
      <c r="D4332" s="17" t="str">
        <f t="shared" si="204"/>
        <v/>
      </c>
      <c r="E4332" s="18" t="str">
        <f t="shared" si="202"/>
        <v/>
      </c>
      <c r="F4332" s="17" t="str">
        <f t="shared" si="203"/>
        <v/>
      </c>
    </row>
    <row r="4333" spans="2:6" x14ac:dyDescent="0.2">
      <c r="B4333" s="12"/>
      <c r="C4333" s="12"/>
      <c r="D4333" s="17" t="str">
        <f t="shared" si="204"/>
        <v/>
      </c>
      <c r="E4333" s="18" t="str">
        <f t="shared" si="202"/>
        <v/>
      </c>
      <c r="F4333" s="17" t="str">
        <f t="shared" si="203"/>
        <v/>
      </c>
    </row>
    <row r="4334" spans="2:6" x14ac:dyDescent="0.2">
      <c r="B4334" s="12"/>
      <c r="C4334" s="12"/>
      <c r="D4334" s="17" t="str">
        <f t="shared" si="204"/>
        <v/>
      </c>
      <c r="E4334" s="18" t="str">
        <f t="shared" si="202"/>
        <v/>
      </c>
      <c r="F4334" s="17" t="str">
        <f t="shared" si="203"/>
        <v/>
      </c>
    </row>
    <row r="4335" spans="2:6" x14ac:dyDescent="0.2">
      <c r="B4335" s="12"/>
      <c r="C4335" s="12"/>
      <c r="D4335" s="17" t="str">
        <f t="shared" si="204"/>
        <v/>
      </c>
      <c r="E4335" s="18" t="str">
        <f t="shared" si="202"/>
        <v/>
      </c>
      <c r="F4335" s="17" t="str">
        <f t="shared" si="203"/>
        <v/>
      </c>
    </row>
    <row r="4336" spans="2:6" x14ac:dyDescent="0.2">
      <c r="B4336" s="12"/>
      <c r="C4336" s="12"/>
      <c r="D4336" s="17" t="str">
        <f t="shared" si="204"/>
        <v/>
      </c>
      <c r="E4336" s="18" t="str">
        <f t="shared" si="202"/>
        <v/>
      </c>
      <c r="F4336" s="17" t="str">
        <f t="shared" si="203"/>
        <v/>
      </c>
    </row>
    <row r="4337" spans="2:6" x14ac:dyDescent="0.2">
      <c r="B4337" s="12"/>
      <c r="C4337" s="12"/>
      <c r="D4337" s="17" t="str">
        <f t="shared" si="204"/>
        <v/>
      </c>
      <c r="E4337" s="18" t="str">
        <f t="shared" si="202"/>
        <v/>
      </c>
      <c r="F4337" s="17" t="str">
        <f t="shared" si="203"/>
        <v/>
      </c>
    </row>
    <row r="4338" spans="2:6" x14ac:dyDescent="0.2">
      <c r="B4338" s="12"/>
      <c r="C4338" s="12"/>
      <c r="D4338" s="17" t="str">
        <f t="shared" si="204"/>
        <v/>
      </c>
      <c r="E4338" s="18" t="str">
        <f t="shared" si="202"/>
        <v/>
      </c>
      <c r="F4338" s="17" t="str">
        <f t="shared" si="203"/>
        <v/>
      </c>
    </row>
    <row r="4339" spans="2:6" x14ac:dyDescent="0.2">
      <c r="B4339" s="12"/>
      <c r="C4339" s="12"/>
      <c r="D4339" s="17" t="str">
        <f t="shared" si="204"/>
        <v/>
      </c>
      <c r="E4339" s="18" t="str">
        <f t="shared" si="202"/>
        <v/>
      </c>
      <c r="F4339" s="17" t="str">
        <f t="shared" si="203"/>
        <v/>
      </c>
    </row>
    <row r="4340" spans="2:6" x14ac:dyDescent="0.2">
      <c r="B4340" s="12"/>
      <c r="C4340" s="12"/>
      <c r="D4340" s="17" t="str">
        <f t="shared" si="204"/>
        <v/>
      </c>
      <c r="E4340" s="18" t="str">
        <f t="shared" si="202"/>
        <v/>
      </c>
      <c r="F4340" s="17" t="str">
        <f t="shared" si="203"/>
        <v/>
      </c>
    </row>
    <row r="4341" spans="2:6" x14ac:dyDescent="0.2">
      <c r="B4341" s="12"/>
      <c r="C4341" s="12"/>
      <c r="D4341" s="17" t="str">
        <f t="shared" si="204"/>
        <v/>
      </c>
      <c r="E4341" s="18" t="str">
        <f t="shared" si="202"/>
        <v/>
      </c>
      <c r="F4341" s="17" t="str">
        <f t="shared" si="203"/>
        <v/>
      </c>
    </row>
    <row r="4342" spans="2:6" x14ac:dyDescent="0.2">
      <c r="B4342" s="12"/>
      <c r="C4342" s="12"/>
      <c r="D4342" s="17" t="str">
        <f t="shared" si="204"/>
        <v/>
      </c>
      <c r="E4342" s="18" t="str">
        <f t="shared" si="202"/>
        <v/>
      </c>
      <c r="F4342" s="17" t="str">
        <f t="shared" si="203"/>
        <v/>
      </c>
    </row>
    <row r="4343" spans="2:6" x14ac:dyDescent="0.2">
      <c r="B4343" s="12"/>
      <c r="C4343" s="12"/>
      <c r="D4343" s="17" t="str">
        <f t="shared" si="204"/>
        <v/>
      </c>
      <c r="E4343" s="18" t="str">
        <f t="shared" si="202"/>
        <v/>
      </c>
      <c r="F4343" s="17" t="str">
        <f t="shared" si="203"/>
        <v/>
      </c>
    </row>
    <row r="4344" spans="2:6" x14ac:dyDescent="0.2">
      <c r="B4344" s="12"/>
      <c r="C4344" s="12"/>
      <c r="D4344" s="17" t="str">
        <f t="shared" si="204"/>
        <v/>
      </c>
      <c r="E4344" s="18" t="str">
        <f t="shared" si="202"/>
        <v/>
      </c>
      <c r="F4344" s="17" t="str">
        <f t="shared" si="203"/>
        <v/>
      </c>
    </row>
    <row r="4345" spans="2:6" x14ac:dyDescent="0.2">
      <c r="B4345" s="12"/>
      <c r="C4345" s="12"/>
      <c r="D4345" s="17" t="str">
        <f t="shared" si="204"/>
        <v/>
      </c>
      <c r="E4345" s="18" t="str">
        <f t="shared" si="202"/>
        <v/>
      </c>
      <c r="F4345" s="17" t="str">
        <f t="shared" si="203"/>
        <v/>
      </c>
    </row>
    <row r="4346" spans="2:6" x14ac:dyDescent="0.2">
      <c r="B4346" s="12"/>
      <c r="C4346" s="12"/>
      <c r="D4346" s="17" t="str">
        <f t="shared" si="204"/>
        <v/>
      </c>
      <c r="E4346" s="18" t="str">
        <f t="shared" si="202"/>
        <v/>
      </c>
      <c r="F4346" s="17" t="str">
        <f t="shared" si="203"/>
        <v/>
      </c>
    </row>
    <row r="4347" spans="2:6" x14ac:dyDescent="0.2">
      <c r="B4347" s="12"/>
      <c r="C4347" s="12"/>
      <c r="D4347" s="17" t="str">
        <f t="shared" si="204"/>
        <v/>
      </c>
      <c r="E4347" s="18" t="str">
        <f t="shared" si="202"/>
        <v/>
      </c>
      <c r="F4347" s="17" t="str">
        <f t="shared" si="203"/>
        <v/>
      </c>
    </row>
    <row r="4348" spans="2:6" x14ac:dyDescent="0.2">
      <c r="B4348" s="12"/>
      <c r="C4348" s="12"/>
      <c r="D4348" s="17" t="str">
        <f t="shared" si="204"/>
        <v/>
      </c>
      <c r="E4348" s="18" t="str">
        <f t="shared" si="202"/>
        <v/>
      </c>
      <c r="F4348" s="17" t="str">
        <f t="shared" si="203"/>
        <v/>
      </c>
    </row>
    <row r="4349" spans="2:6" x14ac:dyDescent="0.2">
      <c r="B4349" s="12"/>
      <c r="C4349" s="12"/>
      <c r="D4349" s="17" t="str">
        <f t="shared" si="204"/>
        <v/>
      </c>
      <c r="E4349" s="18" t="str">
        <f t="shared" si="202"/>
        <v/>
      </c>
      <c r="F4349" s="17" t="str">
        <f t="shared" si="203"/>
        <v/>
      </c>
    </row>
    <row r="4350" spans="2:6" x14ac:dyDescent="0.2">
      <c r="B4350" s="12"/>
      <c r="C4350" s="12"/>
      <c r="D4350" s="17" t="str">
        <f t="shared" si="204"/>
        <v/>
      </c>
      <c r="E4350" s="18" t="str">
        <f t="shared" si="202"/>
        <v/>
      </c>
      <c r="F4350" s="17" t="str">
        <f t="shared" si="203"/>
        <v/>
      </c>
    </row>
    <row r="4351" spans="2:6" x14ac:dyDescent="0.2">
      <c r="B4351" s="12"/>
      <c r="C4351" s="12"/>
      <c r="D4351" s="17" t="str">
        <f t="shared" si="204"/>
        <v/>
      </c>
      <c r="E4351" s="18" t="str">
        <f t="shared" si="202"/>
        <v/>
      </c>
      <c r="F4351" s="17" t="str">
        <f t="shared" si="203"/>
        <v/>
      </c>
    </row>
    <row r="4352" spans="2:6" x14ac:dyDescent="0.2">
      <c r="B4352" s="12"/>
      <c r="C4352" s="12"/>
      <c r="D4352" s="17" t="str">
        <f t="shared" si="204"/>
        <v/>
      </c>
      <c r="E4352" s="18" t="str">
        <f t="shared" si="202"/>
        <v/>
      </c>
      <c r="F4352" s="17" t="str">
        <f t="shared" si="203"/>
        <v/>
      </c>
    </row>
    <row r="4353" spans="2:6" x14ac:dyDescent="0.2">
      <c r="B4353" s="12"/>
      <c r="C4353" s="12"/>
      <c r="D4353" s="17" t="str">
        <f t="shared" si="204"/>
        <v/>
      </c>
      <c r="E4353" s="18" t="str">
        <f t="shared" si="202"/>
        <v/>
      </c>
      <c r="F4353" s="17" t="str">
        <f t="shared" si="203"/>
        <v/>
      </c>
    </row>
    <row r="4354" spans="2:6" x14ac:dyDescent="0.2">
      <c r="B4354" s="12"/>
      <c r="C4354" s="12"/>
      <c r="D4354" s="17" t="str">
        <f t="shared" si="204"/>
        <v/>
      </c>
      <c r="E4354" s="18" t="str">
        <f t="shared" si="202"/>
        <v/>
      </c>
      <c r="F4354" s="17" t="str">
        <f t="shared" si="203"/>
        <v/>
      </c>
    </row>
    <row r="4355" spans="2:6" x14ac:dyDescent="0.2">
      <c r="B4355" s="12"/>
      <c r="C4355" s="12"/>
      <c r="D4355" s="17" t="str">
        <f t="shared" si="204"/>
        <v/>
      </c>
      <c r="E4355" s="18" t="str">
        <f t="shared" si="202"/>
        <v/>
      </c>
      <c r="F4355" s="17" t="str">
        <f t="shared" si="203"/>
        <v/>
      </c>
    </row>
    <row r="4356" spans="2:6" x14ac:dyDescent="0.2">
      <c r="B4356" s="12"/>
      <c r="C4356" s="12"/>
      <c r="D4356" s="17" t="str">
        <f t="shared" si="204"/>
        <v/>
      </c>
      <c r="E4356" s="18" t="str">
        <f t="shared" si="202"/>
        <v/>
      </c>
      <c r="F4356" s="17" t="str">
        <f t="shared" si="203"/>
        <v/>
      </c>
    </row>
    <row r="4357" spans="2:6" x14ac:dyDescent="0.2">
      <c r="B4357" s="12"/>
      <c r="C4357" s="12"/>
      <c r="D4357" s="17" t="str">
        <f t="shared" si="204"/>
        <v/>
      </c>
      <c r="E4357" s="18" t="str">
        <f t="shared" ref="E4357:E4420" si="205">IF(B4357="","",ABS(C4357-D4357))</f>
        <v/>
      </c>
      <c r="F4357" s="17" t="str">
        <f t="shared" ref="F4357:F4420" si="206">IF(B4357="","",E4357^2)</f>
        <v/>
      </c>
    </row>
    <row r="4358" spans="2:6" x14ac:dyDescent="0.2">
      <c r="B4358" s="12"/>
      <c r="C4358" s="12"/>
      <c r="D4358" s="17" t="str">
        <f t="shared" si="204"/>
        <v/>
      </c>
      <c r="E4358" s="18" t="str">
        <f t="shared" si="205"/>
        <v/>
      </c>
      <c r="F4358" s="17" t="str">
        <f t="shared" si="206"/>
        <v/>
      </c>
    </row>
    <row r="4359" spans="2:6" x14ac:dyDescent="0.2">
      <c r="B4359" s="12"/>
      <c r="C4359" s="12"/>
      <c r="D4359" s="17" t="str">
        <f t="shared" si="204"/>
        <v/>
      </c>
      <c r="E4359" s="18" t="str">
        <f t="shared" si="205"/>
        <v/>
      </c>
      <c r="F4359" s="17" t="str">
        <f t="shared" si="206"/>
        <v/>
      </c>
    </row>
    <row r="4360" spans="2:6" x14ac:dyDescent="0.2">
      <c r="B4360" s="12"/>
      <c r="C4360" s="12"/>
      <c r="D4360" s="17" t="str">
        <f t="shared" si="204"/>
        <v/>
      </c>
      <c r="E4360" s="18" t="str">
        <f t="shared" si="205"/>
        <v/>
      </c>
      <c r="F4360" s="17" t="str">
        <f t="shared" si="206"/>
        <v/>
      </c>
    </row>
    <row r="4361" spans="2:6" x14ac:dyDescent="0.2">
      <c r="B4361" s="12"/>
      <c r="C4361" s="12"/>
      <c r="D4361" s="17" t="str">
        <f t="shared" si="204"/>
        <v/>
      </c>
      <c r="E4361" s="18" t="str">
        <f t="shared" si="205"/>
        <v/>
      </c>
      <c r="F4361" s="17" t="str">
        <f t="shared" si="206"/>
        <v/>
      </c>
    </row>
    <row r="4362" spans="2:6" x14ac:dyDescent="0.2">
      <c r="B4362" s="12"/>
      <c r="C4362" s="12"/>
      <c r="D4362" s="17" t="str">
        <f t="shared" si="204"/>
        <v/>
      </c>
      <c r="E4362" s="18" t="str">
        <f t="shared" si="205"/>
        <v/>
      </c>
      <c r="F4362" s="17" t="str">
        <f t="shared" si="206"/>
        <v/>
      </c>
    </row>
    <row r="4363" spans="2:6" x14ac:dyDescent="0.2">
      <c r="B4363" s="12"/>
      <c r="C4363" s="12"/>
      <c r="D4363" s="17" t="str">
        <f t="shared" si="204"/>
        <v/>
      </c>
      <c r="E4363" s="18" t="str">
        <f t="shared" si="205"/>
        <v/>
      </c>
      <c r="F4363" s="17" t="str">
        <f t="shared" si="206"/>
        <v/>
      </c>
    </row>
    <row r="4364" spans="2:6" x14ac:dyDescent="0.2">
      <c r="B4364" s="12"/>
      <c r="C4364" s="12"/>
      <c r="D4364" s="17" t="str">
        <f t="shared" si="204"/>
        <v/>
      </c>
      <c r="E4364" s="18" t="str">
        <f t="shared" si="205"/>
        <v/>
      </c>
      <c r="F4364" s="17" t="str">
        <f t="shared" si="206"/>
        <v/>
      </c>
    </row>
    <row r="4365" spans="2:6" x14ac:dyDescent="0.2">
      <c r="B4365" s="12"/>
      <c r="C4365" s="12"/>
      <c r="D4365" s="17" t="str">
        <f t="shared" si="204"/>
        <v/>
      </c>
      <c r="E4365" s="18" t="str">
        <f t="shared" si="205"/>
        <v/>
      </c>
      <c r="F4365" s="17" t="str">
        <f t="shared" si="206"/>
        <v/>
      </c>
    </row>
    <row r="4366" spans="2:6" x14ac:dyDescent="0.2">
      <c r="B4366" s="12"/>
      <c r="C4366" s="12"/>
      <c r="D4366" s="17" t="str">
        <f t="shared" si="204"/>
        <v/>
      </c>
      <c r="E4366" s="18" t="str">
        <f t="shared" si="205"/>
        <v/>
      </c>
      <c r="F4366" s="17" t="str">
        <f t="shared" si="206"/>
        <v/>
      </c>
    </row>
    <row r="4367" spans="2:6" x14ac:dyDescent="0.2">
      <c r="B4367" s="12"/>
      <c r="C4367" s="12"/>
      <c r="D4367" s="17" t="str">
        <f t="shared" si="204"/>
        <v/>
      </c>
      <c r="E4367" s="18" t="str">
        <f t="shared" si="205"/>
        <v/>
      </c>
      <c r="F4367" s="17" t="str">
        <f t="shared" si="206"/>
        <v/>
      </c>
    </row>
    <row r="4368" spans="2:6" x14ac:dyDescent="0.2">
      <c r="B4368" s="12"/>
      <c r="C4368" s="12"/>
      <c r="D4368" s="17" t="str">
        <f t="shared" si="204"/>
        <v/>
      </c>
      <c r="E4368" s="18" t="str">
        <f t="shared" si="205"/>
        <v/>
      </c>
      <c r="F4368" s="17" t="str">
        <f t="shared" si="206"/>
        <v/>
      </c>
    </row>
    <row r="4369" spans="2:6" x14ac:dyDescent="0.2">
      <c r="B4369" s="12"/>
      <c r="C4369" s="12"/>
      <c r="D4369" s="17" t="str">
        <f t="shared" si="204"/>
        <v/>
      </c>
      <c r="E4369" s="18" t="str">
        <f t="shared" si="205"/>
        <v/>
      </c>
      <c r="F4369" s="17" t="str">
        <f t="shared" si="206"/>
        <v/>
      </c>
    </row>
    <row r="4370" spans="2:6" x14ac:dyDescent="0.2">
      <c r="B4370" s="12"/>
      <c r="C4370" s="12"/>
      <c r="D4370" s="17" t="str">
        <f t="shared" ref="D4370:D4433" si="207">IF(B4370="","",a+b*B4370)</f>
        <v/>
      </c>
      <c r="E4370" s="18" t="str">
        <f t="shared" si="205"/>
        <v/>
      </c>
      <c r="F4370" s="17" t="str">
        <f t="shared" si="206"/>
        <v/>
      </c>
    </row>
    <row r="4371" spans="2:6" x14ac:dyDescent="0.2">
      <c r="B4371" s="12"/>
      <c r="C4371" s="12"/>
      <c r="D4371" s="17" t="str">
        <f t="shared" si="207"/>
        <v/>
      </c>
      <c r="E4371" s="18" t="str">
        <f t="shared" si="205"/>
        <v/>
      </c>
      <c r="F4371" s="17" t="str">
        <f t="shared" si="206"/>
        <v/>
      </c>
    </row>
    <row r="4372" spans="2:6" x14ac:dyDescent="0.2">
      <c r="B4372" s="12"/>
      <c r="C4372" s="12"/>
      <c r="D4372" s="17" t="str">
        <f t="shared" si="207"/>
        <v/>
      </c>
      <c r="E4372" s="18" t="str">
        <f t="shared" si="205"/>
        <v/>
      </c>
      <c r="F4372" s="17" t="str">
        <f t="shared" si="206"/>
        <v/>
      </c>
    </row>
    <row r="4373" spans="2:6" x14ac:dyDescent="0.2">
      <c r="B4373" s="12"/>
      <c r="C4373" s="12"/>
      <c r="D4373" s="17" t="str">
        <f t="shared" si="207"/>
        <v/>
      </c>
      <c r="E4373" s="18" t="str">
        <f t="shared" si="205"/>
        <v/>
      </c>
      <c r="F4373" s="17" t="str">
        <f t="shared" si="206"/>
        <v/>
      </c>
    </row>
    <row r="4374" spans="2:6" x14ac:dyDescent="0.2">
      <c r="B4374" s="12"/>
      <c r="C4374" s="12"/>
      <c r="D4374" s="17" t="str">
        <f t="shared" si="207"/>
        <v/>
      </c>
      <c r="E4374" s="18" t="str">
        <f t="shared" si="205"/>
        <v/>
      </c>
      <c r="F4374" s="17" t="str">
        <f t="shared" si="206"/>
        <v/>
      </c>
    </row>
    <row r="4375" spans="2:6" x14ac:dyDescent="0.2">
      <c r="B4375" s="12"/>
      <c r="C4375" s="12"/>
      <c r="D4375" s="17" t="str">
        <f t="shared" si="207"/>
        <v/>
      </c>
      <c r="E4375" s="18" t="str">
        <f t="shared" si="205"/>
        <v/>
      </c>
      <c r="F4375" s="17" t="str">
        <f t="shared" si="206"/>
        <v/>
      </c>
    </row>
    <row r="4376" spans="2:6" x14ac:dyDescent="0.2">
      <c r="B4376" s="12"/>
      <c r="C4376" s="12"/>
      <c r="D4376" s="17" t="str">
        <f t="shared" si="207"/>
        <v/>
      </c>
      <c r="E4376" s="18" t="str">
        <f t="shared" si="205"/>
        <v/>
      </c>
      <c r="F4376" s="17" t="str">
        <f t="shared" si="206"/>
        <v/>
      </c>
    </row>
    <row r="4377" spans="2:6" x14ac:dyDescent="0.2">
      <c r="B4377" s="12"/>
      <c r="C4377" s="12"/>
      <c r="D4377" s="17" t="str">
        <f t="shared" si="207"/>
        <v/>
      </c>
      <c r="E4377" s="18" t="str">
        <f t="shared" si="205"/>
        <v/>
      </c>
      <c r="F4377" s="17" t="str">
        <f t="shared" si="206"/>
        <v/>
      </c>
    </row>
    <row r="4378" spans="2:6" x14ac:dyDescent="0.2">
      <c r="B4378" s="12"/>
      <c r="C4378" s="12"/>
      <c r="D4378" s="17" t="str">
        <f t="shared" si="207"/>
        <v/>
      </c>
      <c r="E4378" s="18" t="str">
        <f t="shared" si="205"/>
        <v/>
      </c>
      <c r="F4378" s="17" t="str">
        <f t="shared" si="206"/>
        <v/>
      </c>
    </row>
    <row r="4379" spans="2:6" x14ac:dyDescent="0.2">
      <c r="B4379" s="12"/>
      <c r="C4379" s="12"/>
      <c r="D4379" s="17" t="str">
        <f t="shared" si="207"/>
        <v/>
      </c>
      <c r="E4379" s="18" t="str">
        <f t="shared" si="205"/>
        <v/>
      </c>
      <c r="F4379" s="17" t="str">
        <f t="shared" si="206"/>
        <v/>
      </c>
    </row>
    <row r="4380" spans="2:6" x14ac:dyDescent="0.2">
      <c r="B4380" s="12"/>
      <c r="C4380" s="12"/>
      <c r="D4380" s="17" t="str">
        <f t="shared" si="207"/>
        <v/>
      </c>
      <c r="E4380" s="18" t="str">
        <f t="shared" si="205"/>
        <v/>
      </c>
      <c r="F4380" s="17" t="str">
        <f t="shared" si="206"/>
        <v/>
      </c>
    </row>
    <row r="4381" spans="2:6" x14ac:dyDescent="0.2">
      <c r="B4381" s="12"/>
      <c r="C4381" s="12"/>
      <c r="D4381" s="17" t="str">
        <f t="shared" si="207"/>
        <v/>
      </c>
      <c r="E4381" s="18" t="str">
        <f t="shared" si="205"/>
        <v/>
      </c>
      <c r="F4381" s="17" t="str">
        <f t="shared" si="206"/>
        <v/>
      </c>
    </row>
    <row r="4382" spans="2:6" x14ac:dyDescent="0.2">
      <c r="B4382" s="12"/>
      <c r="C4382" s="12"/>
      <c r="D4382" s="17" t="str">
        <f t="shared" si="207"/>
        <v/>
      </c>
      <c r="E4382" s="18" t="str">
        <f t="shared" si="205"/>
        <v/>
      </c>
      <c r="F4382" s="17" t="str">
        <f t="shared" si="206"/>
        <v/>
      </c>
    </row>
    <row r="4383" spans="2:6" x14ac:dyDescent="0.2">
      <c r="B4383" s="12"/>
      <c r="C4383" s="12"/>
      <c r="D4383" s="17" t="str">
        <f t="shared" si="207"/>
        <v/>
      </c>
      <c r="E4383" s="18" t="str">
        <f t="shared" si="205"/>
        <v/>
      </c>
      <c r="F4383" s="17" t="str">
        <f t="shared" si="206"/>
        <v/>
      </c>
    </row>
    <row r="4384" spans="2:6" x14ac:dyDescent="0.2">
      <c r="B4384" s="12"/>
      <c r="C4384" s="12"/>
      <c r="D4384" s="17" t="str">
        <f t="shared" si="207"/>
        <v/>
      </c>
      <c r="E4384" s="18" t="str">
        <f t="shared" si="205"/>
        <v/>
      </c>
      <c r="F4384" s="17" t="str">
        <f t="shared" si="206"/>
        <v/>
      </c>
    </row>
    <row r="4385" spans="2:6" x14ac:dyDescent="0.2">
      <c r="B4385" s="12"/>
      <c r="C4385" s="12"/>
      <c r="D4385" s="17" t="str">
        <f t="shared" si="207"/>
        <v/>
      </c>
      <c r="E4385" s="18" t="str">
        <f t="shared" si="205"/>
        <v/>
      </c>
      <c r="F4385" s="17" t="str">
        <f t="shared" si="206"/>
        <v/>
      </c>
    </row>
    <row r="4386" spans="2:6" x14ac:dyDescent="0.2">
      <c r="B4386" s="12"/>
      <c r="C4386" s="12"/>
      <c r="D4386" s="17" t="str">
        <f t="shared" si="207"/>
        <v/>
      </c>
      <c r="E4386" s="18" t="str">
        <f t="shared" si="205"/>
        <v/>
      </c>
      <c r="F4386" s="17" t="str">
        <f t="shared" si="206"/>
        <v/>
      </c>
    </row>
    <row r="4387" spans="2:6" x14ac:dyDescent="0.2">
      <c r="B4387" s="12"/>
      <c r="C4387" s="12"/>
      <c r="D4387" s="17" t="str">
        <f t="shared" si="207"/>
        <v/>
      </c>
      <c r="E4387" s="18" t="str">
        <f t="shared" si="205"/>
        <v/>
      </c>
      <c r="F4387" s="17" t="str">
        <f t="shared" si="206"/>
        <v/>
      </c>
    </row>
    <row r="4388" spans="2:6" x14ac:dyDescent="0.2">
      <c r="B4388" s="12"/>
      <c r="C4388" s="12"/>
      <c r="D4388" s="17" t="str">
        <f t="shared" si="207"/>
        <v/>
      </c>
      <c r="E4388" s="18" t="str">
        <f t="shared" si="205"/>
        <v/>
      </c>
      <c r="F4388" s="17" t="str">
        <f t="shared" si="206"/>
        <v/>
      </c>
    </row>
    <row r="4389" spans="2:6" x14ac:dyDescent="0.2">
      <c r="B4389" s="12"/>
      <c r="C4389" s="12"/>
      <c r="D4389" s="17" t="str">
        <f t="shared" si="207"/>
        <v/>
      </c>
      <c r="E4389" s="18" t="str">
        <f t="shared" si="205"/>
        <v/>
      </c>
      <c r="F4389" s="17" t="str">
        <f t="shared" si="206"/>
        <v/>
      </c>
    </row>
    <row r="4390" spans="2:6" x14ac:dyDescent="0.2">
      <c r="B4390" s="12"/>
      <c r="C4390" s="12"/>
      <c r="D4390" s="17" t="str">
        <f t="shared" si="207"/>
        <v/>
      </c>
      <c r="E4390" s="18" t="str">
        <f t="shared" si="205"/>
        <v/>
      </c>
      <c r="F4390" s="17" t="str">
        <f t="shared" si="206"/>
        <v/>
      </c>
    </row>
    <row r="4391" spans="2:6" x14ac:dyDescent="0.2">
      <c r="B4391" s="12"/>
      <c r="C4391" s="12"/>
      <c r="D4391" s="17" t="str">
        <f t="shared" si="207"/>
        <v/>
      </c>
      <c r="E4391" s="18" t="str">
        <f t="shared" si="205"/>
        <v/>
      </c>
      <c r="F4391" s="17" t="str">
        <f t="shared" si="206"/>
        <v/>
      </c>
    </row>
    <row r="4392" spans="2:6" x14ac:dyDescent="0.2">
      <c r="B4392" s="12"/>
      <c r="C4392" s="12"/>
      <c r="D4392" s="17" t="str">
        <f t="shared" si="207"/>
        <v/>
      </c>
      <c r="E4392" s="18" t="str">
        <f t="shared" si="205"/>
        <v/>
      </c>
      <c r="F4392" s="17" t="str">
        <f t="shared" si="206"/>
        <v/>
      </c>
    </row>
    <row r="4393" spans="2:6" x14ac:dyDescent="0.2">
      <c r="B4393" s="12"/>
      <c r="C4393" s="12"/>
      <c r="D4393" s="17" t="str">
        <f t="shared" si="207"/>
        <v/>
      </c>
      <c r="E4393" s="18" t="str">
        <f t="shared" si="205"/>
        <v/>
      </c>
      <c r="F4393" s="17" t="str">
        <f t="shared" si="206"/>
        <v/>
      </c>
    </row>
    <row r="4394" spans="2:6" x14ac:dyDescent="0.2">
      <c r="B4394" s="12"/>
      <c r="C4394" s="12"/>
      <c r="D4394" s="17" t="str">
        <f t="shared" si="207"/>
        <v/>
      </c>
      <c r="E4394" s="18" t="str">
        <f t="shared" si="205"/>
        <v/>
      </c>
      <c r="F4394" s="17" t="str">
        <f t="shared" si="206"/>
        <v/>
      </c>
    </row>
    <row r="4395" spans="2:6" x14ac:dyDescent="0.2">
      <c r="B4395" s="12"/>
      <c r="C4395" s="12"/>
      <c r="D4395" s="17" t="str">
        <f t="shared" si="207"/>
        <v/>
      </c>
      <c r="E4395" s="18" t="str">
        <f t="shared" si="205"/>
        <v/>
      </c>
      <c r="F4395" s="17" t="str">
        <f t="shared" si="206"/>
        <v/>
      </c>
    </row>
    <row r="4396" spans="2:6" x14ac:dyDescent="0.2">
      <c r="B4396" s="12"/>
      <c r="C4396" s="12"/>
      <c r="D4396" s="17" t="str">
        <f t="shared" si="207"/>
        <v/>
      </c>
      <c r="E4396" s="18" t="str">
        <f t="shared" si="205"/>
        <v/>
      </c>
      <c r="F4396" s="17" t="str">
        <f t="shared" si="206"/>
        <v/>
      </c>
    </row>
    <row r="4397" spans="2:6" x14ac:dyDescent="0.2">
      <c r="B4397" s="12"/>
      <c r="C4397" s="12"/>
      <c r="D4397" s="17" t="str">
        <f t="shared" si="207"/>
        <v/>
      </c>
      <c r="E4397" s="18" t="str">
        <f t="shared" si="205"/>
        <v/>
      </c>
      <c r="F4397" s="17" t="str">
        <f t="shared" si="206"/>
        <v/>
      </c>
    </row>
    <row r="4398" spans="2:6" x14ac:dyDescent="0.2">
      <c r="B4398" s="12"/>
      <c r="C4398" s="12"/>
      <c r="D4398" s="17" t="str">
        <f t="shared" si="207"/>
        <v/>
      </c>
      <c r="E4398" s="18" t="str">
        <f t="shared" si="205"/>
        <v/>
      </c>
      <c r="F4398" s="17" t="str">
        <f t="shared" si="206"/>
        <v/>
      </c>
    </row>
    <row r="4399" spans="2:6" x14ac:dyDescent="0.2">
      <c r="B4399" s="12"/>
      <c r="C4399" s="12"/>
      <c r="D4399" s="17" t="str">
        <f t="shared" si="207"/>
        <v/>
      </c>
      <c r="E4399" s="18" t="str">
        <f t="shared" si="205"/>
        <v/>
      </c>
      <c r="F4399" s="17" t="str">
        <f t="shared" si="206"/>
        <v/>
      </c>
    </row>
    <row r="4400" spans="2:6" x14ac:dyDescent="0.2">
      <c r="B4400" s="12"/>
      <c r="C4400" s="12"/>
      <c r="D4400" s="17" t="str">
        <f t="shared" si="207"/>
        <v/>
      </c>
      <c r="E4400" s="18" t="str">
        <f t="shared" si="205"/>
        <v/>
      </c>
      <c r="F4400" s="17" t="str">
        <f t="shared" si="206"/>
        <v/>
      </c>
    </row>
    <row r="4401" spans="2:6" x14ac:dyDescent="0.2">
      <c r="B4401" s="12"/>
      <c r="C4401" s="12"/>
      <c r="D4401" s="17" t="str">
        <f t="shared" si="207"/>
        <v/>
      </c>
      <c r="E4401" s="18" t="str">
        <f t="shared" si="205"/>
        <v/>
      </c>
      <c r="F4401" s="17" t="str">
        <f t="shared" si="206"/>
        <v/>
      </c>
    </row>
    <row r="4402" spans="2:6" x14ac:dyDescent="0.2">
      <c r="B4402" s="12"/>
      <c r="C4402" s="12"/>
      <c r="D4402" s="17" t="str">
        <f t="shared" si="207"/>
        <v/>
      </c>
      <c r="E4402" s="18" t="str">
        <f t="shared" si="205"/>
        <v/>
      </c>
      <c r="F4402" s="17" t="str">
        <f t="shared" si="206"/>
        <v/>
      </c>
    </row>
    <row r="4403" spans="2:6" x14ac:dyDescent="0.2">
      <c r="B4403" s="12"/>
      <c r="C4403" s="12"/>
      <c r="D4403" s="17" t="str">
        <f t="shared" si="207"/>
        <v/>
      </c>
      <c r="E4403" s="18" t="str">
        <f t="shared" si="205"/>
        <v/>
      </c>
      <c r="F4403" s="17" t="str">
        <f t="shared" si="206"/>
        <v/>
      </c>
    </row>
    <row r="4404" spans="2:6" x14ac:dyDescent="0.2">
      <c r="B4404" s="12"/>
      <c r="C4404" s="12"/>
      <c r="D4404" s="17" t="str">
        <f t="shared" si="207"/>
        <v/>
      </c>
      <c r="E4404" s="18" t="str">
        <f t="shared" si="205"/>
        <v/>
      </c>
      <c r="F4404" s="17" t="str">
        <f t="shared" si="206"/>
        <v/>
      </c>
    </row>
    <row r="4405" spans="2:6" x14ac:dyDescent="0.2">
      <c r="B4405" s="12"/>
      <c r="C4405" s="12"/>
      <c r="D4405" s="17" t="str">
        <f t="shared" si="207"/>
        <v/>
      </c>
      <c r="E4405" s="18" t="str">
        <f t="shared" si="205"/>
        <v/>
      </c>
      <c r="F4405" s="17" t="str">
        <f t="shared" si="206"/>
        <v/>
      </c>
    </row>
    <row r="4406" spans="2:6" x14ac:dyDescent="0.2">
      <c r="B4406" s="12"/>
      <c r="C4406" s="12"/>
      <c r="D4406" s="17" t="str">
        <f t="shared" si="207"/>
        <v/>
      </c>
      <c r="E4406" s="18" t="str">
        <f t="shared" si="205"/>
        <v/>
      </c>
      <c r="F4406" s="17" t="str">
        <f t="shared" si="206"/>
        <v/>
      </c>
    </row>
    <row r="4407" spans="2:6" x14ac:dyDescent="0.2">
      <c r="B4407" s="12"/>
      <c r="C4407" s="12"/>
      <c r="D4407" s="17" t="str">
        <f t="shared" si="207"/>
        <v/>
      </c>
      <c r="E4407" s="18" t="str">
        <f t="shared" si="205"/>
        <v/>
      </c>
      <c r="F4407" s="17" t="str">
        <f t="shared" si="206"/>
        <v/>
      </c>
    </row>
    <row r="4408" spans="2:6" x14ac:dyDescent="0.2">
      <c r="B4408" s="12"/>
      <c r="C4408" s="12"/>
      <c r="D4408" s="17" t="str">
        <f t="shared" si="207"/>
        <v/>
      </c>
      <c r="E4408" s="18" t="str">
        <f t="shared" si="205"/>
        <v/>
      </c>
      <c r="F4408" s="17" t="str">
        <f t="shared" si="206"/>
        <v/>
      </c>
    </row>
    <row r="4409" spans="2:6" x14ac:dyDescent="0.2">
      <c r="B4409" s="12"/>
      <c r="C4409" s="12"/>
      <c r="D4409" s="17" t="str">
        <f t="shared" si="207"/>
        <v/>
      </c>
      <c r="E4409" s="18" t="str">
        <f t="shared" si="205"/>
        <v/>
      </c>
      <c r="F4409" s="17" t="str">
        <f t="shared" si="206"/>
        <v/>
      </c>
    </row>
    <row r="4410" spans="2:6" x14ac:dyDescent="0.2">
      <c r="B4410" s="12"/>
      <c r="C4410" s="12"/>
      <c r="D4410" s="17" t="str">
        <f t="shared" si="207"/>
        <v/>
      </c>
      <c r="E4410" s="18" t="str">
        <f t="shared" si="205"/>
        <v/>
      </c>
      <c r="F4410" s="17" t="str">
        <f t="shared" si="206"/>
        <v/>
      </c>
    </row>
    <row r="4411" spans="2:6" x14ac:dyDescent="0.2">
      <c r="B4411" s="12"/>
      <c r="C4411" s="12"/>
      <c r="D4411" s="17" t="str">
        <f t="shared" si="207"/>
        <v/>
      </c>
      <c r="E4411" s="18" t="str">
        <f t="shared" si="205"/>
        <v/>
      </c>
      <c r="F4411" s="17" t="str">
        <f t="shared" si="206"/>
        <v/>
      </c>
    </row>
    <row r="4412" spans="2:6" x14ac:dyDescent="0.2">
      <c r="B4412" s="12"/>
      <c r="C4412" s="12"/>
      <c r="D4412" s="17" t="str">
        <f t="shared" si="207"/>
        <v/>
      </c>
      <c r="E4412" s="18" t="str">
        <f t="shared" si="205"/>
        <v/>
      </c>
      <c r="F4412" s="17" t="str">
        <f t="shared" si="206"/>
        <v/>
      </c>
    </row>
    <row r="4413" spans="2:6" x14ac:dyDescent="0.2">
      <c r="B4413" s="12"/>
      <c r="C4413" s="12"/>
      <c r="D4413" s="17" t="str">
        <f t="shared" si="207"/>
        <v/>
      </c>
      <c r="E4413" s="18" t="str">
        <f t="shared" si="205"/>
        <v/>
      </c>
      <c r="F4413" s="17" t="str">
        <f t="shared" si="206"/>
        <v/>
      </c>
    </row>
    <row r="4414" spans="2:6" x14ac:dyDescent="0.2">
      <c r="B4414" s="12"/>
      <c r="C4414" s="12"/>
      <c r="D4414" s="17" t="str">
        <f t="shared" si="207"/>
        <v/>
      </c>
      <c r="E4414" s="18" t="str">
        <f t="shared" si="205"/>
        <v/>
      </c>
      <c r="F4414" s="17" t="str">
        <f t="shared" si="206"/>
        <v/>
      </c>
    </row>
    <row r="4415" spans="2:6" x14ac:dyDescent="0.2">
      <c r="B4415" s="12"/>
      <c r="C4415" s="12"/>
      <c r="D4415" s="17" t="str">
        <f t="shared" si="207"/>
        <v/>
      </c>
      <c r="E4415" s="18" t="str">
        <f t="shared" si="205"/>
        <v/>
      </c>
      <c r="F4415" s="17" t="str">
        <f t="shared" si="206"/>
        <v/>
      </c>
    </row>
    <row r="4416" spans="2:6" x14ac:dyDescent="0.2">
      <c r="B4416" s="12"/>
      <c r="C4416" s="12"/>
      <c r="D4416" s="17" t="str">
        <f t="shared" si="207"/>
        <v/>
      </c>
      <c r="E4416" s="18" t="str">
        <f t="shared" si="205"/>
        <v/>
      </c>
      <c r="F4416" s="17" t="str">
        <f t="shared" si="206"/>
        <v/>
      </c>
    </row>
    <row r="4417" spans="2:6" x14ac:dyDescent="0.2">
      <c r="B4417" s="12"/>
      <c r="C4417" s="12"/>
      <c r="D4417" s="17" t="str">
        <f t="shared" si="207"/>
        <v/>
      </c>
      <c r="E4417" s="18" t="str">
        <f t="shared" si="205"/>
        <v/>
      </c>
      <c r="F4417" s="17" t="str">
        <f t="shared" si="206"/>
        <v/>
      </c>
    </row>
    <row r="4418" spans="2:6" x14ac:dyDescent="0.2">
      <c r="B4418" s="12"/>
      <c r="C4418" s="12"/>
      <c r="D4418" s="17" t="str">
        <f t="shared" si="207"/>
        <v/>
      </c>
      <c r="E4418" s="18" t="str">
        <f t="shared" si="205"/>
        <v/>
      </c>
      <c r="F4418" s="17" t="str">
        <f t="shared" si="206"/>
        <v/>
      </c>
    </row>
    <row r="4419" spans="2:6" x14ac:dyDescent="0.2">
      <c r="B4419" s="12"/>
      <c r="C4419" s="12"/>
      <c r="D4419" s="17" t="str">
        <f t="shared" si="207"/>
        <v/>
      </c>
      <c r="E4419" s="18" t="str">
        <f t="shared" si="205"/>
        <v/>
      </c>
      <c r="F4419" s="17" t="str">
        <f t="shared" si="206"/>
        <v/>
      </c>
    </row>
    <row r="4420" spans="2:6" x14ac:dyDescent="0.2">
      <c r="B4420" s="12"/>
      <c r="C4420" s="12"/>
      <c r="D4420" s="17" t="str">
        <f t="shared" si="207"/>
        <v/>
      </c>
      <c r="E4420" s="18" t="str">
        <f t="shared" si="205"/>
        <v/>
      </c>
      <c r="F4420" s="17" t="str">
        <f t="shared" si="206"/>
        <v/>
      </c>
    </row>
    <row r="4421" spans="2:6" x14ac:dyDescent="0.2">
      <c r="B4421" s="12"/>
      <c r="C4421" s="12"/>
      <c r="D4421" s="17" t="str">
        <f t="shared" si="207"/>
        <v/>
      </c>
      <c r="E4421" s="18" t="str">
        <f t="shared" ref="E4421:E4484" si="208">IF(B4421="","",ABS(C4421-D4421))</f>
        <v/>
      </c>
      <c r="F4421" s="17" t="str">
        <f t="shared" ref="F4421:F4484" si="209">IF(B4421="","",E4421^2)</f>
        <v/>
      </c>
    </row>
    <row r="4422" spans="2:6" x14ac:dyDescent="0.2">
      <c r="B4422" s="12"/>
      <c r="C4422" s="12"/>
      <c r="D4422" s="17" t="str">
        <f t="shared" si="207"/>
        <v/>
      </c>
      <c r="E4422" s="18" t="str">
        <f t="shared" si="208"/>
        <v/>
      </c>
      <c r="F4422" s="17" t="str">
        <f t="shared" si="209"/>
        <v/>
      </c>
    </row>
    <row r="4423" spans="2:6" x14ac:dyDescent="0.2">
      <c r="B4423" s="12"/>
      <c r="C4423" s="12"/>
      <c r="D4423" s="17" t="str">
        <f t="shared" si="207"/>
        <v/>
      </c>
      <c r="E4423" s="18" t="str">
        <f t="shared" si="208"/>
        <v/>
      </c>
      <c r="F4423" s="17" t="str">
        <f t="shared" si="209"/>
        <v/>
      </c>
    </row>
    <row r="4424" spans="2:6" x14ac:dyDescent="0.2">
      <c r="B4424" s="12"/>
      <c r="C4424" s="12"/>
      <c r="D4424" s="17" t="str">
        <f t="shared" si="207"/>
        <v/>
      </c>
      <c r="E4424" s="18" t="str">
        <f t="shared" si="208"/>
        <v/>
      </c>
      <c r="F4424" s="17" t="str">
        <f t="shared" si="209"/>
        <v/>
      </c>
    </row>
    <row r="4425" spans="2:6" x14ac:dyDescent="0.2">
      <c r="B4425" s="12"/>
      <c r="C4425" s="12"/>
      <c r="D4425" s="17" t="str">
        <f t="shared" si="207"/>
        <v/>
      </c>
      <c r="E4425" s="18" t="str">
        <f t="shared" si="208"/>
        <v/>
      </c>
      <c r="F4425" s="17" t="str">
        <f t="shared" si="209"/>
        <v/>
      </c>
    </row>
    <row r="4426" spans="2:6" x14ac:dyDescent="0.2">
      <c r="B4426" s="12"/>
      <c r="C4426" s="12"/>
      <c r="D4426" s="17" t="str">
        <f t="shared" si="207"/>
        <v/>
      </c>
      <c r="E4426" s="18" t="str">
        <f t="shared" si="208"/>
        <v/>
      </c>
      <c r="F4426" s="17" t="str">
        <f t="shared" si="209"/>
        <v/>
      </c>
    </row>
    <row r="4427" spans="2:6" x14ac:dyDescent="0.2">
      <c r="B4427" s="12"/>
      <c r="C4427" s="12"/>
      <c r="D4427" s="17" t="str">
        <f t="shared" si="207"/>
        <v/>
      </c>
      <c r="E4427" s="18" t="str">
        <f t="shared" si="208"/>
        <v/>
      </c>
      <c r="F4427" s="17" t="str">
        <f t="shared" si="209"/>
        <v/>
      </c>
    </row>
    <row r="4428" spans="2:6" x14ac:dyDescent="0.2">
      <c r="B4428" s="12"/>
      <c r="C4428" s="12"/>
      <c r="D4428" s="17" t="str">
        <f t="shared" si="207"/>
        <v/>
      </c>
      <c r="E4428" s="18" t="str">
        <f t="shared" si="208"/>
        <v/>
      </c>
      <c r="F4428" s="17" t="str">
        <f t="shared" si="209"/>
        <v/>
      </c>
    </row>
    <row r="4429" spans="2:6" x14ac:dyDescent="0.2">
      <c r="B4429" s="12"/>
      <c r="C4429" s="12"/>
      <c r="D4429" s="17" t="str">
        <f t="shared" si="207"/>
        <v/>
      </c>
      <c r="E4429" s="18" t="str">
        <f t="shared" si="208"/>
        <v/>
      </c>
      <c r="F4429" s="17" t="str">
        <f t="shared" si="209"/>
        <v/>
      </c>
    </row>
    <row r="4430" spans="2:6" x14ac:dyDescent="0.2">
      <c r="B4430" s="12"/>
      <c r="C4430" s="12"/>
      <c r="D4430" s="17" t="str">
        <f t="shared" si="207"/>
        <v/>
      </c>
      <c r="E4430" s="18" t="str">
        <f t="shared" si="208"/>
        <v/>
      </c>
      <c r="F4430" s="17" t="str">
        <f t="shared" si="209"/>
        <v/>
      </c>
    </row>
    <row r="4431" spans="2:6" x14ac:dyDescent="0.2">
      <c r="B4431" s="12"/>
      <c r="C4431" s="12"/>
      <c r="D4431" s="17" t="str">
        <f t="shared" si="207"/>
        <v/>
      </c>
      <c r="E4431" s="18" t="str">
        <f t="shared" si="208"/>
        <v/>
      </c>
      <c r="F4431" s="17" t="str">
        <f t="shared" si="209"/>
        <v/>
      </c>
    </row>
    <row r="4432" spans="2:6" x14ac:dyDescent="0.2">
      <c r="B4432" s="12"/>
      <c r="C4432" s="12"/>
      <c r="D4432" s="17" t="str">
        <f t="shared" si="207"/>
        <v/>
      </c>
      <c r="E4432" s="18" t="str">
        <f t="shared" si="208"/>
        <v/>
      </c>
      <c r="F4432" s="17" t="str">
        <f t="shared" si="209"/>
        <v/>
      </c>
    </row>
    <row r="4433" spans="2:6" x14ac:dyDescent="0.2">
      <c r="B4433" s="12"/>
      <c r="C4433" s="12"/>
      <c r="D4433" s="17" t="str">
        <f t="shared" si="207"/>
        <v/>
      </c>
      <c r="E4433" s="18" t="str">
        <f t="shared" si="208"/>
        <v/>
      </c>
      <c r="F4433" s="17" t="str">
        <f t="shared" si="209"/>
        <v/>
      </c>
    </row>
    <row r="4434" spans="2:6" x14ac:dyDescent="0.2">
      <c r="B4434" s="12"/>
      <c r="C4434" s="12"/>
      <c r="D4434" s="17" t="str">
        <f t="shared" ref="D4434:D4497" si="210">IF(B4434="","",a+b*B4434)</f>
        <v/>
      </c>
      <c r="E4434" s="18" t="str">
        <f t="shared" si="208"/>
        <v/>
      </c>
      <c r="F4434" s="17" t="str">
        <f t="shared" si="209"/>
        <v/>
      </c>
    </row>
    <row r="4435" spans="2:6" x14ac:dyDescent="0.2">
      <c r="B4435" s="12"/>
      <c r="C4435" s="12"/>
      <c r="D4435" s="17" t="str">
        <f t="shared" si="210"/>
        <v/>
      </c>
      <c r="E4435" s="18" t="str">
        <f t="shared" si="208"/>
        <v/>
      </c>
      <c r="F4435" s="17" t="str">
        <f t="shared" si="209"/>
        <v/>
      </c>
    </row>
    <row r="4436" spans="2:6" x14ac:dyDescent="0.2">
      <c r="B4436" s="12"/>
      <c r="C4436" s="12"/>
      <c r="D4436" s="17" t="str">
        <f t="shared" si="210"/>
        <v/>
      </c>
      <c r="E4436" s="18" t="str">
        <f t="shared" si="208"/>
        <v/>
      </c>
      <c r="F4436" s="17" t="str">
        <f t="shared" si="209"/>
        <v/>
      </c>
    </row>
    <row r="4437" spans="2:6" x14ac:dyDescent="0.2">
      <c r="B4437" s="12"/>
      <c r="C4437" s="12"/>
      <c r="D4437" s="17" t="str">
        <f t="shared" si="210"/>
        <v/>
      </c>
      <c r="E4437" s="18" t="str">
        <f t="shared" si="208"/>
        <v/>
      </c>
      <c r="F4437" s="17" t="str">
        <f t="shared" si="209"/>
        <v/>
      </c>
    </row>
    <row r="4438" spans="2:6" x14ac:dyDescent="0.2">
      <c r="B4438" s="12"/>
      <c r="C4438" s="12"/>
      <c r="D4438" s="17" t="str">
        <f t="shared" si="210"/>
        <v/>
      </c>
      <c r="E4438" s="18" t="str">
        <f t="shared" si="208"/>
        <v/>
      </c>
      <c r="F4438" s="17" t="str">
        <f t="shared" si="209"/>
        <v/>
      </c>
    </row>
    <row r="4439" spans="2:6" x14ac:dyDescent="0.2">
      <c r="B4439" s="12"/>
      <c r="C4439" s="12"/>
      <c r="D4439" s="17" t="str">
        <f t="shared" si="210"/>
        <v/>
      </c>
      <c r="E4439" s="18" t="str">
        <f t="shared" si="208"/>
        <v/>
      </c>
      <c r="F4439" s="17" t="str">
        <f t="shared" si="209"/>
        <v/>
      </c>
    </row>
    <row r="4440" spans="2:6" x14ac:dyDescent="0.2">
      <c r="B4440" s="12"/>
      <c r="C4440" s="12"/>
      <c r="D4440" s="17" t="str">
        <f t="shared" si="210"/>
        <v/>
      </c>
      <c r="E4440" s="18" t="str">
        <f t="shared" si="208"/>
        <v/>
      </c>
      <c r="F4440" s="17" t="str">
        <f t="shared" si="209"/>
        <v/>
      </c>
    </row>
    <row r="4441" spans="2:6" x14ac:dyDescent="0.2">
      <c r="B4441" s="12"/>
      <c r="C4441" s="12"/>
      <c r="D4441" s="17" t="str">
        <f t="shared" si="210"/>
        <v/>
      </c>
      <c r="E4441" s="18" t="str">
        <f t="shared" si="208"/>
        <v/>
      </c>
      <c r="F4441" s="17" t="str">
        <f t="shared" si="209"/>
        <v/>
      </c>
    </row>
    <row r="4442" spans="2:6" x14ac:dyDescent="0.2">
      <c r="B4442" s="12"/>
      <c r="C4442" s="12"/>
      <c r="D4442" s="17" t="str">
        <f t="shared" si="210"/>
        <v/>
      </c>
      <c r="E4442" s="18" t="str">
        <f t="shared" si="208"/>
        <v/>
      </c>
      <c r="F4442" s="17" t="str">
        <f t="shared" si="209"/>
        <v/>
      </c>
    </row>
    <row r="4443" spans="2:6" x14ac:dyDescent="0.2">
      <c r="B4443" s="12"/>
      <c r="C4443" s="12"/>
      <c r="D4443" s="17" t="str">
        <f t="shared" si="210"/>
        <v/>
      </c>
      <c r="E4443" s="18" t="str">
        <f t="shared" si="208"/>
        <v/>
      </c>
      <c r="F4443" s="17" t="str">
        <f t="shared" si="209"/>
        <v/>
      </c>
    </row>
    <row r="4444" spans="2:6" x14ac:dyDescent="0.2">
      <c r="B4444" s="12"/>
      <c r="C4444" s="12"/>
      <c r="D4444" s="17" t="str">
        <f t="shared" si="210"/>
        <v/>
      </c>
      <c r="E4444" s="18" t="str">
        <f t="shared" si="208"/>
        <v/>
      </c>
      <c r="F4444" s="17" t="str">
        <f t="shared" si="209"/>
        <v/>
      </c>
    </row>
    <row r="4445" spans="2:6" x14ac:dyDescent="0.2">
      <c r="B4445" s="12"/>
      <c r="C4445" s="12"/>
      <c r="D4445" s="17" t="str">
        <f t="shared" si="210"/>
        <v/>
      </c>
      <c r="E4445" s="18" t="str">
        <f t="shared" si="208"/>
        <v/>
      </c>
      <c r="F4445" s="17" t="str">
        <f t="shared" si="209"/>
        <v/>
      </c>
    </row>
    <row r="4446" spans="2:6" x14ac:dyDescent="0.2">
      <c r="B4446" s="12"/>
      <c r="C4446" s="12"/>
      <c r="D4446" s="17" t="str">
        <f t="shared" si="210"/>
        <v/>
      </c>
      <c r="E4446" s="18" t="str">
        <f t="shared" si="208"/>
        <v/>
      </c>
      <c r="F4446" s="17" t="str">
        <f t="shared" si="209"/>
        <v/>
      </c>
    </row>
    <row r="4447" spans="2:6" x14ac:dyDescent="0.2">
      <c r="B4447" s="12"/>
      <c r="C4447" s="12"/>
      <c r="D4447" s="17" t="str">
        <f t="shared" si="210"/>
        <v/>
      </c>
      <c r="E4447" s="18" t="str">
        <f t="shared" si="208"/>
        <v/>
      </c>
      <c r="F4447" s="17" t="str">
        <f t="shared" si="209"/>
        <v/>
      </c>
    </row>
    <row r="4448" spans="2:6" x14ac:dyDescent="0.2">
      <c r="B4448" s="12"/>
      <c r="C4448" s="12"/>
      <c r="D4448" s="17" t="str">
        <f t="shared" si="210"/>
        <v/>
      </c>
      <c r="E4448" s="18" t="str">
        <f t="shared" si="208"/>
        <v/>
      </c>
      <c r="F4448" s="17" t="str">
        <f t="shared" si="209"/>
        <v/>
      </c>
    </row>
    <row r="4449" spans="2:6" x14ac:dyDescent="0.2">
      <c r="B4449" s="12"/>
      <c r="C4449" s="12"/>
      <c r="D4449" s="17" t="str">
        <f t="shared" si="210"/>
        <v/>
      </c>
      <c r="E4449" s="18" t="str">
        <f t="shared" si="208"/>
        <v/>
      </c>
      <c r="F4449" s="17" t="str">
        <f t="shared" si="209"/>
        <v/>
      </c>
    </row>
    <row r="4450" spans="2:6" x14ac:dyDescent="0.2">
      <c r="B4450" s="12"/>
      <c r="C4450" s="12"/>
      <c r="D4450" s="17" t="str">
        <f t="shared" si="210"/>
        <v/>
      </c>
      <c r="E4450" s="18" t="str">
        <f t="shared" si="208"/>
        <v/>
      </c>
      <c r="F4450" s="17" t="str">
        <f t="shared" si="209"/>
        <v/>
      </c>
    </row>
    <row r="4451" spans="2:6" x14ac:dyDescent="0.2">
      <c r="B4451" s="12"/>
      <c r="C4451" s="12"/>
      <c r="D4451" s="17" t="str">
        <f t="shared" si="210"/>
        <v/>
      </c>
      <c r="E4451" s="18" t="str">
        <f t="shared" si="208"/>
        <v/>
      </c>
      <c r="F4451" s="17" t="str">
        <f t="shared" si="209"/>
        <v/>
      </c>
    </row>
    <row r="4452" spans="2:6" x14ac:dyDescent="0.2">
      <c r="B4452" s="12"/>
      <c r="C4452" s="12"/>
      <c r="D4452" s="17" t="str">
        <f t="shared" si="210"/>
        <v/>
      </c>
      <c r="E4452" s="18" t="str">
        <f t="shared" si="208"/>
        <v/>
      </c>
      <c r="F4452" s="17" t="str">
        <f t="shared" si="209"/>
        <v/>
      </c>
    </row>
    <row r="4453" spans="2:6" x14ac:dyDescent="0.2">
      <c r="B4453" s="12"/>
      <c r="C4453" s="12"/>
      <c r="D4453" s="17" t="str">
        <f t="shared" si="210"/>
        <v/>
      </c>
      <c r="E4453" s="18" t="str">
        <f t="shared" si="208"/>
        <v/>
      </c>
      <c r="F4453" s="17" t="str">
        <f t="shared" si="209"/>
        <v/>
      </c>
    </row>
    <row r="4454" spans="2:6" x14ac:dyDescent="0.2">
      <c r="B4454" s="12"/>
      <c r="C4454" s="12"/>
      <c r="D4454" s="17" t="str">
        <f t="shared" si="210"/>
        <v/>
      </c>
      <c r="E4454" s="18" t="str">
        <f t="shared" si="208"/>
        <v/>
      </c>
      <c r="F4454" s="17" t="str">
        <f t="shared" si="209"/>
        <v/>
      </c>
    </row>
    <row r="4455" spans="2:6" x14ac:dyDescent="0.2">
      <c r="B4455" s="12"/>
      <c r="C4455" s="12"/>
      <c r="D4455" s="17" t="str">
        <f t="shared" si="210"/>
        <v/>
      </c>
      <c r="E4455" s="18" t="str">
        <f t="shared" si="208"/>
        <v/>
      </c>
      <c r="F4455" s="17" t="str">
        <f t="shared" si="209"/>
        <v/>
      </c>
    </row>
    <row r="4456" spans="2:6" x14ac:dyDescent="0.2">
      <c r="B4456" s="12"/>
      <c r="C4456" s="12"/>
      <c r="D4456" s="17" t="str">
        <f t="shared" si="210"/>
        <v/>
      </c>
      <c r="E4456" s="18" t="str">
        <f t="shared" si="208"/>
        <v/>
      </c>
      <c r="F4456" s="17" t="str">
        <f t="shared" si="209"/>
        <v/>
      </c>
    </row>
    <row r="4457" spans="2:6" x14ac:dyDescent="0.2">
      <c r="B4457" s="12"/>
      <c r="C4457" s="12"/>
      <c r="D4457" s="17" t="str">
        <f t="shared" si="210"/>
        <v/>
      </c>
      <c r="E4457" s="18" t="str">
        <f t="shared" si="208"/>
        <v/>
      </c>
      <c r="F4457" s="17" t="str">
        <f t="shared" si="209"/>
        <v/>
      </c>
    </row>
    <row r="4458" spans="2:6" x14ac:dyDescent="0.2">
      <c r="B4458" s="12"/>
      <c r="C4458" s="12"/>
      <c r="D4458" s="17" t="str">
        <f t="shared" si="210"/>
        <v/>
      </c>
      <c r="E4458" s="18" t="str">
        <f t="shared" si="208"/>
        <v/>
      </c>
      <c r="F4458" s="17" t="str">
        <f t="shared" si="209"/>
        <v/>
      </c>
    </row>
    <row r="4459" spans="2:6" x14ac:dyDescent="0.2">
      <c r="B4459" s="12"/>
      <c r="C4459" s="12"/>
      <c r="D4459" s="17" t="str">
        <f t="shared" si="210"/>
        <v/>
      </c>
      <c r="E4459" s="18" t="str">
        <f t="shared" si="208"/>
        <v/>
      </c>
      <c r="F4459" s="17" t="str">
        <f t="shared" si="209"/>
        <v/>
      </c>
    </row>
    <row r="4460" spans="2:6" x14ac:dyDescent="0.2">
      <c r="B4460" s="12"/>
      <c r="C4460" s="12"/>
      <c r="D4460" s="17" t="str">
        <f t="shared" si="210"/>
        <v/>
      </c>
      <c r="E4460" s="18" t="str">
        <f t="shared" si="208"/>
        <v/>
      </c>
      <c r="F4460" s="17" t="str">
        <f t="shared" si="209"/>
        <v/>
      </c>
    </row>
    <row r="4461" spans="2:6" x14ac:dyDescent="0.2">
      <c r="B4461" s="12"/>
      <c r="C4461" s="12"/>
      <c r="D4461" s="17" t="str">
        <f t="shared" si="210"/>
        <v/>
      </c>
      <c r="E4461" s="18" t="str">
        <f t="shared" si="208"/>
        <v/>
      </c>
      <c r="F4461" s="17" t="str">
        <f t="shared" si="209"/>
        <v/>
      </c>
    </row>
    <row r="4462" spans="2:6" x14ac:dyDescent="0.2">
      <c r="B4462" s="12"/>
      <c r="C4462" s="12"/>
      <c r="D4462" s="17" t="str">
        <f t="shared" si="210"/>
        <v/>
      </c>
      <c r="E4462" s="18" t="str">
        <f t="shared" si="208"/>
        <v/>
      </c>
      <c r="F4462" s="17" t="str">
        <f t="shared" si="209"/>
        <v/>
      </c>
    </row>
    <row r="4463" spans="2:6" x14ac:dyDescent="0.2">
      <c r="B4463" s="12"/>
      <c r="C4463" s="12"/>
      <c r="D4463" s="17" t="str">
        <f t="shared" si="210"/>
        <v/>
      </c>
      <c r="E4463" s="18" t="str">
        <f t="shared" si="208"/>
        <v/>
      </c>
      <c r="F4463" s="17" t="str">
        <f t="shared" si="209"/>
        <v/>
      </c>
    </row>
    <row r="4464" spans="2:6" x14ac:dyDescent="0.2">
      <c r="B4464" s="12"/>
      <c r="C4464" s="12"/>
      <c r="D4464" s="17" t="str">
        <f t="shared" si="210"/>
        <v/>
      </c>
      <c r="E4464" s="18" t="str">
        <f t="shared" si="208"/>
        <v/>
      </c>
      <c r="F4464" s="17" t="str">
        <f t="shared" si="209"/>
        <v/>
      </c>
    </row>
    <row r="4465" spans="2:6" x14ac:dyDescent="0.2">
      <c r="B4465" s="12"/>
      <c r="C4465" s="12"/>
      <c r="D4465" s="17" t="str">
        <f t="shared" si="210"/>
        <v/>
      </c>
      <c r="E4465" s="18" t="str">
        <f t="shared" si="208"/>
        <v/>
      </c>
      <c r="F4465" s="17" t="str">
        <f t="shared" si="209"/>
        <v/>
      </c>
    </row>
    <row r="4466" spans="2:6" x14ac:dyDescent="0.2">
      <c r="B4466" s="12"/>
      <c r="C4466" s="12"/>
      <c r="D4466" s="17" t="str">
        <f t="shared" si="210"/>
        <v/>
      </c>
      <c r="E4466" s="18" t="str">
        <f t="shared" si="208"/>
        <v/>
      </c>
      <c r="F4466" s="17" t="str">
        <f t="shared" si="209"/>
        <v/>
      </c>
    </row>
    <row r="4467" spans="2:6" x14ac:dyDescent="0.2">
      <c r="B4467" s="12"/>
      <c r="C4467" s="12"/>
      <c r="D4467" s="17" t="str">
        <f t="shared" si="210"/>
        <v/>
      </c>
      <c r="E4467" s="18" t="str">
        <f t="shared" si="208"/>
        <v/>
      </c>
      <c r="F4467" s="17" t="str">
        <f t="shared" si="209"/>
        <v/>
      </c>
    </row>
    <row r="4468" spans="2:6" x14ac:dyDescent="0.2">
      <c r="B4468" s="12"/>
      <c r="C4468" s="12"/>
      <c r="D4468" s="17" t="str">
        <f t="shared" si="210"/>
        <v/>
      </c>
      <c r="E4468" s="18" t="str">
        <f t="shared" si="208"/>
        <v/>
      </c>
      <c r="F4468" s="17" t="str">
        <f t="shared" si="209"/>
        <v/>
      </c>
    </row>
    <row r="4469" spans="2:6" x14ac:dyDescent="0.2">
      <c r="B4469" s="12"/>
      <c r="C4469" s="12"/>
      <c r="D4469" s="17" t="str">
        <f t="shared" si="210"/>
        <v/>
      </c>
      <c r="E4469" s="18" t="str">
        <f t="shared" si="208"/>
        <v/>
      </c>
      <c r="F4469" s="17" t="str">
        <f t="shared" si="209"/>
        <v/>
      </c>
    </row>
    <row r="4470" spans="2:6" x14ac:dyDescent="0.2">
      <c r="B4470" s="12"/>
      <c r="C4470" s="12"/>
      <c r="D4470" s="17" t="str">
        <f t="shared" si="210"/>
        <v/>
      </c>
      <c r="E4470" s="18" t="str">
        <f t="shared" si="208"/>
        <v/>
      </c>
      <c r="F4470" s="17" t="str">
        <f t="shared" si="209"/>
        <v/>
      </c>
    </row>
    <row r="4471" spans="2:6" x14ac:dyDescent="0.2">
      <c r="B4471" s="12"/>
      <c r="C4471" s="12"/>
      <c r="D4471" s="17" t="str">
        <f t="shared" si="210"/>
        <v/>
      </c>
      <c r="E4471" s="18" t="str">
        <f t="shared" si="208"/>
        <v/>
      </c>
      <c r="F4471" s="17" t="str">
        <f t="shared" si="209"/>
        <v/>
      </c>
    </row>
    <row r="4472" spans="2:6" x14ac:dyDescent="0.2">
      <c r="B4472" s="12"/>
      <c r="C4472" s="12"/>
      <c r="D4472" s="17" t="str">
        <f t="shared" si="210"/>
        <v/>
      </c>
      <c r="E4472" s="18" t="str">
        <f t="shared" si="208"/>
        <v/>
      </c>
      <c r="F4472" s="17" t="str">
        <f t="shared" si="209"/>
        <v/>
      </c>
    </row>
    <row r="4473" spans="2:6" x14ac:dyDescent="0.2">
      <c r="B4473" s="12"/>
      <c r="C4473" s="12"/>
      <c r="D4473" s="17" t="str">
        <f t="shared" si="210"/>
        <v/>
      </c>
      <c r="E4473" s="18" t="str">
        <f t="shared" si="208"/>
        <v/>
      </c>
      <c r="F4473" s="17" t="str">
        <f t="shared" si="209"/>
        <v/>
      </c>
    </row>
    <row r="4474" spans="2:6" x14ac:dyDescent="0.2">
      <c r="B4474" s="12"/>
      <c r="C4474" s="12"/>
      <c r="D4474" s="17" t="str">
        <f t="shared" si="210"/>
        <v/>
      </c>
      <c r="E4474" s="18" t="str">
        <f t="shared" si="208"/>
        <v/>
      </c>
      <c r="F4474" s="17" t="str">
        <f t="shared" si="209"/>
        <v/>
      </c>
    </row>
    <row r="4475" spans="2:6" x14ac:dyDescent="0.2">
      <c r="B4475" s="12"/>
      <c r="C4475" s="12"/>
      <c r="D4475" s="17" t="str">
        <f t="shared" si="210"/>
        <v/>
      </c>
      <c r="E4475" s="18" t="str">
        <f t="shared" si="208"/>
        <v/>
      </c>
      <c r="F4475" s="17" t="str">
        <f t="shared" si="209"/>
        <v/>
      </c>
    </row>
    <row r="4476" spans="2:6" x14ac:dyDescent="0.2">
      <c r="B4476" s="12"/>
      <c r="C4476" s="12"/>
      <c r="D4476" s="17" t="str">
        <f t="shared" si="210"/>
        <v/>
      </c>
      <c r="E4476" s="18" t="str">
        <f t="shared" si="208"/>
        <v/>
      </c>
      <c r="F4476" s="17" t="str">
        <f t="shared" si="209"/>
        <v/>
      </c>
    </row>
    <row r="4477" spans="2:6" x14ac:dyDescent="0.2">
      <c r="B4477" s="12"/>
      <c r="C4477" s="12"/>
      <c r="D4477" s="17" t="str">
        <f t="shared" si="210"/>
        <v/>
      </c>
      <c r="E4477" s="18" t="str">
        <f t="shared" si="208"/>
        <v/>
      </c>
      <c r="F4477" s="17" t="str">
        <f t="shared" si="209"/>
        <v/>
      </c>
    </row>
    <row r="4478" spans="2:6" x14ac:dyDescent="0.2">
      <c r="B4478" s="12"/>
      <c r="C4478" s="12"/>
      <c r="D4478" s="17" t="str">
        <f t="shared" si="210"/>
        <v/>
      </c>
      <c r="E4478" s="18" t="str">
        <f t="shared" si="208"/>
        <v/>
      </c>
      <c r="F4478" s="17" t="str">
        <f t="shared" si="209"/>
        <v/>
      </c>
    </row>
    <row r="4479" spans="2:6" x14ac:dyDescent="0.2">
      <c r="B4479" s="12"/>
      <c r="C4479" s="12"/>
      <c r="D4479" s="17" t="str">
        <f t="shared" si="210"/>
        <v/>
      </c>
      <c r="E4479" s="18" t="str">
        <f t="shared" si="208"/>
        <v/>
      </c>
      <c r="F4479" s="17" t="str">
        <f t="shared" si="209"/>
        <v/>
      </c>
    </row>
    <row r="4480" spans="2:6" x14ac:dyDescent="0.2">
      <c r="B4480" s="12"/>
      <c r="C4480" s="12"/>
      <c r="D4480" s="17" t="str">
        <f t="shared" si="210"/>
        <v/>
      </c>
      <c r="E4480" s="18" t="str">
        <f t="shared" si="208"/>
        <v/>
      </c>
      <c r="F4480" s="17" t="str">
        <f t="shared" si="209"/>
        <v/>
      </c>
    </row>
    <row r="4481" spans="2:6" x14ac:dyDescent="0.2">
      <c r="B4481" s="12"/>
      <c r="C4481" s="12"/>
      <c r="D4481" s="17" t="str">
        <f t="shared" si="210"/>
        <v/>
      </c>
      <c r="E4481" s="18" t="str">
        <f t="shared" si="208"/>
        <v/>
      </c>
      <c r="F4481" s="17" t="str">
        <f t="shared" si="209"/>
        <v/>
      </c>
    </row>
    <row r="4482" spans="2:6" x14ac:dyDescent="0.2">
      <c r="B4482" s="12"/>
      <c r="C4482" s="12"/>
      <c r="D4482" s="17" t="str">
        <f t="shared" si="210"/>
        <v/>
      </c>
      <c r="E4482" s="18" t="str">
        <f t="shared" si="208"/>
        <v/>
      </c>
      <c r="F4482" s="17" t="str">
        <f t="shared" si="209"/>
        <v/>
      </c>
    </row>
    <row r="4483" spans="2:6" x14ac:dyDescent="0.2">
      <c r="B4483" s="12"/>
      <c r="C4483" s="12"/>
      <c r="D4483" s="17" t="str">
        <f t="shared" si="210"/>
        <v/>
      </c>
      <c r="E4483" s="18" t="str">
        <f t="shared" si="208"/>
        <v/>
      </c>
      <c r="F4483" s="17" t="str">
        <f t="shared" si="209"/>
        <v/>
      </c>
    </row>
    <row r="4484" spans="2:6" x14ac:dyDescent="0.2">
      <c r="B4484" s="12"/>
      <c r="C4484" s="12"/>
      <c r="D4484" s="17" t="str">
        <f t="shared" si="210"/>
        <v/>
      </c>
      <c r="E4484" s="18" t="str">
        <f t="shared" si="208"/>
        <v/>
      </c>
      <c r="F4484" s="17" t="str">
        <f t="shared" si="209"/>
        <v/>
      </c>
    </row>
    <row r="4485" spans="2:6" x14ac:dyDescent="0.2">
      <c r="B4485" s="12"/>
      <c r="C4485" s="12"/>
      <c r="D4485" s="17" t="str">
        <f t="shared" si="210"/>
        <v/>
      </c>
      <c r="E4485" s="18" t="str">
        <f t="shared" ref="E4485:E4548" si="211">IF(B4485="","",ABS(C4485-D4485))</f>
        <v/>
      </c>
      <c r="F4485" s="17" t="str">
        <f t="shared" ref="F4485:F4548" si="212">IF(B4485="","",E4485^2)</f>
        <v/>
      </c>
    </row>
    <row r="4486" spans="2:6" x14ac:dyDescent="0.2">
      <c r="B4486" s="12"/>
      <c r="C4486" s="12"/>
      <c r="D4486" s="17" t="str">
        <f t="shared" si="210"/>
        <v/>
      </c>
      <c r="E4486" s="18" t="str">
        <f t="shared" si="211"/>
        <v/>
      </c>
      <c r="F4486" s="17" t="str">
        <f t="shared" si="212"/>
        <v/>
      </c>
    </row>
    <row r="4487" spans="2:6" x14ac:dyDescent="0.2">
      <c r="B4487" s="12"/>
      <c r="C4487" s="12"/>
      <c r="D4487" s="17" t="str">
        <f t="shared" si="210"/>
        <v/>
      </c>
      <c r="E4487" s="18" t="str">
        <f t="shared" si="211"/>
        <v/>
      </c>
      <c r="F4487" s="17" t="str">
        <f t="shared" si="212"/>
        <v/>
      </c>
    </row>
    <row r="4488" spans="2:6" x14ac:dyDescent="0.2">
      <c r="B4488" s="12"/>
      <c r="C4488" s="12"/>
      <c r="D4488" s="17" t="str">
        <f t="shared" si="210"/>
        <v/>
      </c>
      <c r="E4488" s="18" t="str">
        <f t="shared" si="211"/>
        <v/>
      </c>
      <c r="F4488" s="17" t="str">
        <f t="shared" si="212"/>
        <v/>
      </c>
    </row>
    <row r="4489" spans="2:6" x14ac:dyDescent="0.2">
      <c r="B4489" s="12"/>
      <c r="C4489" s="12"/>
      <c r="D4489" s="17" t="str">
        <f t="shared" si="210"/>
        <v/>
      </c>
      <c r="E4489" s="18" t="str">
        <f t="shared" si="211"/>
        <v/>
      </c>
      <c r="F4489" s="17" t="str">
        <f t="shared" si="212"/>
        <v/>
      </c>
    </row>
    <row r="4490" spans="2:6" x14ac:dyDescent="0.2">
      <c r="B4490" s="12"/>
      <c r="C4490" s="12"/>
      <c r="D4490" s="17" t="str">
        <f t="shared" si="210"/>
        <v/>
      </c>
      <c r="E4490" s="18" t="str">
        <f t="shared" si="211"/>
        <v/>
      </c>
      <c r="F4490" s="17" t="str">
        <f t="shared" si="212"/>
        <v/>
      </c>
    </row>
    <row r="4491" spans="2:6" x14ac:dyDescent="0.2">
      <c r="B4491" s="12"/>
      <c r="C4491" s="12"/>
      <c r="D4491" s="17" t="str">
        <f t="shared" si="210"/>
        <v/>
      </c>
      <c r="E4491" s="18" t="str">
        <f t="shared" si="211"/>
        <v/>
      </c>
      <c r="F4491" s="17" t="str">
        <f t="shared" si="212"/>
        <v/>
      </c>
    </row>
    <row r="4492" spans="2:6" x14ac:dyDescent="0.2">
      <c r="B4492" s="12"/>
      <c r="C4492" s="12"/>
      <c r="D4492" s="17" t="str">
        <f t="shared" si="210"/>
        <v/>
      </c>
      <c r="E4492" s="18" t="str">
        <f t="shared" si="211"/>
        <v/>
      </c>
      <c r="F4492" s="17" t="str">
        <f t="shared" si="212"/>
        <v/>
      </c>
    </row>
    <row r="4493" spans="2:6" x14ac:dyDescent="0.2">
      <c r="B4493" s="12"/>
      <c r="C4493" s="12"/>
      <c r="D4493" s="17" t="str">
        <f t="shared" si="210"/>
        <v/>
      </c>
      <c r="E4493" s="18" t="str">
        <f t="shared" si="211"/>
        <v/>
      </c>
      <c r="F4493" s="17" t="str">
        <f t="shared" si="212"/>
        <v/>
      </c>
    </row>
    <row r="4494" spans="2:6" x14ac:dyDescent="0.2">
      <c r="B4494" s="12"/>
      <c r="C4494" s="12"/>
      <c r="D4494" s="17" t="str">
        <f t="shared" si="210"/>
        <v/>
      </c>
      <c r="E4494" s="18" t="str">
        <f t="shared" si="211"/>
        <v/>
      </c>
      <c r="F4494" s="17" t="str">
        <f t="shared" si="212"/>
        <v/>
      </c>
    </row>
    <row r="4495" spans="2:6" x14ac:dyDescent="0.2">
      <c r="B4495" s="12"/>
      <c r="C4495" s="12"/>
      <c r="D4495" s="17" t="str">
        <f t="shared" si="210"/>
        <v/>
      </c>
      <c r="E4495" s="18" t="str">
        <f t="shared" si="211"/>
        <v/>
      </c>
      <c r="F4495" s="17" t="str">
        <f t="shared" si="212"/>
        <v/>
      </c>
    </row>
    <row r="4496" spans="2:6" x14ac:dyDescent="0.2">
      <c r="B4496" s="12"/>
      <c r="C4496" s="12"/>
      <c r="D4496" s="17" t="str">
        <f t="shared" si="210"/>
        <v/>
      </c>
      <c r="E4496" s="18" t="str">
        <f t="shared" si="211"/>
        <v/>
      </c>
      <c r="F4496" s="17" t="str">
        <f t="shared" si="212"/>
        <v/>
      </c>
    </row>
    <row r="4497" spans="2:6" x14ac:dyDescent="0.2">
      <c r="B4497" s="12"/>
      <c r="C4497" s="12"/>
      <c r="D4497" s="17" t="str">
        <f t="shared" si="210"/>
        <v/>
      </c>
      <c r="E4497" s="18" t="str">
        <f t="shared" si="211"/>
        <v/>
      </c>
      <c r="F4497" s="17" t="str">
        <f t="shared" si="212"/>
        <v/>
      </c>
    </row>
    <row r="4498" spans="2:6" x14ac:dyDescent="0.2">
      <c r="B4498" s="12"/>
      <c r="C4498" s="12"/>
      <c r="D4498" s="17" t="str">
        <f t="shared" ref="D4498:D4561" si="213">IF(B4498="","",a+b*B4498)</f>
        <v/>
      </c>
      <c r="E4498" s="18" t="str">
        <f t="shared" si="211"/>
        <v/>
      </c>
      <c r="F4498" s="17" t="str">
        <f t="shared" si="212"/>
        <v/>
      </c>
    </row>
    <row r="4499" spans="2:6" x14ac:dyDescent="0.2">
      <c r="B4499" s="12"/>
      <c r="C4499" s="12"/>
      <c r="D4499" s="17" t="str">
        <f t="shared" si="213"/>
        <v/>
      </c>
      <c r="E4499" s="18" t="str">
        <f t="shared" si="211"/>
        <v/>
      </c>
      <c r="F4499" s="17" t="str">
        <f t="shared" si="212"/>
        <v/>
      </c>
    </row>
    <row r="4500" spans="2:6" x14ac:dyDescent="0.2">
      <c r="B4500" s="12"/>
      <c r="C4500" s="12"/>
      <c r="D4500" s="17" t="str">
        <f t="shared" si="213"/>
        <v/>
      </c>
      <c r="E4500" s="18" t="str">
        <f t="shared" si="211"/>
        <v/>
      </c>
      <c r="F4500" s="17" t="str">
        <f t="shared" si="212"/>
        <v/>
      </c>
    </row>
    <row r="4501" spans="2:6" x14ac:dyDescent="0.2">
      <c r="B4501" s="12"/>
      <c r="C4501" s="12"/>
      <c r="D4501" s="17" t="str">
        <f t="shared" si="213"/>
        <v/>
      </c>
      <c r="E4501" s="18" t="str">
        <f t="shared" si="211"/>
        <v/>
      </c>
      <c r="F4501" s="17" t="str">
        <f t="shared" si="212"/>
        <v/>
      </c>
    </row>
    <row r="4502" spans="2:6" x14ac:dyDescent="0.2">
      <c r="B4502" s="12"/>
      <c r="C4502" s="12"/>
      <c r="D4502" s="17" t="str">
        <f t="shared" si="213"/>
        <v/>
      </c>
      <c r="E4502" s="18" t="str">
        <f t="shared" si="211"/>
        <v/>
      </c>
      <c r="F4502" s="17" t="str">
        <f t="shared" si="212"/>
        <v/>
      </c>
    </row>
    <row r="4503" spans="2:6" x14ac:dyDescent="0.2">
      <c r="B4503" s="12"/>
      <c r="C4503" s="12"/>
      <c r="D4503" s="17" t="str">
        <f t="shared" si="213"/>
        <v/>
      </c>
      <c r="E4503" s="18" t="str">
        <f t="shared" si="211"/>
        <v/>
      </c>
      <c r="F4503" s="17" t="str">
        <f t="shared" si="212"/>
        <v/>
      </c>
    </row>
    <row r="4504" spans="2:6" x14ac:dyDescent="0.2">
      <c r="B4504" s="12"/>
      <c r="C4504" s="12"/>
      <c r="D4504" s="17" t="str">
        <f t="shared" si="213"/>
        <v/>
      </c>
      <c r="E4504" s="18" t="str">
        <f t="shared" si="211"/>
        <v/>
      </c>
      <c r="F4504" s="17" t="str">
        <f t="shared" si="212"/>
        <v/>
      </c>
    </row>
    <row r="4505" spans="2:6" x14ac:dyDescent="0.2">
      <c r="B4505" s="12"/>
      <c r="C4505" s="12"/>
      <c r="D4505" s="17" t="str">
        <f t="shared" si="213"/>
        <v/>
      </c>
      <c r="E4505" s="18" t="str">
        <f t="shared" si="211"/>
        <v/>
      </c>
      <c r="F4505" s="17" t="str">
        <f t="shared" si="212"/>
        <v/>
      </c>
    </row>
    <row r="4506" spans="2:6" x14ac:dyDescent="0.2">
      <c r="B4506" s="12"/>
      <c r="C4506" s="12"/>
      <c r="D4506" s="17" t="str">
        <f t="shared" si="213"/>
        <v/>
      </c>
      <c r="E4506" s="18" t="str">
        <f t="shared" si="211"/>
        <v/>
      </c>
      <c r="F4506" s="17" t="str">
        <f t="shared" si="212"/>
        <v/>
      </c>
    </row>
    <row r="4507" spans="2:6" x14ac:dyDescent="0.2">
      <c r="B4507" s="12"/>
      <c r="C4507" s="12"/>
      <c r="D4507" s="17" t="str">
        <f t="shared" si="213"/>
        <v/>
      </c>
      <c r="E4507" s="18" t="str">
        <f t="shared" si="211"/>
        <v/>
      </c>
      <c r="F4507" s="17" t="str">
        <f t="shared" si="212"/>
        <v/>
      </c>
    </row>
    <row r="4508" spans="2:6" x14ac:dyDescent="0.2">
      <c r="B4508" s="12"/>
      <c r="C4508" s="12"/>
      <c r="D4508" s="17" t="str">
        <f t="shared" si="213"/>
        <v/>
      </c>
      <c r="E4508" s="18" t="str">
        <f t="shared" si="211"/>
        <v/>
      </c>
      <c r="F4508" s="17" t="str">
        <f t="shared" si="212"/>
        <v/>
      </c>
    </row>
    <row r="4509" spans="2:6" x14ac:dyDescent="0.2">
      <c r="B4509" s="12"/>
      <c r="C4509" s="12"/>
      <c r="D4509" s="17" t="str">
        <f t="shared" si="213"/>
        <v/>
      </c>
      <c r="E4509" s="18" t="str">
        <f t="shared" si="211"/>
        <v/>
      </c>
      <c r="F4509" s="17" t="str">
        <f t="shared" si="212"/>
        <v/>
      </c>
    </row>
    <row r="4510" spans="2:6" x14ac:dyDescent="0.2">
      <c r="B4510" s="12"/>
      <c r="C4510" s="12"/>
      <c r="D4510" s="17" t="str">
        <f t="shared" si="213"/>
        <v/>
      </c>
      <c r="E4510" s="18" t="str">
        <f t="shared" si="211"/>
        <v/>
      </c>
      <c r="F4510" s="17" t="str">
        <f t="shared" si="212"/>
        <v/>
      </c>
    </row>
    <row r="4511" spans="2:6" x14ac:dyDescent="0.2">
      <c r="B4511" s="12"/>
      <c r="C4511" s="12"/>
      <c r="D4511" s="17" t="str">
        <f t="shared" si="213"/>
        <v/>
      </c>
      <c r="E4511" s="18" t="str">
        <f t="shared" si="211"/>
        <v/>
      </c>
      <c r="F4511" s="17" t="str">
        <f t="shared" si="212"/>
        <v/>
      </c>
    </row>
    <row r="4512" spans="2:6" x14ac:dyDescent="0.2">
      <c r="B4512" s="12"/>
      <c r="C4512" s="12"/>
      <c r="D4512" s="17" t="str">
        <f t="shared" si="213"/>
        <v/>
      </c>
      <c r="E4512" s="18" t="str">
        <f t="shared" si="211"/>
        <v/>
      </c>
      <c r="F4512" s="17" t="str">
        <f t="shared" si="212"/>
        <v/>
      </c>
    </row>
    <row r="4513" spans="2:6" x14ac:dyDescent="0.2">
      <c r="B4513" s="12"/>
      <c r="C4513" s="12"/>
      <c r="D4513" s="17" t="str">
        <f t="shared" si="213"/>
        <v/>
      </c>
      <c r="E4513" s="18" t="str">
        <f t="shared" si="211"/>
        <v/>
      </c>
      <c r="F4513" s="17" t="str">
        <f t="shared" si="212"/>
        <v/>
      </c>
    </row>
    <row r="4514" spans="2:6" x14ac:dyDescent="0.2">
      <c r="B4514" s="12"/>
      <c r="C4514" s="12"/>
      <c r="D4514" s="17" t="str">
        <f t="shared" si="213"/>
        <v/>
      </c>
      <c r="E4514" s="18" t="str">
        <f t="shared" si="211"/>
        <v/>
      </c>
      <c r="F4514" s="17" t="str">
        <f t="shared" si="212"/>
        <v/>
      </c>
    </row>
    <row r="4515" spans="2:6" x14ac:dyDescent="0.2">
      <c r="B4515" s="12"/>
      <c r="C4515" s="12"/>
      <c r="D4515" s="17" t="str">
        <f t="shared" si="213"/>
        <v/>
      </c>
      <c r="E4515" s="18" t="str">
        <f t="shared" si="211"/>
        <v/>
      </c>
      <c r="F4515" s="17" t="str">
        <f t="shared" si="212"/>
        <v/>
      </c>
    </row>
    <row r="4516" spans="2:6" x14ac:dyDescent="0.2">
      <c r="B4516" s="12"/>
      <c r="C4516" s="12"/>
      <c r="D4516" s="17" t="str">
        <f t="shared" si="213"/>
        <v/>
      </c>
      <c r="E4516" s="18" t="str">
        <f t="shared" si="211"/>
        <v/>
      </c>
      <c r="F4516" s="17" t="str">
        <f t="shared" si="212"/>
        <v/>
      </c>
    </row>
    <row r="4517" spans="2:6" x14ac:dyDescent="0.2">
      <c r="B4517" s="12"/>
      <c r="C4517" s="12"/>
      <c r="D4517" s="17" t="str">
        <f t="shared" si="213"/>
        <v/>
      </c>
      <c r="E4517" s="18" t="str">
        <f t="shared" si="211"/>
        <v/>
      </c>
      <c r="F4517" s="17" t="str">
        <f t="shared" si="212"/>
        <v/>
      </c>
    </row>
    <row r="4518" spans="2:6" x14ac:dyDescent="0.2">
      <c r="B4518" s="12"/>
      <c r="C4518" s="12"/>
      <c r="D4518" s="17" t="str">
        <f t="shared" si="213"/>
        <v/>
      </c>
      <c r="E4518" s="18" t="str">
        <f t="shared" si="211"/>
        <v/>
      </c>
      <c r="F4518" s="17" t="str">
        <f t="shared" si="212"/>
        <v/>
      </c>
    </row>
    <row r="4519" spans="2:6" x14ac:dyDescent="0.2">
      <c r="B4519" s="12"/>
      <c r="C4519" s="12"/>
      <c r="D4519" s="17" t="str">
        <f t="shared" si="213"/>
        <v/>
      </c>
      <c r="E4519" s="18" t="str">
        <f t="shared" si="211"/>
        <v/>
      </c>
      <c r="F4519" s="17" t="str">
        <f t="shared" si="212"/>
        <v/>
      </c>
    </row>
    <row r="4520" spans="2:6" x14ac:dyDescent="0.2">
      <c r="B4520" s="12"/>
      <c r="C4520" s="12"/>
      <c r="D4520" s="17" t="str">
        <f t="shared" si="213"/>
        <v/>
      </c>
      <c r="E4520" s="18" t="str">
        <f t="shared" si="211"/>
        <v/>
      </c>
      <c r="F4520" s="17" t="str">
        <f t="shared" si="212"/>
        <v/>
      </c>
    </row>
    <row r="4521" spans="2:6" x14ac:dyDescent="0.2">
      <c r="B4521" s="12"/>
      <c r="C4521" s="12"/>
      <c r="D4521" s="17" t="str">
        <f t="shared" si="213"/>
        <v/>
      </c>
      <c r="E4521" s="18" t="str">
        <f t="shared" si="211"/>
        <v/>
      </c>
      <c r="F4521" s="17" t="str">
        <f t="shared" si="212"/>
        <v/>
      </c>
    </row>
    <row r="4522" spans="2:6" x14ac:dyDescent="0.2">
      <c r="B4522" s="12"/>
      <c r="C4522" s="12"/>
      <c r="D4522" s="17" t="str">
        <f t="shared" si="213"/>
        <v/>
      </c>
      <c r="E4522" s="18" t="str">
        <f t="shared" si="211"/>
        <v/>
      </c>
      <c r="F4522" s="17" t="str">
        <f t="shared" si="212"/>
        <v/>
      </c>
    </row>
    <row r="4523" spans="2:6" x14ac:dyDescent="0.2">
      <c r="B4523" s="12"/>
      <c r="C4523" s="12"/>
      <c r="D4523" s="17" t="str">
        <f t="shared" si="213"/>
        <v/>
      </c>
      <c r="E4523" s="18" t="str">
        <f t="shared" si="211"/>
        <v/>
      </c>
      <c r="F4523" s="17" t="str">
        <f t="shared" si="212"/>
        <v/>
      </c>
    </row>
    <row r="4524" spans="2:6" x14ac:dyDescent="0.2">
      <c r="B4524" s="12"/>
      <c r="C4524" s="12"/>
      <c r="D4524" s="17" t="str">
        <f t="shared" si="213"/>
        <v/>
      </c>
      <c r="E4524" s="18" t="str">
        <f t="shared" si="211"/>
        <v/>
      </c>
      <c r="F4524" s="17" t="str">
        <f t="shared" si="212"/>
        <v/>
      </c>
    </row>
    <row r="4525" spans="2:6" x14ac:dyDescent="0.2">
      <c r="B4525" s="12"/>
      <c r="C4525" s="12"/>
      <c r="D4525" s="17" t="str">
        <f t="shared" si="213"/>
        <v/>
      </c>
      <c r="E4525" s="18" t="str">
        <f t="shared" si="211"/>
        <v/>
      </c>
      <c r="F4525" s="17" t="str">
        <f t="shared" si="212"/>
        <v/>
      </c>
    </row>
    <row r="4526" spans="2:6" x14ac:dyDescent="0.2">
      <c r="B4526" s="12"/>
      <c r="C4526" s="12"/>
      <c r="D4526" s="17" t="str">
        <f t="shared" si="213"/>
        <v/>
      </c>
      <c r="E4526" s="18" t="str">
        <f t="shared" si="211"/>
        <v/>
      </c>
      <c r="F4526" s="17" t="str">
        <f t="shared" si="212"/>
        <v/>
      </c>
    </row>
    <row r="4527" spans="2:6" x14ac:dyDescent="0.2">
      <c r="B4527" s="12"/>
      <c r="C4527" s="12"/>
      <c r="D4527" s="17" t="str">
        <f t="shared" si="213"/>
        <v/>
      </c>
      <c r="E4527" s="18" t="str">
        <f t="shared" si="211"/>
        <v/>
      </c>
      <c r="F4527" s="17" t="str">
        <f t="shared" si="212"/>
        <v/>
      </c>
    </row>
    <row r="4528" spans="2:6" x14ac:dyDescent="0.2">
      <c r="B4528" s="12"/>
      <c r="C4528" s="12"/>
      <c r="D4528" s="17" t="str">
        <f t="shared" si="213"/>
        <v/>
      </c>
      <c r="E4528" s="18" t="str">
        <f t="shared" si="211"/>
        <v/>
      </c>
      <c r="F4528" s="17" t="str">
        <f t="shared" si="212"/>
        <v/>
      </c>
    </row>
    <row r="4529" spans="2:6" x14ac:dyDescent="0.2">
      <c r="B4529" s="12"/>
      <c r="C4529" s="12"/>
      <c r="D4529" s="17" t="str">
        <f t="shared" si="213"/>
        <v/>
      </c>
      <c r="E4529" s="18" t="str">
        <f t="shared" si="211"/>
        <v/>
      </c>
      <c r="F4529" s="17" t="str">
        <f t="shared" si="212"/>
        <v/>
      </c>
    </row>
    <row r="4530" spans="2:6" x14ac:dyDescent="0.2">
      <c r="B4530" s="12"/>
      <c r="C4530" s="12"/>
      <c r="D4530" s="17" t="str">
        <f t="shared" si="213"/>
        <v/>
      </c>
      <c r="E4530" s="18" t="str">
        <f t="shared" si="211"/>
        <v/>
      </c>
      <c r="F4530" s="17" t="str">
        <f t="shared" si="212"/>
        <v/>
      </c>
    </row>
    <row r="4531" spans="2:6" x14ac:dyDescent="0.2">
      <c r="B4531" s="12"/>
      <c r="C4531" s="12"/>
      <c r="D4531" s="17" t="str">
        <f t="shared" si="213"/>
        <v/>
      </c>
      <c r="E4531" s="18" t="str">
        <f t="shared" si="211"/>
        <v/>
      </c>
      <c r="F4531" s="17" t="str">
        <f t="shared" si="212"/>
        <v/>
      </c>
    </row>
    <row r="4532" spans="2:6" x14ac:dyDescent="0.2">
      <c r="B4532" s="12"/>
      <c r="C4532" s="12"/>
      <c r="D4532" s="17" t="str">
        <f t="shared" si="213"/>
        <v/>
      </c>
      <c r="E4532" s="18" t="str">
        <f t="shared" si="211"/>
        <v/>
      </c>
      <c r="F4532" s="17" t="str">
        <f t="shared" si="212"/>
        <v/>
      </c>
    </row>
    <row r="4533" spans="2:6" x14ac:dyDescent="0.2">
      <c r="B4533" s="12"/>
      <c r="C4533" s="12"/>
      <c r="D4533" s="17" t="str">
        <f t="shared" si="213"/>
        <v/>
      </c>
      <c r="E4533" s="18" t="str">
        <f t="shared" si="211"/>
        <v/>
      </c>
      <c r="F4533" s="17" t="str">
        <f t="shared" si="212"/>
        <v/>
      </c>
    </row>
    <row r="4534" spans="2:6" x14ac:dyDescent="0.2">
      <c r="B4534" s="12"/>
      <c r="C4534" s="12"/>
      <c r="D4534" s="17" t="str">
        <f t="shared" si="213"/>
        <v/>
      </c>
      <c r="E4534" s="18" t="str">
        <f t="shared" si="211"/>
        <v/>
      </c>
      <c r="F4534" s="17" t="str">
        <f t="shared" si="212"/>
        <v/>
      </c>
    </row>
    <row r="4535" spans="2:6" x14ac:dyDescent="0.2">
      <c r="B4535" s="12"/>
      <c r="C4535" s="12"/>
      <c r="D4535" s="17" t="str">
        <f t="shared" si="213"/>
        <v/>
      </c>
      <c r="E4535" s="18" t="str">
        <f t="shared" si="211"/>
        <v/>
      </c>
      <c r="F4535" s="17" t="str">
        <f t="shared" si="212"/>
        <v/>
      </c>
    </row>
    <row r="4536" spans="2:6" x14ac:dyDescent="0.2">
      <c r="B4536" s="12"/>
      <c r="C4536" s="12"/>
      <c r="D4536" s="17" t="str">
        <f t="shared" si="213"/>
        <v/>
      </c>
      <c r="E4536" s="18" t="str">
        <f t="shared" si="211"/>
        <v/>
      </c>
      <c r="F4536" s="17" t="str">
        <f t="shared" si="212"/>
        <v/>
      </c>
    </row>
    <row r="4537" spans="2:6" x14ac:dyDescent="0.2">
      <c r="B4537" s="12"/>
      <c r="C4537" s="12"/>
      <c r="D4537" s="17" t="str">
        <f t="shared" si="213"/>
        <v/>
      </c>
      <c r="E4537" s="18" t="str">
        <f t="shared" si="211"/>
        <v/>
      </c>
      <c r="F4537" s="17" t="str">
        <f t="shared" si="212"/>
        <v/>
      </c>
    </row>
    <row r="4538" spans="2:6" x14ac:dyDescent="0.2">
      <c r="B4538" s="12"/>
      <c r="C4538" s="12"/>
      <c r="D4538" s="17" t="str">
        <f t="shared" si="213"/>
        <v/>
      </c>
      <c r="E4538" s="18" t="str">
        <f t="shared" si="211"/>
        <v/>
      </c>
      <c r="F4538" s="17" t="str">
        <f t="shared" si="212"/>
        <v/>
      </c>
    </row>
    <row r="4539" spans="2:6" x14ac:dyDescent="0.2">
      <c r="B4539" s="12"/>
      <c r="C4539" s="12"/>
      <c r="D4539" s="17" t="str">
        <f t="shared" si="213"/>
        <v/>
      </c>
      <c r="E4539" s="18" t="str">
        <f t="shared" si="211"/>
        <v/>
      </c>
      <c r="F4539" s="17" t="str">
        <f t="shared" si="212"/>
        <v/>
      </c>
    </row>
    <row r="4540" spans="2:6" x14ac:dyDescent="0.2">
      <c r="B4540" s="12"/>
      <c r="C4540" s="12"/>
      <c r="D4540" s="17" t="str">
        <f t="shared" si="213"/>
        <v/>
      </c>
      <c r="E4540" s="18" t="str">
        <f t="shared" si="211"/>
        <v/>
      </c>
      <c r="F4540" s="17" t="str">
        <f t="shared" si="212"/>
        <v/>
      </c>
    </row>
    <row r="4541" spans="2:6" x14ac:dyDescent="0.2">
      <c r="B4541" s="12"/>
      <c r="C4541" s="12"/>
      <c r="D4541" s="17" t="str">
        <f t="shared" si="213"/>
        <v/>
      </c>
      <c r="E4541" s="18" t="str">
        <f t="shared" si="211"/>
        <v/>
      </c>
      <c r="F4541" s="17" t="str">
        <f t="shared" si="212"/>
        <v/>
      </c>
    </row>
    <row r="4542" spans="2:6" x14ac:dyDescent="0.2">
      <c r="B4542" s="12"/>
      <c r="C4542" s="12"/>
      <c r="D4542" s="17" t="str">
        <f t="shared" si="213"/>
        <v/>
      </c>
      <c r="E4542" s="18" t="str">
        <f t="shared" si="211"/>
        <v/>
      </c>
      <c r="F4542" s="17" t="str">
        <f t="shared" si="212"/>
        <v/>
      </c>
    </row>
    <row r="4543" spans="2:6" x14ac:dyDescent="0.2">
      <c r="B4543" s="12"/>
      <c r="C4543" s="12"/>
      <c r="D4543" s="17" t="str">
        <f t="shared" si="213"/>
        <v/>
      </c>
      <c r="E4543" s="18" t="str">
        <f t="shared" si="211"/>
        <v/>
      </c>
      <c r="F4543" s="17" t="str">
        <f t="shared" si="212"/>
        <v/>
      </c>
    </row>
    <row r="4544" spans="2:6" x14ac:dyDescent="0.2">
      <c r="B4544" s="12"/>
      <c r="C4544" s="12"/>
      <c r="D4544" s="17" t="str">
        <f t="shared" si="213"/>
        <v/>
      </c>
      <c r="E4544" s="18" t="str">
        <f t="shared" si="211"/>
        <v/>
      </c>
      <c r="F4544" s="17" t="str">
        <f t="shared" si="212"/>
        <v/>
      </c>
    </row>
    <row r="4545" spans="2:6" x14ac:dyDescent="0.2">
      <c r="B4545" s="12"/>
      <c r="C4545" s="12"/>
      <c r="D4545" s="17" t="str">
        <f t="shared" si="213"/>
        <v/>
      </c>
      <c r="E4545" s="18" t="str">
        <f t="shared" si="211"/>
        <v/>
      </c>
      <c r="F4545" s="17" t="str">
        <f t="shared" si="212"/>
        <v/>
      </c>
    </row>
    <row r="4546" spans="2:6" x14ac:dyDescent="0.2">
      <c r="B4546" s="12"/>
      <c r="C4546" s="12"/>
      <c r="D4546" s="17" t="str">
        <f t="shared" si="213"/>
        <v/>
      </c>
      <c r="E4546" s="18" t="str">
        <f t="shared" si="211"/>
        <v/>
      </c>
      <c r="F4546" s="17" t="str">
        <f t="shared" si="212"/>
        <v/>
      </c>
    </row>
    <row r="4547" spans="2:6" x14ac:dyDescent="0.2">
      <c r="B4547" s="12"/>
      <c r="C4547" s="12"/>
      <c r="D4547" s="17" t="str">
        <f t="shared" si="213"/>
        <v/>
      </c>
      <c r="E4547" s="18" t="str">
        <f t="shared" si="211"/>
        <v/>
      </c>
      <c r="F4547" s="17" t="str">
        <f t="shared" si="212"/>
        <v/>
      </c>
    </row>
    <row r="4548" spans="2:6" x14ac:dyDescent="0.2">
      <c r="B4548" s="12"/>
      <c r="C4548" s="12"/>
      <c r="D4548" s="17" t="str">
        <f t="shared" si="213"/>
        <v/>
      </c>
      <c r="E4548" s="18" t="str">
        <f t="shared" si="211"/>
        <v/>
      </c>
      <c r="F4548" s="17" t="str">
        <f t="shared" si="212"/>
        <v/>
      </c>
    </row>
    <row r="4549" spans="2:6" x14ac:dyDescent="0.2">
      <c r="B4549" s="12"/>
      <c r="C4549" s="12"/>
      <c r="D4549" s="17" t="str">
        <f t="shared" si="213"/>
        <v/>
      </c>
      <c r="E4549" s="18" t="str">
        <f t="shared" ref="E4549:E4612" si="214">IF(B4549="","",ABS(C4549-D4549))</f>
        <v/>
      </c>
      <c r="F4549" s="17" t="str">
        <f t="shared" ref="F4549:F4612" si="215">IF(B4549="","",E4549^2)</f>
        <v/>
      </c>
    </row>
    <row r="4550" spans="2:6" x14ac:dyDescent="0.2">
      <c r="B4550" s="12"/>
      <c r="C4550" s="12"/>
      <c r="D4550" s="17" t="str">
        <f t="shared" si="213"/>
        <v/>
      </c>
      <c r="E4550" s="18" t="str">
        <f t="shared" si="214"/>
        <v/>
      </c>
      <c r="F4550" s="17" t="str">
        <f t="shared" si="215"/>
        <v/>
      </c>
    </row>
    <row r="4551" spans="2:6" x14ac:dyDescent="0.2">
      <c r="B4551" s="12"/>
      <c r="C4551" s="12"/>
      <c r="D4551" s="17" t="str">
        <f t="shared" si="213"/>
        <v/>
      </c>
      <c r="E4551" s="18" t="str">
        <f t="shared" si="214"/>
        <v/>
      </c>
      <c r="F4551" s="17" t="str">
        <f t="shared" si="215"/>
        <v/>
      </c>
    </row>
    <row r="4552" spans="2:6" x14ac:dyDescent="0.2">
      <c r="B4552" s="12"/>
      <c r="C4552" s="12"/>
      <c r="D4552" s="17" t="str">
        <f t="shared" si="213"/>
        <v/>
      </c>
      <c r="E4552" s="18" t="str">
        <f t="shared" si="214"/>
        <v/>
      </c>
      <c r="F4552" s="17" t="str">
        <f t="shared" si="215"/>
        <v/>
      </c>
    </row>
    <row r="4553" spans="2:6" x14ac:dyDescent="0.2">
      <c r="B4553" s="12"/>
      <c r="C4553" s="12"/>
      <c r="D4553" s="17" t="str">
        <f t="shared" si="213"/>
        <v/>
      </c>
      <c r="E4553" s="18" t="str">
        <f t="shared" si="214"/>
        <v/>
      </c>
      <c r="F4553" s="17" t="str">
        <f t="shared" si="215"/>
        <v/>
      </c>
    </row>
    <row r="4554" spans="2:6" x14ac:dyDescent="0.2">
      <c r="B4554" s="12"/>
      <c r="C4554" s="12"/>
      <c r="D4554" s="17" t="str">
        <f t="shared" si="213"/>
        <v/>
      </c>
      <c r="E4554" s="18" t="str">
        <f t="shared" si="214"/>
        <v/>
      </c>
      <c r="F4554" s="17" t="str">
        <f t="shared" si="215"/>
        <v/>
      </c>
    </row>
    <row r="4555" spans="2:6" x14ac:dyDescent="0.2">
      <c r="B4555" s="12"/>
      <c r="C4555" s="12"/>
      <c r="D4555" s="17" t="str">
        <f t="shared" si="213"/>
        <v/>
      </c>
      <c r="E4555" s="18" t="str">
        <f t="shared" si="214"/>
        <v/>
      </c>
      <c r="F4555" s="17" t="str">
        <f t="shared" si="215"/>
        <v/>
      </c>
    </row>
    <row r="4556" spans="2:6" x14ac:dyDescent="0.2">
      <c r="B4556" s="12"/>
      <c r="C4556" s="12"/>
      <c r="D4556" s="17" t="str">
        <f t="shared" si="213"/>
        <v/>
      </c>
      <c r="E4556" s="18" t="str">
        <f t="shared" si="214"/>
        <v/>
      </c>
      <c r="F4556" s="17" t="str">
        <f t="shared" si="215"/>
        <v/>
      </c>
    </row>
    <row r="4557" spans="2:6" x14ac:dyDescent="0.2">
      <c r="B4557" s="12"/>
      <c r="C4557" s="12"/>
      <c r="D4557" s="17" t="str">
        <f t="shared" si="213"/>
        <v/>
      </c>
      <c r="E4557" s="18" t="str">
        <f t="shared" si="214"/>
        <v/>
      </c>
      <c r="F4557" s="17" t="str">
        <f t="shared" si="215"/>
        <v/>
      </c>
    </row>
    <row r="4558" spans="2:6" x14ac:dyDescent="0.2">
      <c r="B4558" s="12"/>
      <c r="C4558" s="12"/>
      <c r="D4558" s="17" t="str">
        <f t="shared" si="213"/>
        <v/>
      </c>
      <c r="E4558" s="18" t="str">
        <f t="shared" si="214"/>
        <v/>
      </c>
      <c r="F4558" s="17" t="str">
        <f t="shared" si="215"/>
        <v/>
      </c>
    </row>
    <row r="4559" spans="2:6" x14ac:dyDescent="0.2">
      <c r="B4559" s="12"/>
      <c r="C4559" s="12"/>
      <c r="D4559" s="17" t="str">
        <f t="shared" si="213"/>
        <v/>
      </c>
      <c r="E4559" s="18" t="str">
        <f t="shared" si="214"/>
        <v/>
      </c>
      <c r="F4559" s="17" t="str">
        <f t="shared" si="215"/>
        <v/>
      </c>
    </row>
    <row r="4560" spans="2:6" x14ac:dyDescent="0.2">
      <c r="B4560" s="12"/>
      <c r="C4560" s="12"/>
      <c r="D4560" s="17" t="str">
        <f t="shared" si="213"/>
        <v/>
      </c>
      <c r="E4560" s="18" t="str">
        <f t="shared" si="214"/>
        <v/>
      </c>
      <c r="F4560" s="17" t="str">
        <f t="shared" si="215"/>
        <v/>
      </c>
    </row>
    <row r="4561" spans="2:6" x14ac:dyDescent="0.2">
      <c r="B4561" s="12"/>
      <c r="C4561" s="12"/>
      <c r="D4561" s="17" t="str">
        <f t="shared" si="213"/>
        <v/>
      </c>
      <c r="E4561" s="18" t="str">
        <f t="shared" si="214"/>
        <v/>
      </c>
      <c r="F4561" s="17" t="str">
        <f t="shared" si="215"/>
        <v/>
      </c>
    </row>
    <row r="4562" spans="2:6" x14ac:dyDescent="0.2">
      <c r="B4562" s="12"/>
      <c r="C4562" s="12"/>
      <c r="D4562" s="17" t="str">
        <f t="shared" ref="D4562:D4625" si="216">IF(B4562="","",a+b*B4562)</f>
        <v/>
      </c>
      <c r="E4562" s="18" t="str">
        <f t="shared" si="214"/>
        <v/>
      </c>
      <c r="F4562" s="17" t="str">
        <f t="shared" si="215"/>
        <v/>
      </c>
    </row>
    <row r="4563" spans="2:6" x14ac:dyDescent="0.2">
      <c r="B4563" s="12"/>
      <c r="C4563" s="12"/>
      <c r="D4563" s="17" t="str">
        <f t="shared" si="216"/>
        <v/>
      </c>
      <c r="E4563" s="18" t="str">
        <f t="shared" si="214"/>
        <v/>
      </c>
      <c r="F4563" s="17" t="str">
        <f t="shared" si="215"/>
        <v/>
      </c>
    </row>
    <row r="4564" spans="2:6" x14ac:dyDescent="0.2">
      <c r="B4564" s="12"/>
      <c r="C4564" s="12"/>
      <c r="D4564" s="17" t="str">
        <f t="shared" si="216"/>
        <v/>
      </c>
      <c r="E4564" s="18" t="str">
        <f t="shared" si="214"/>
        <v/>
      </c>
      <c r="F4564" s="17" t="str">
        <f t="shared" si="215"/>
        <v/>
      </c>
    </row>
    <row r="4565" spans="2:6" x14ac:dyDescent="0.2">
      <c r="B4565" s="12"/>
      <c r="C4565" s="12"/>
      <c r="D4565" s="17" t="str">
        <f t="shared" si="216"/>
        <v/>
      </c>
      <c r="E4565" s="18" t="str">
        <f t="shared" si="214"/>
        <v/>
      </c>
      <c r="F4565" s="17" t="str">
        <f t="shared" si="215"/>
        <v/>
      </c>
    </row>
    <row r="4566" spans="2:6" x14ac:dyDescent="0.2">
      <c r="B4566" s="12"/>
      <c r="C4566" s="12"/>
      <c r="D4566" s="17" t="str">
        <f t="shared" si="216"/>
        <v/>
      </c>
      <c r="E4566" s="18" t="str">
        <f t="shared" si="214"/>
        <v/>
      </c>
      <c r="F4566" s="17" t="str">
        <f t="shared" si="215"/>
        <v/>
      </c>
    </row>
    <row r="4567" spans="2:6" x14ac:dyDescent="0.2">
      <c r="B4567" s="12"/>
      <c r="C4567" s="12"/>
      <c r="D4567" s="17" t="str">
        <f t="shared" si="216"/>
        <v/>
      </c>
      <c r="E4567" s="18" t="str">
        <f t="shared" si="214"/>
        <v/>
      </c>
      <c r="F4567" s="17" t="str">
        <f t="shared" si="215"/>
        <v/>
      </c>
    </row>
    <row r="4568" spans="2:6" x14ac:dyDescent="0.2">
      <c r="B4568" s="12"/>
      <c r="C4568" s="12"/>
      <c r="D4568" s="17" t="str">
        <f t="shared" si="216"/>
        <v/>
      </c>
      <c r="E4568" s="18" t="str">
        <f t="shared" si="214"/>
        <v/>
      </c>
      <c r="F4568" s="17" t="str">
        <f t="shared" si="215"/>
        <v/>
      </c>
    </row>
    <row r="4569" spans="2:6" x14ac:dyDescent="0.2">
      <c r="B4569" s="12"/>
      <c r="C4569" s="12"/>
      <c r="D4569" s="17" t="str">
        <f t="shared" si="216"/>
        <v/>
      </c>
      <c r="E4569" s="18" t="str">
        <f t="shared" si="214"/>
        <v/>
      </c>
      <c r="F4569" s="17" t="str">
        <f t="shared" si="215"/>
        <v/>
      </c>
    </row>
    <row r="4570" spans="2:6" x14ac:dyDescent="0.2">
      <c r="B4570" s="12"/>
      <c r="C4570" s="12"/>
      <c r="D4570" s="17" t="str">
        <f t="shared" si="216"/>
        <v/>
      </c>
      <c r="E4570" s="18" t="str">
        <f t="shared" si="214"/>
        <v/>
      </c>
      <c r="F4570" s="17" t="str">
        <f t="shared" si="215"/>
        <v/>
      </c>
    </row>
    <row r="4571" spans="2:6" x14ac:dyDescent="0.2">
      <c r="B4571" s="12"/>
      <c r="C4571" s="12"/>
      <c r="D4571" s="17" t="str">
        <f t="shared" si="216"/>
        <v/>
      </c>
      <c r="E4571" s="18" t="str">
        <f t="shared" si="214"/>
        <v/>
      </c>
      <c r="F4571" s="17" t="str">
        <f t="shared" si="215"/>
        <v/>
      </c>
    </row>
    <row r="4572" spans="2:6" x14ac:dyDescent="0.2">
      <c r="B4572" s="12"/>
      <c r="C4572" s="12"/>
      <c r="D4572" s="17" t="str">
        <f t="shared" si="216"/>
        <v/>
      </c>
      <c r="E4572" s="18" t="str">
        <f t="shared" si="214"/>
        <v/>
      </c>
      <c r="F4572" s="17" t="str">
        <f t="shared" si="215"/>
        <v/>
      </c>
    </row>
    <row r="4573" spans="2:6" x14ac:dyDescent="0.2">
      <c r="B4573" s="12"/>
      <c r="C4573" s="12"/>
      <c r="D4573" s="17" t="str">
        <f t="shared" si="216"/>
        <v/>
      </c>
      <c r="E4573" s="18" t="str">
        <f t="shared" si="214"/>
        <v/>
      </c>
      <c r="F4573" s="17" t="str">
        <f t="shared" si="215"/>
        <v/>
      </c>
    </row>
    <row r="4574" spans="2:6" x14ac:dyDescent="0.2">
      <c r="B4574" s="12"/>
      <c r="C4574" s="12"/>
      <c r="D4574" s="17" t="str">
        <f t="shared" si="216"/>
        <v/>
      </c>
      <c r="E4574" s="18" t="str">
        <f t="shared" si="214"/>
        <v/>
      </c>
      <c r="F4574" s="17" t="str">
        <f t="shared" si="215"/>
        <v/>
      </c>
    </row>
    <row r="4575" spans="2:6" x14ac:dyDescent="0.2">
      <c r="B4575" s="12"/>
      <c r="C4575" s="12"/>
      <c r="D4575" s="17" t="str">
        <f t="shared" si="216"/>
        <v/>
      </c>
      <c r="E4575" s="18" t="str">
        <f t="shared" si="214"/>
        <v/>
      </c>
      <c r="F4575" s="17" t="str">
        <f t="shared" si="215"/>
        <v/>
      </c>
    </row>
    <row r="4576" spans="2:6" x14ac:dyDescent="0.2">
      <c r="B4576" s="12"/>
      <c r="C4576" s="12"/>
      <c r="D4576" s="17" t="str">
        <f t="shared" si="216"/>
        <v/>
      </c>
      <c r="E4576" s="18" t="str">
        <f t="shared" si="214"/>
        <v/>
      </c>
      <c r="F4576" s="17" t="str">
        <f t="shared" si="215"/>
        <v/>
      </c>
    </row>
    <row r="4577" spans="2:6" x14ac:dyDescent="0.2">
      <c r="B4577" s="12"/>
      <c r="C4577" s="12"/>
      <c r="D4577" s="17" t="str">
        <f t="shared" si="216"/>
        <v/>
      </c>
      <c r="E4577" s="18" t="str">
        <f t="shared" si="214"/>
        <v/>
      </c>
      <c r="F4577" s="17" t="str">
        <f t="shared" si="215"/>
        <v/>
      </c>
    </row>
    <row r="4578" spans="2:6" x14ac:dyDescent="0.2">
      <c r="B4578" s="12"/>
      <c r="C4578" s="12"/>
      <c r="D4578" s="17" t="str">
        <f t="shared" si="216"/>
        <v/>
      </c>
      <c r="E4578" s="18" t="str">
        <f t="shared" si="214"/>
        <v/>
      </c>
      <c r="F4578" s="17" t="str">
        <f t="shared" si="215"/>
        <v/>
      </c>
    </row>
    <row r="4579" spans="2:6" x14ac:dyDescent="0.2">
      <c r="B4579" s="12"/>
      <c r="C4579" s="12"/>
      <c r="D4579" s="17" t="str">
        <f t="shared" si="216"/>
        <v/>
      </c>
      <c r="E4579" s="18" t="str">
        <f t="shared" si="214"/>
        <v/>
      </c>
      <c r="F4579" s="17" t="str">
        <f t="shared" si="215"/>
        <v/>
      </c>
    </row>
    <row r="4580" spans="2:6" x14ac:dyDescent="0.2">
      <c r="B4580" s="12"/>
      <c r="C4580" s="12"/>
      <c r="D4580" s="17" t="str">
        <f t="shared" si="216"/>
        <v/>
      </c>
      <c r="E4580" s="18" t="str">
        <f t="shared" si="214"/>
        <v/>
      </c>
      <c r="F4580" s="17" t="str">
        <f t="shared" si="215"/>
        <v/>
      </c>
    </row>
    <row r="4581" spans="2:6" x14ac:dyDescent="0.2">
      <c r="B4581" s="12"/>
      <c r="C4581" s="12"/>
      <c r="D4581" s="17" t="str">
        <f t="shared" si="216"/>
        <v/>
      </c>
      <c r="E4581" s="18" t="str">
        <f t="shared" si="214"/>
        <v/>
      </c>
      <c r="F4581" s="17" t="str">
        <f t="shared" si="215"/>
        <v/>
      </c>
    </row>
    <row r="4582" spans="2:6" x14ac:dyDescent="0.2">
      <c r="B4582" s="12"/>
      <c r="C4582" s="12"/>
      <c r="D4582" s="17" t="str">
        <f t="shared" si="216"/>
        <v/>
      </c>
      <c r="E4582" s="18" t="str">
        <f t="shared" si="214"/>
        <v/>
      </c>
      <c r="F4582" s="17" t="str">
        <f t="shared" si="215"/>
        <v/>
      </c>
    </row>
    <row r="4583" spans="2:6" x14ac:dyDescent="0.2">
      <c r="B4583" s="12"/>
      <c r="C4583" s="12"/>
      <c r="D4583" s="17" t="str">
        <f t="shared" si="216"/>
        <v/>
      </c>
      <c r="E4583" s="18" t="str">
        <f t="shared" si="214"/>
        <v/>
      </c>
      <c r="F4583" s="17" t="str">
        <f t="shared" si="215"/>
        <v/>
      </c>
    </row>
    <row r="4584" spans="2:6" x14ac:dyDescent="0.2">
      <c r="B4584" s="12"/>
      <c r="C4584" s="12"/>
      <c r="D4584" s="17" t="str">
        <f t="shared" si="216"/>
        <v/>
      </c>
      <c r="E4584" s="18" t="str">
        <f t="shared" si="214"/>
        <v/>
      </c>
      <c r="F4584" s="17" t="str">
        <f t="shared" si="215"/>
        <v/>
      </c>
    </row>
    <row r="4585" spans="2:6" x14ac:dyDescent="0.2">
      <c r="B4585" s="12"/>
      <c r="C4585" s="12"/>
      <c r="D4585" s="17" t="str">
        <f t="shared" si="216"/>
        <v/>
      </c>
      <c r="E4585" s="18" t="str">
        <f t="shared" si="214"/>
        <v/>
      </c>
      <c r="F4585" s="17" t="str">
        <f t="shared" si="215"/>
        <v/>
      </c>
    </row>
    <row r="4586" spans="2:6" x14ac:dyDescent="0.2">
      <c r="B4586" s="12"/>
      <c r="C4586" s="12"/>
      <c r="D4586" s="17" t="str">
        <f t="shared" si="216"/>
        <v/>
      </c>
      <c r="E4586" s="18" t="str">
        <f t="shared" si="214"/>
        <v/>
      </c>
      <c r="F4586" s="17" t="str">
        <f t="shared" si="215"/>
        <v/>
      </c>
    </row>
    <row r="4587" spans="2:6" x14ac:dyDescent="0.2">
      <c r="B4587" s="12"/>
      <c r="C4587" s="12"/>
      <c r="D4587" s="17" t="str">
        <f t="shared" si="216"/>
        <v/>
      </c>
      <c r="E4587" s="18" t="str">
        <f t="shared" si="214"/>
        <v/>
      </c>
      <c r="F4587" s="17" t="str">
        <f t="shared" si="215"/>
        <v/>
      </c>
    </row>
    <row r="4588" spans="2:6" x14ac:dyDescent="0.2">
      <c r="B4588" s="12"/>
      <c r="C4588" s="12"/>
      <c r="D4588" s="17" t="str">
        <f t="shared" si="216"/>
        <v/>
      </c>
      <c r="E4588" s="18" t="str">
        <f t="shared" si="214"/>
        <v/>
      </c>
      <c r="F4588" s="17" t="str">
        <f t="shared" si="215"/>
        <v/>
      </c>
    </row>
    <row r="4589" spans="2:6" x14ac:dyDescent="0.2">
      <c r="B4589" s="12"/>
      <c r="C4589" s="12"/>
      <c r="D4589" s="17" t="str">
        <f t="shared" si="216"/>
        <v/>
      </c>
      <c r="E4589" s="18" t="str">
        <f t="shared" si="214"/>
        <v/>
      </c>
      <c r="F4589" s="17" t="str">
        <f t="shared" si="215"/>
        <v/>
      </c>
    </row>
    <row r="4590" spans="2:6" x14ac:dyDescent="0.2">
      <c r="B4590" s="12"/>
      <c r="C4590" s="12"/>
      <c r="D4590" s="17" t="str">
        <f t="shared" si="216"/>
        <v/>
      </c>
      <c r="E4590" s="18" t="str">
        <f t="shared" si="214"/>
        <v/>
      </c>
      <c r="F4590" s="17" t="str">
        <f t="shared" si="215"/>
        <v/>
      </c>
    </row>
    <row r="4591" spans="2:6" x14ac:dyDescent="0.2">
      <c r="B4591" s="12"/>
      <c r="C4591" s="12"/>
      <c r="D4591" s="17" t="str">
        <f t="shared" si="216"/>
        <v/>
      </c>
      <c r="E4591" s="18" t="str">
        <f t="shared" si="214"/>
        <v/>
      </c>
      <c r="F4591" s="17" t="str">
        <f t="shared" si="215"/>
        <v/>
      </c>
    </row>
    <row r="4592" spans="2:6" x14ac:dyDescent="0.2">
      <c r="B4592" s="12"/>
      <c r="C4592" s="12"/>
      <c r="D4592" s="17" t="str">
        <f t="shared" si="216"/>
        <v/>
      </c>
      <c r="E4592" s="18" t="str">
        <f t="shared" si="214"/>
        <v/>
      </c>
      <c r="F4592" s="17" t="str">
        <f t="shared" si="215"/>
        <v/>
      </c>
    </row>
    <row r="4593" spans="2:6" x14ac:dyDescent="0.2">
      <c r="B4593" s="12"/>
      <c r="C4593" s="12"/>
      <c r="D4593" s="17" t="str">
        <f t="shared" si="216"/>
        <v/>
      </c>
      <c r="E4593" s="18" t="str">
        <f t="shared" si="214"/>
        <v/>
      </c>
      <c r="F4593" s="17" t="str">
        <f t="shared" si="215"/>
        <v/>
      </c>
    </row>
    <row r="4594" spans="2:6" x14ac:dyDescent="0.2">
      <c r="B4594" s="12"/>
      <c r="C4594" s="12"/>
      <c r="D4594" s="17" t="str">
        <f t="shared" si="216"/>
        <v/>
      </c>
      <c r="E4594" s="18" t="str">
        <f t="shared" si="214"/>
        <v/>
      </c>
      <c r="F4594" s="17" t="str">
        <f t="shared" si="215"/>
        <v/>
      </c>
    </row>
    <row r="4595" spans="2:6" x14ac:dyDescent="0.2">
      <c r="B4595" s="12"/>
      <c r="C4595" s="12"/>
      <c r="D4595" s="17" t="str">
        <f t="shared" si="216"/>
        <v/>
      </c>
      <c r="E4595" s="18" t="str">
        <f t="shared" si="214"/>
        <v/>
      </c>
      <c r="F4595" s="17" t="str">
        <f t="shared" si="215"/>
        <v/>
      </c>
    </row>
    <row r="4596" spans="2:6" x14ac:dyDescent="0.2">
      <c r="B4596" s="12"/>
      <c r="C4596" s="12"/>
      <c r="D4596" s="17" t="str">
        <f t="shared" si="216"/>
        <v/>
      </c>
      <c r="E4596" s="18" t="str">
        <f t="shared" si="214"/>
        <v/>
      </c>
      <c r="F4596" s="17" t="str">
        <f t="shared" si="215"/>
        <v/>
      </c>
    </row>
    <row r="4597" spans="2:6" x14ac:dyDescent="0.2">
      <c r="B4597" s="12"/>
      <c r="C4597" s="12"/>
      <c r="D4597" s="17" t="str">
        <f t="shared" si="216"/>
        <v/>
      </c>
      <c r="E4597" s="18" t="str">
        <f t="shared" si="214"/>
        <v/>
      </c>
      <c r="F4597" s="17" t="str">
        <f t="shared" si="215"/>
        <v/>
      </c>
    </row>
    <row r="4598" spans="2:6" x14ac:dyDescent="0.2">
      <c r="B4598" s="12"/>
      <c r="C4598" s="12"/>
      <c r="D4598" s="17" t="str">
        <f t="shared" si="216"/>
        <v/>
      </c>
      <c r="E4598" s="18" t="str">
        <f t="shared" si="214"/>
        <v/>
      </c>
      <c r="F4598" s="17" t="str">
        <f t="shared" si="215"/>
        <v/>
      </c>
    </row>
    <row r="4599" spans="2:6" x14ac:dyDescent="0.2">
      <c r="B4599" s="12"/>
      <c r="C4599" s="12"/>
      <c r="D4599" s="17" t="str">
        <f t="shared" si="216"/>
        <v/>
      </c>
      <c r="E4599" s="18" t="str">
        <f t="shared" si="214"/>
        <v/>
      </c>
      <c r="F4599" s="17" t="str">
        <f t="shared" si="215"/>
        <v/>
      </c>
    </row>
    <row r="4600" spans="2:6" x14ac:dyDescent="0.2">
      <c r="B4600" s="12"/>
      <c r="C4600" s="12"/>
      <c r="D4600" s="17" t="str">
        <f t="shared" si="216"/>
        <v/>
      </c>
      <c r="E4600" s="18" t="str">
        <f t="shared" si="214"/>
        <v/>
      </c>
      <c r="F4600" s="17" t="str">
        <f t="shared" si="215"/>
        <v/>
      </c>
    </row>
    <row r="4601" spans="2:6" x14ac:dyDescent="0.2">
      <c r="B4601" s="12"/>
      <c r="C4601" s="12"/>
      <c r="D4601" s="17" t="str">
        <f t="shared" si="216"/>
        <v/>
      </c>
      <c r="E4601" s="18" t="str">
        <f t="shared" si="214"/>
        <v/>
      </c>
      <c r="F4601" s="17" t="str">
        <f t="shared" si="215"/>
        <v/>
      </c>
    </row>
    <row r="4602" spans="2:6" x14ac:dyDescent="0.2">
      <c r="B4602" s="12"/>
      <c r="C4602" s="12"/>
      <c r="D4602" s="17" t="str">
        <f t="shared" si="216"/>
        <v/>
      </c>
      <c r="E4602" s="18" t="str">
        <f t="shared" si="214"/>
        <v/>
      </c>
      <c r="F4602" s="17" t="str">
        <f t="shared" si="215"/>
        <v/>
      </c>
    </row>
    <row r="4603" spans="2:6" x14ac:dyDescent="0.2">
      <c r="B4603" s="12"/>
      <c r="C4603" s="12"/>
      <c r="D4603" s="17" t="str">
        <f t="shared" si="216"/>
        <v/>
      </c>
      <c r="E4603" s="18" t="str">
        <f t="shared" si="214"/>
        <v/>
      </c>
      <c r="F4603" s="17" t="str">
        <f t="shared" si="215"/>
        <v/>
      </c>
    </row>
    <row r="4604" spans="2:6" x14ac:dyDescent="0.2">
      <c r="B4604" s="12"/>
      <c r="C4604" s="12"/>
      <c r="D4604" s="17" t="str">
        <f t="shared" si="216"/>
        <v/>
      </c>
      <c r="E4604" s="18" t="str">
        <f t="shared" si="214"/>
        <v/>
      </c>
      <c r="F4604" s="17" t="str">
        <f t="shared" si="215"/>
        <v/>
      </c>
    </row>
    <row r="4605" spans="2:6" x14ac:dyDescent="0.2">
      <c r="B4605" s="12"/>
      <c r="C4605" s="12"/>
      <c r="D4605" s="17" t="str">
        <f t="shared" si="216"/>
        <v/>
      </c>
      <c r="E4605" s="18" t="str">
        <f t="shared" si="214"/>
        <v/>
      </c>
      <c r="F4605" s="17" t="str">
        <f t="shared" si="215"/>
        <v/>
      </c>
    </row>
    <row r="4606" spans="2:6" x14ac:dyDescent="0.2">
      <c r="B4606" s="12"/>
      <c r="C4606" s="12"/>
      <c r="D4606" s="17" t="str">
        <f t="shared" si="216"/>
        <v/>
      </c>
      <c r="E4606" s="18" t="str">
        <f t="shared" si="214"/>
        <v/>
      </c>
      <c r="F4606" s="17" t="str">
        <f t="shared" si="215"/>
        <v/>
      </c>
    </row>
    <row r="4607" spans="2:6" x14ac:dyDescent="0.2">
      <c r="B4607" s="12"/>
      <c r="C4607" s="12"/>
      <c r="D4607" s="17" t="str">
        <f t="shared" si="216"/>
        <v/>
      </c>
      <c r="E4607" s="18" t="str">
        <f t="shared" si="214"/>
        <v/>
      </c>
      <c r="F4607" s="17" t="str">
        <f t="shared" si="215"/>
        <v/>
      </c>
    </row>
    <row r="4608" spans="2:6" x14ac:dyDescent="0.2">
      <c r="B4608" s="12"/>
      <c r="C4608" s="12"/>
      <c r="D4608" s="17" t="str">
        <f t="shared" si="216"/>
        <v/>
      </c>
      <c r="E4608" s="18" t="str">
        <f t="shared" si="214"/>
        <v/>
      </c>
      <c r="F4608" s="17" t="str">
        <f t="shared" si="215"/>
        <v/>
      </c>
    </row>
    <row r="4609" spans="2:6" x14ac:dyDescent="0.2">
      <c r="B4609" s="12"/>
      <c r="C4609" s="12"/>
      <c r="D4609" s="17" t="str">
        <f t="shared" si="216"/>
        <v/>
      </c>
      <c r="E4609" s="18" t="str">
        <f t="shared" si="214"/>
        <v/>
      </c>
      <c r="F4609" s="17" t="str">
        <f t="shared" si="215"/>
        <v/>
      </c>
    </row>
    <row r="4610" spans="2:6" x14ac:dyDescent="0.2">
      <c r="B4610" s="12"/>
      <c r="C4610" s="12"/>
      <c r="D4610" s="17" t="str">
        <f t="shared" si="216"/>
        <v/>
      </c>
      <c r="E4610" s="18" t="str">
        <f t="shared" si="214"/>
        <v/>
      </c>
      <c r="F4610" s="17" t="str">
        <f t="shared" si="215"/>
        <v/>
      </c>
    </row>
    <row r="4611" spans="2:6" x14ac:dyDescent="0.2">
      <c r="B4611" s="12"/>
      <c r="C4611" s="12"/>
      <c r="D4611" s="17" t="str">
        <f t="shared" si="216"/>
        <v/>
      </c>
      <c r="E4611" s="18" t="str">
        <f t="shared" si="214"/>
        <v/>
      </c>
      <c r="F4611" s="17" t="str">
        <f t="shared" si="215"/>
        <v/>
      </c>
    </row>
    <row r="4612" spans="2:6" x14ac:dyDescent="0.2">
      <c r="B4612" s="12"/>
      <c r="C4612" s="12"/>
      <c r="D4612" s="17" t="str">
        <f t="shared" si="216"/>
        <v/>
      </c>
      <c r="E4612" s="18" t="str">
        <f t="shared" si="214"/>
        <v/>
      </c>
      <c r="F4612" s="17" t="str">
        <f t="shared" si="215"/>
        <v/>
      </c>
    </row>
    <row r="4613" spans="2:6" x14ac:dyDescent="0.2">
      <c r="B4613" s="12"/>
      <c r="C4613" s="12"/>
      <c r="D4613" s="17" t="str">
        <f t="shared" si="216"/>
        <v/>
      </c>
      <c r="E4613" s="18" t="str">
        <f t="shared" ref="E4613:E4676" si="217">IF(B4613="","",ABS(C4613-D4613))</f>
        <v/>
      </c>
      <c r="F4613" s="17" t="str">
        <f t="shared" ref="F4613:F4676" si="218">IF(B4613="","",E4613^2)</f>
        <v/>
      </c>
    </row>
    <row r="4614" spans="2:6" x14ac:dyDescent="0.2">
      <c r="B4614" s="12"/>
      <c r="C4614" s="12"/>
      <c r="D4614" s="17" t="str">
        <f t="shared" si="216"/>
        <v/>
      </c>
      <c r="E4614" s="18" t="str">
        <f t="shared" si="217"/>
        <v/>
      </c>
      <c r="F4614" s="17" t="str">
        <f t="shared" si="218"/>
        <v/>
      </c>
    </row>
    <row r="4615" spans="2:6" x14ac:dyDescent="0.2">
      <c r="B4615" s="12"/>
      <c r="C4615" s="12"/>
      <c r="D4615" s="17" t="str">
        <f t="shared" si="216"/>
        <v/>
      </c>
      <c r="E4615" s="18" t="str">
        <f t="shared" si="217"/>
        <v/>
      </c>
      <c r="F4615" s="17" t="str">
        <f t="shared" si="218"/>
        <v/>
      </c>
    </row>
    <row r="4616" spans="2:6" x14ac:dyDescent="0.2">
      <c r="B4616" s="12"/>
      <c r="C4616" s="12"/>
      <c r="D4616" s="17" t="str">
        <f t="shared" si="216"/>
        <v/>
      </c>
      <c r="E4616" s="18" t="str">
        <f t="shared" si="217"/>
        <v/>
      </c>
      <c r="F4616" s="17" t="str">
        <f t="shared" si="218"/>
        <v/>
      </c>
    </row>
    <row r="4617" spans="2:6" x14ac:dyDescent="0.2">
      <c r="B4617" s="12"/>
      <c r="C4617" s="12"/>
      <c r="D4617" s="17" t="str">
        <f t="shared" si="216"/>
        <v/>
      </c>
      <c r="E4617" s="18" t="str">
        <f t="shared" si="217"/>
        <v/>
      </c>
      <c r="F4617" s="17" t="str">
        <f t="shared" si="218"/>
        <v/>
      </c>
    </row>
    <row r="4618" spans="2:6" x14ac:dyDescent="0.2">
      <c r="B4618" s="12"/>
      <c r="C4618" s="12"/>
      <c r="D4618" s="17" t="str">
        <f t="shared" si="216"/>
        <v/>
      </c>
      <c r="E4618" s="18" t="str">
        <f t="shared" si="217"/>
        <v/>
      </c>
      <c r="F4618" s="17" t="str">
        <f t="shared" si="218"/>
        <v/>
      </c>
    </row>
    <row r="4619" spans="2:6" x14ac:dyDescent="0.2">
      <c r="B4619" s="12"/>
      <c r="C4619" s="12"/>
      <c r="D4619" s="17" t="str">
        <f t="shared" si="216"/>
        <v/>
      </c>
      <c r="E4619" s="18" t="str">
        <f t="shared" si="217"/>
        <v/>
      </c>
      <c r="F4619" s="17" t="str">
        <f t="shared" si="218"/>
        <v/>
      </c>
    </row>
    <row r="4620" spans="2:6" x14ac:dyDescent="0.2">
      <c r="B4620" s="12"/>
      <c r="C4620" s="12"/>
      <c r="D4620" s="17" t="str">
        <f t="shared" si="216"/>
        <v/>
      </c>
      <c r="E4620" s="18" t="str">
        <f t="shared" si="217"/>
        <v/>
      </c>
      <c r="F4620" s="17" t="str">
        <f t="shared" si="218"/>
        <v/>
      </c>
    </row>
    <row r="4621" spans="2:6" x14ac:dyDescent="0.2">
      <c r="B4621" s="12"/>
      <c r="C4621" s="12"/>
      <c r="D4621" s="17" t="str">
        <f t="shared" si="216"/>
        <v/>
      </c>
      <c r="E4621" s="18" t="str">
        <f t="shared" si="217"/>
        <v/>
      </c>
      <c r="F4621" s="17" t="str">
        <f t="shared" si="218"/>
        <v/>
      </c>
    </row>
    <row r="4622" spans="2:6" x14ac:dyDescent="0.2">
      <c r="B4622" s="12"/>
      <c r="C4622" s="12"/>
      <c r="D4622" s="17" t="str">
        <f t="shared" si="216"/>
        <v/>
      </c>
      <c r="E4622" s="18" t="str">
        <f t="shared" si="217"/>
        <v/>
      </c>
      <c r="F4622" s="17" t="str">
        <f t="shared" si="218"/>
        <v/>
      </c>
    </row>
    <row r="4623" spans="2:6" x14ac:dyDescent="0.2">
      <c r="B4623" s="12"/>
      <c r="C4623" s="12"/>
      <c r="D4623" s="17" t="str">
        <f t="shared" si="216"/>
        <v/>
      </c>
      <c r="E4623" s="18" t="str">
        <f t="shared" si="217"/>
        <v/>
      </c>
      <c r="F4623" s="17" t="str">
        <f t="shared" si="218"/>
        <v/>
      </c>
    </row>
    <row r="4624" spans="2:6" x14ac:dyDescent="0.2">
      <c r="B4624" s="12"/>
      <c r="C4624" s="12"/>
      <c r="D4624" s="17" t="str">
        <f t="shared" si="216"/>
        <v/>
      </c>
      <c r="E4624" s="18" t="str">
        <f t="shared" si="217"/>
        <v/>
      </c>
      <c r="F4624" s="17" t="str">
        <f t="shared" si="218"/>
        <v/>
      </c>
    </row>
    <row r="4625" spans="2:6" x14ac:dyDescent="0.2">
      <c r="B4625" s="12"/>
      <c r="C4625" s="12"/>
      <c r="D4625" s="17" t="str">
        <f t="shared" si="216"/>
        <v/>
      </c>
      <c r="E4625" s="18" t="str">
        <f t="shared" si="217"/>
        <v/>
      </c>
      <c r="F4625" s="17" t="str">
        <f t="shared" si="218"/>
        <v/>
      </c>
    </row>
    <row r="4626" spans="2:6" x14ac:dyDescent="0.2">
      <c r="B4626" s="12"/>
      <c r="C4626" s="12"/>
      <c r="D4626" s="17" t="str">
        <f t="shared" ref="D4626:D4689" si="219">IF(B4626="","",a+b*B4626)</f>
        <v/>
      </c>
      <c r="E4626" s="18" t="str">
        <f t="shared" si="217"/>
        <v/>
      </c>
      <c r="F4626" s="17" t="str">
        <f t="shared" si="218"/>
        <v/>
      </c>
    </row>
    <row r="4627" spans="2:6" x14ac:dyDescent="0.2">
      <c r="B4627" s="12"/>
      <c r="C4627" s="12"/>
      <c r="D4627" s="17" t="str">
        <f t="shared" si="219"/>
        <v/>
      </c>
      <c r="E4627" s="18" t="str">
        <f t="shared" si="217"/>
        <v/>
      </c>
      <c r="F4627" s="17" t="str">
        <f t="shared" si="218"/>
        <v/>
      </c>
    </row>
    <row r="4628" spans="2:6" x14ac:dyDescent="0.2">
      <c r="B4628" s="12"/>
      <c r="C4628" s="12"/>
      <c r="D4628" s="17" t="str">
        <f t="shared" si="219"/>
        <v/>
      </c>
      <c r="E4628" s="18" t="str">
        <f t="shared" si="217"/>
        <v/>
      </c>
      <c r="F4628" s="17" t="str">
        <f t="shared" si="218"/>
        <v/>
      </c>
    </row>
    <row r="4629" spans="2:6" x14ac:dyDescent="0.2">
      <c r="B4629" s="12"/>
      <c r="C4629" s="12"/>
      <c r="D4629" s="17" t="str">
        <f t="shared" si="219"/>
        <v/>
      </c>
      <c r="E4629" s="18" t="str">
        <f t="shared" si="217"/>
        <v/>
      </c>
      <c r="F4629" s="17" t="str">
        <f t="shared" si="218"/>
        <v/>
      </c>
    </row>
    <row r="4630" spans="2:6" x14ac:dyDescent="0.2">
      <c r="B4630" s="12"/>
      <c r="C4630" s="12"/>
      <c r="D4630" s="17" t="str">
        <f t="shared" si="219"/>
        <v/>
      </c>
      <c r="E4630" s="18" t="str">
        <f t="shared" si="217"/>
        <v/>
      </c>
      <c r="F4630" s="17" t="str">
        <f t="shared" si="218"/>
        <v/>
      </c>
    </row>
    <row r="4631" spans="2:6" x14ac:dyDescent="0.2">
      <c r="B4631" s="12"/>
      <c r="C4631" s="12"/>
      <c r="D4631" s="17" t="str">
        <f t="shared" si="219"/>
        <v/>
      </c>
      <c r="E4631" s="18" t="str">
        <f t="shared" si="217"/>
        <v/>
      </c>
      <c r="F4631" s="17" t="str">
        <f t="shared" si="218"/>
        <v/>
      </c>
    </row>
    <row r="4632" spans="2:6" x14ac:dyDescent="0.2">
      <c r="B4632" s="12"/>
      <c r="C4632" s="12"/>
      <c r="D4632" s="17" t="str">
        <f t="shared" si="219"/>
        <v/>
      </c>
      <c r="E4632" s="18" t="str">
        <f t="shared" si="217"/>
        <v/>
      </c>
      <c r="F4632" s="17" t="str">
        <f t="shared" si="218"/>
        <v/>
      </c>
    </row>
    <row r="4633" spans="2:6" x14ac:dyDescent="0.2">
      <c r="B4633" s="12"/>
      <c r="C4633" s="12"/>
      <c r="D4633" s="17" t="str">
        <f t="shared" si="219"/>
        <v/>
      </c>
      <c r="E4633" s="18" t="str">
        <f t="shared" si="217"/>
        <v/>
      </c>
      <c r="F4633" s="17" t="str">
        <f t="shared" si="218"/>
        <v/>
      </c>
    </row>
    <row r="4634" spans="2:6" x14ac:dyDescent="0.2">
      <c r="B4634" s="12"/>
      <c r="C4634" s="12"/>
      <c r="D4634" s="17" t="str">
        <f t="shared" si="219"/>
        <v/>
      </c>
      <c r="E4634" s="18" t="str">
        <f t="shared" si="217"/>
        <v/>
      </c>
      <c r="F4634" s="17" t="str">
        <f t="shared" si="218"/>
        <v/>
      </c>
    </row>
    <row r="4635" spans="2:6" x14ac:dyDescent="0.2">
      <c r="B4635" s="12"/>
      <c r="C4635" s="12"/>
      <c r="D4635" s="17" t="str">
        <f t="shared" si="219"/>
        <v/>
      </c>
      <c r="E4635" s="18" t="str">
        <f t="shared" si="217"/>
        <v/>
      </c>
      <c r="F4635" s="17" t="str">
        <f t="shared" si="218"/>
        <v/>
      </c>
    </row>
    <row r="4636" spans="2:6" x14ac:dyDescent="0.2">
      <c r="B4636" s="12"/>
      <c r="C4636" s="12"/>
      <c r="D4636" s="17" t="str">
        <f t="shared" si="219"/>
        <v/>
      </c>
      <c r="E4636" s="18" t="str">
        <f t="shared" si="217"/>
        <v/>
      </c>
      <c r="F4636" s="17" t="str">
        <f t="shared" si="218"/>
        <v/>
      </c>
    </row>
    <row r="4637" spans="2:6" x14ac:dyDescent="0.2">
      <c r="B4637" s="12"/>
      <c r="C4637" s="12"/>
      <c r="D4637" s="17" t="str">
        <f t="shared" si="219"/>
        <v/>
      </c>
      <c r="E4637" s="18" t="str">
        <f t="shared" si="217"/>
        <v/>
      </c>
      <c r="F4637" s="17" t="str">
        <f t="shared" si="218"/>
        <v/>
      </c>
    </row>
    <row r="4638" spans="2:6" x14ac:dyDescent="0.2">
      <c r="B4638" s="12"/>
      <c r="C4638" s="12"/>
      <c r="D4638" s="17" t="str">
        <f t="shared" si="219"/>
        <v/>
      </c>
      <c r="E4638" s="18" t="str">
        <f t="shared" si="217"/>
        <v/>
      </c>
      <c r="F4638" s="17" t="str">
        <f t="shared" si="218"/>
        <v/>
      </c>
    </row>
    <row r="4639" spans="2:6" x14ac:dyDescent="0.2">
      <c r="B4639" s="12"/>
      <c r="C4639" s="12"/>
      <c r="D4639" s="17" t="str">
        <f t="shared" si="219"/>
        <v/>
      </c>
      <c r="E4639" s="18" t="str">
        <f t="shared" si="217"/>
        <v/>
      </c>
      <c r="F4639" s="17" t="str">
        <f t="shared" si="218"/>
        <v/>
      </c>
    </row>
    <row r="4640" spans="2:6" x14ac:dyDescent="0.2">
      <c r="B4640" s="12"/>
      <c r="C4640" s="12"/>
      <c r="D4640" s="17" t="str">
        <f t="shared" si="219"/>
        <v/>
      </c>
      <c r="E4640" s="18" t="str">
        <f t="shared" si="217"/>
        <v/>
      </c>
      <c r="F4640" s="17" t="str">
        <f t="shared" si="218"/>
        <v/>
      </c>
    </row>
    <row r="4641" spans="2:6" x14ac:dyDescent="0.2">
      <c r="B4641" s="12"/>
      <c r="C4641" s="12"/>
      <c r="D4641" s="17" t="str">
        <f t="shared" si="219"/>
        <v/>
      </c>
      <c r="E4641" s="18" t="str">
        <f t="shared" si="217"/>
        <v/>
      </c>
      <c r="F4641" s="17" t="str">
        <f t="shared" si="218"/>
        <v/>
      </c>
    </row>
    <row r="4642" spans="2:6" x14ac:dyDescent="0.2">
      <c r="B4642" s="12"/>
      <c r="C4642" s="12"/>
      <c r="D4642" s="17" t="str">
        <f t="shared" si="219"/>
        <v/>
      </c>
      <c r="E4642" s="18" t="str">
        <f t="shared" si="217"/>
        <v/>
      </c>
      <c r="F4642" s="17" t="str">
        <f t="shared" si="218"/>
        <v/>
      </c>
    </row>
    <row r="4643" spans="2:6" x14ac:dyDescent="0.2">
      <c r="B4643" s="12"/>
      <c r="C4643" s="12"/>
      <c r="D4643" s="17" t="str">
        <f t="shared" si="219"/>
        <v/>
      </c>
      <c r="E4643" s="18" t="str">
        <f t="shared" si="217"/>
        <v/>
      </c>
      <c r="F4643" s="17" t="str">
        <f t="shared" si="218"/>
        <v/>
      </c>
    </row>
    <row r="4644" spans="2:6" x14ac:dyDescent="0.2">
      <c r="B4644" s="12"/>
      <c r="C4644" s="12"/>
      <c r="D4644" s="17" t="str">
        <f t="shared" si="219"/>
        <v/>
      </c>
      <c r="E4644" s="18" t="str">
        <f t="shared" si="217"/>
        <v/>
      </c>
      <c r="F4644" s="17" t="str">
        <f t="shared" si="218"/>
        <v/>
      </c>
    </row>
    <row r="4645" spans="2:6" x14ac:dyDescent="0.2">
      <c r="B4645" s="12"/>
      <c r="C4645" s="12"/>
      <c r="D4645" s="17" t="str">
        <f t="shared" si="219"/>
        <v/>
      </c>
      <c r="E4645" s="18" t="str">
        <f t="shared" si="217"/>
        <v/>
      </c>
      <c r="F4645" s="17" t="str">
        <f t="shared" si="218"/>
        <v/>
      </c>
    </row>
    <row r="4646" spans="2:6" x14ac:dyDescent="0.2">
      <c r="B4646" s="12"/>
      <c r="C4646" s="12"/>
      <c r="D4646" s="17" t="str">
        <f t="shared" si="219"/>
        <v/>
      </c>
      <c r="E4646" s="18" t="str">
        <f t="shared" si="217"/>
        <v/>
      </c>
      <c r="F4646" s="17" t="str">
        <f t="shared" si="218"/>
        <v/>
      </c>
    </row>
    <row r="4647" spans="2:6" x14ac:dyDescent="0.2">
      <c r="B4647" s="12"/>
      <c r="C4647" s="12"/>
      <c r="D4647" s="17" t="str">
        <f t="shared" si="219"/>
        <v/>
      </c>
      <c r="E4647" s="18" t="str">
        <f t="shared" si="217"/>
        <v/>
      </c>
      <c r="F4647" s="17" t="str">
        <f t="shared" si="218"/>
        <v/>
      </c>
    </row>
    <row r="4648" spans="2:6" x14ac:dyDescent="0.2">
      <c r="B4648" s="12"/>
      <c r="C4648" s="12"/>
      <c r="D4648" s="17" t="str">
        <f t="shared" si="219"/>
        <v/>
      </c>
      <c r="E4648" s="18" t="str">
        <f t="shared" si="217"/>
        <v/>
      </c>
      <c r="F4648" s="17" t="str">
        <f t="shared" si="218"/>
        <v/>
      </c>
    </row>
    <row r="4649" spans="2:6" x14ac:dyDescent="0.2">
      <c r="B4649" s="12"/>
      <c r="C4649" s="12"/>
      <c r="D4649" s="17" t="str">
        <f t="shared" si="219"/>
        <v/>
      </c>
      <c r="E4649" s="18" t="str">
        <f t="shared" si="217"/>
        <v/>
      </c>
      <c r="F4649" s="17" t="str">
        <f t="shared" si="218"/>
        <v/>
      </c>
    </row>
    <row r="4650" spans="2:6" x14ac:dyDescent="0.2">
      <c r="B4650" s="12"/>
      <c r="C4650" s="12"/>
      <c r="D4650" s="17" t="str">
        <f t="shared" si="219"/>
        <v/>
      </c>
      <c r="E4650" s="18" t="str">
        <f t="shared" si="217"/>
        <v/>
      </c>
      <c r="F4650" s="17" t="str">
        <f t="shared" si="218"/>
        <v/>
      </c>
    </row>
    <row r="4651" spans="2:6" x14ac:dyDescent="0.2">
      <c r="B4651" s="12"/>
      <c r="C4651" s="12"/>
      <c r="D4651" s="17" t="str">
        <f t="shared" si="219"/>
        <v/>
      </c>
      <c r="E4651" s="18" t="str">
        <f t="shared" si="217"/>
        <v/>
      </c>
      <c r="F4651" s="17" t="str">
        <f t="shared" si="218"/>
        <v/>
      </c>
    </row>
    <row r="4652" spans="2:6" x14ac:dyDescent="0.2">
      <c r="B4652" s="12"/>
      <c r="C4652" s="12"/>
      <c r="D4652" s="17" t="str">
        <f t="shared" si="219"/>
        <v/>
      </c>
      <c r="E4652" s="18" t="str">
        <f t="shared" si="217"/>
        <v/>
      </c>
      <c r="F4652" s="17" t="str">
        <f t="shared" si="218"/>
        <v/>
      </c>
    </row>
    <row r="4653" spans="2:6" x14ac:dyDescent="0.2">
      <c r="B4653" s="12"/>
      <c r="C4653" s="12"/>
      <c r="D4653" s="17" t="str">
        <f t="shared" si="219"/>
        <v/>
      </c>
      <c r="E4653" s="18" t="str">
        <f t="shared" si="217"/>
        <v/>
      </c>
      <c r="F4653" s="17" t="str">
        <f t="shared" si="218"/>
        <v/>
      </c>
    </row>
    <row r="4654" spans="2:6" x14ac:dyDescent="0.2">
      <c r="B4654" s="12"/>
      <c r="C4654" s="12"/>
      <c r="D4654" s="17" t="str">
        <f t="shared" si="219"/>
        <v/>
      </c>
      <c r="E4654" s="18" t="str">
        <f t="shared" si="217"/>
        <v/>
      </c>
      <c r="F4654" s="17" t="str">
        <f t="shared" si="218"/>
        <v/>
      </c>
    </row>
    <row r="4655" spans="2:6" x14ac:dyDescent="0.2">
      <c r="B4655" s="12"/>
      <c r="C4655" s="12"/>
      <c r="D4655" s="17" t="str">
        <f t="shared" si="219"/>
        <v/>
      </c>
      <c r="E4655" s="18" t="str">
        <f t="shared" si="217"/>
        <v/>
      </c>
      <c r="F4655" s="17" t="str">
        <f t="shared" si="218"/>
        <v/>
      </c>
    </row>
    <row r="4656" spans="2:6" x14ac:dyDescent="0.2">
      <c r="B4656" s="12"/>
      <c r="C4656" s="12"/>
      <c r="D4656" s="17" t="str">
        <f t="shared" si="219"/>
        <v/>
      </c>
      <c r="E4656" s="18" t="str">
        <f t="shared" si="217"/>
        <v/>
      </c>
      <c r="F4656" s="17" t="str">
        <f t="shared" si="218"/>
        <v/>
      </c>
    </row>
    <row r="4657" spans="2:6" x14ac:dyDescent="0.2">
      <c r="B4657" s="12"/>
      <c r="C4657" s="12"/>
      <c r="D4657" s="17" t="str">
        <f t="shared" si="219"/>
        <v/>
      </c>
      <c r="E4657" s="18" t="str">
        <f t="shared" si="217"/>
        <v/>
      </c>
      <c r="F4657" s="17" t="str">
        <f t="shared" si="218"/>
        <v/>
      </c>
    </row>
    <row r="4658" spans="2:6" x14ac:dyDescent="0.2">
      <c r="B4658" s="12"/>
      <c r="C4658" s="12"/>
      <c r="D4658" s="17" t="str">
        <f t="shared" si="219"/>
        <v/>
      </c>
      <c r="E4658" s="18" t="str">
        <f t="shared" si="217"/>
        <v/>
      </c>
      <c r="F4658" s="17" t="str">
        <f t="shared" si="218"/>
        <v/>
      </c>
    </row>
    <row r="4659" spans="2:6" x14ac:dyDescent="0.2">
      <c r="B4659" s="12"/>
      <c r="C4659" s="12"/>
      <c r="D4659" s="17" t="str">
        <f t="shared" si="219"/>
        <v/>
      </c>
      <c r="E4659" s="18" t="str">
        <f t="shared" si="217"/>
        <v/>
      </c>
      <c r="F4659" s="17" t="str">
        <f t="shared" si="218"/>
        <v/>
      </c>
    </row>
    <row r="4660" spans="2:6" x14ac:dyDescent="0.2">
      <c r="B4660" s="12"/>
      <c r="C4660" s="12"/>
      <c r="D4660" s="17" t="str">
        <f t="shared" si="219"/>
        <v/>
      </c>
      <c r="E4660" s="18" t="str">
        <f t="shared" si="217"/>
        <v/>
      </c>
      <c r="F4660" s="17" t="str">
        <f t="shared" si="218"/>
        <v/>
      </c>
    </row>
    <row r="4661" spans="2:6" x14ac:dyDescent="0.2">
      <c r="B4661" s="12"/>
      <c r="C4661" s="12"/>
      <c r="D4661" s="17" t="str">
        <f t="shared" si="219"/>
        <v/>
      </c>
      <c r="E4661" s="18" t="str">
        <f t="shared" si="217"/>
        <v/>
      </c>
      <c r="F4661" s="17" t="str">
        <f t="shared" si="218"/>
        <v/>
      </c>
    </row>
    <row r="4662" spans="2:6" x14ac:dyDescent="0.2">
      <c r="B4662" s="12"/>
      <c r="C4662" s="12"/>
      <c r="D4662" s="17" t="str">
        <f t="shared" si="219"/>
        <v/>
      </c>
      <c r="E4662" s="18" t="str">
        <f t="shared" si="217"/>
        <v/>
      </c>
      <c r="F4662" s="17" t="str">
        <f t="shared" si="218"/>
        <v/>
      </c>
    </row>
    <row r="4663" spans="2:6" x14ac:dyDescent="0.2">
      <c r="B4663" s="12"/>
      <c r="C4663" s="12"/>
      <c r="D4663" s="17" t="str">
        <f t="shared" si="219"/>
        <v/>
      </c>
      <c r="E4663" s="18" t="str">
        <f t="shared" si="217"/>
        <v/>
      </c>
      <c r="F4663" s="17" t="str">
        <f t="shared" si="218"/>
        <v/>
      </c>
    </row>
    <row r="4664" spans="2:6" x14ac:dyDescent="0.2">
      <c r="B4664" s="12"/>
      <c r="C4664" s="12"/>
      <c r="D4664" s="17" t="str">
        <f t="shared" si="219"/>
        <v/>
      </c>
      <c r="E4664" s="18" t="str">
        <f t="shared" si="217"/>
        <v/>
      </c>
      <c r="F4664" s="17" t="str">
        <f t="shared" si="218"/>
        <v/>
      </c>
    </row>
    <row r="4665" spans="2:6" x14ac:dyDescent="0.2">
      <c r="B4665" s="12"/>
      <c r="C4665" s="12"/>
      <c r="D4665" s="17" t="str">
        <f t="shared" si="219"/>
        <v/>
      </c>
      <c r="E4665" s="18" t="str">
        <f t="shared" si="217"/>
        <v/>
      </c>
      <c r="F4665" s="17" t="str">
        <f t="shared" si="218"/>
        <v/>
      </c>
    </row>
    <row r="4666" spans="2:6" x14ac:dyDescent="0.2">
      <c r="B4666" s="12"/>
      <c r="C4666" s="12"/>
      <c r="D4666" s="17" t="str">
        <f t="shared" si="219"/>
        <v/>
      </c>
      <c r="E4666" s="18" t="str">
        <f t="shared" si="217"/>
        <v/>
      </c>
      <c r="F4666" s="17" t="str">
        <f t="shared" si="218"/>
        <v/>
      </c>
    </row>
    <row r="4667" spans="2:6" x14ac:dyDescent="0.2">
      <c r="B4667" s="12"/>
      <c r="C4667" s="12"/>
      <c r="D4667" s="17" t="str">
        <f t="shared" si="219"/>
        <v/>
      </c>
      <c r="E4667" s="18" t="str">
        <f t="shared" si="217"/>
        <v/>
      </c>
      <c r="F4667" s="17" t="str">
        <f t="shared" si="218"/>
        <v/>
      </c>
    </row>
    <row r="4668" spans="2:6" x14ac:dyDescent="0.2">
      <c r="B4668" s="12"/>
      <c r="C4668" s="12"/>
      <c r="D4668" s="17" t="str">
        <f t="shared" si="219"/>
        <v/>
      </c>
      <c r="E4668" s="18" t="str">
        <f t="shared" si="217"/>
        <v/>
      </c>
      <c r="F4668" s="17" t="str">
        <f t="shared" si="218"/>
        <v/>
      </c>
    </row>
    <row r="4669" spans="2:6" x14ac:dyDescent="0.2">
      <c r="B4669" s="12"/>
      <c r="C4669" s="12"/>
      <c r="D4669" s="17" t="str">
        <f t="shared" si="219"/>
        <v/>
      </c>
      <c r="E4669" s="18" t="str">
        <f t="shared" si="217"/>
        <v/>
      </c>
      <c r="F4669" s="17" t="str">
        <f t="shared" si="218"/>
        <v/>
      </c>
    </row>
    <row r="4670" spans="2:6" x14ac:dyDescent="0.2">
      <c r="B4670" s="12"/>
      <c r="C4670" s="12"/>
      <c r="D4670" s="17" t="str">
        <f t="shared" si="219"/>
        <v/>
      </c>
      <c r="E4670" s="18" t="str">
        <f t="shared" si="217"/>
        <v/>
      </c>
      <c r="F4670" s="17" t="str">
        <f t="shared" si="218"/>
        <v/>
      </c>
    </row>
    <row r="4671" spans="2:6" x14ac:dyDescent="0.2">
      <c r="B4671" s="12"/>
      <c r="C4671" s="12"/>
      <c r="D4671" s="17" t="str">
        <f t="shared" si="219"/>
        <v/>
      </c>
      <c r="E4671" s="18" t="str">
        <f t="shared" si="217"/>
        <v/>
      </c>
      <c r="F4671" s="17" t="str">
        <f t="shared" si="218"/>
        <v/>
      </c>
    </row>
    <row r="4672" spans="2:6" x14ac:dyDescent="0.2">
      <c r="B4672" s="12"/>
      <c r="C4672" s="12"/>
      <c r="D4672" s="17" t="str">
        <f t="shared" si="219"/>
        <v/>
      </c>
      <c r="E4672" s="18" t="str">
        <f t="shared" si="217"/>
        <v/>
      </c>
      <c r="F4672" s="17" t="str">
        <f t="shared" si="218"/>
        <v/>
      </c>
    </row>
    <row r="4673" spans="2:6" x14ac:dyDescent="0.2">
      <c r="B4673" s="12"/>
      <c r="C4673" s="12"/>
      <c r="D4673" s="17" t="str">
        <f t="shared" si="219"/>
        <v/>
      </c>
      <c r="E4673" s="18" t="str">
        <f t="shared" si="217"/>
        <v/>
      </c>
      <c r="F4673" s="17" t="str">
        <f t="shared" si="218"/>
        <v/>
      </c>
    </row>
    <row r="4674" spans="2:6" x14ac:dyDescent="0.2">
      <c r="B4674" s="12"/>
      <c r="C4674" s="12"/>
      <c r="D4674" s="17" t="str">
        <f t="shared" si="219"/>
        <v/>
      </c>
      <c r="E4674" s="18" t="str">
        <f t="shared" si="217"/>
        <v/>
      </c>
      <c r="F4674" s="17" t="str">
        <f t="shared" si="218"/>
        <v/>
      </c>
    </row>
    <row r="4675" spans="2:6" x14ac:dyDescent="0.2">
      <c r="B4675" s="12"/>
      <c r="C4675" s="12"/>
      <c r="D4675" s="17" t="str">
        <f t="shared" si="219"/>
        <v/>
      </c>
      <c r="E4675" s="18" t="str">
        <f t="shared" si="217"/>
        <v/>
      </c>
      <c r="F4675" s="17" t="str">
        <f t="shared" si="218"/>
        <v/>
      </c>
    </row>
    <row r="4676" spans="2:6" x14ac:dyDescent="0.2">
      <c r="B4676" s="12"/>
      <c r="C4676" s="12"/>
      <c r="D4676" s="17" t="str">
        <f t="shared" si="219"/>
        <v/>
      </c>
      <c r="E4676" s="18" t="str">
        <f t="shared" si="217"/>
        <v/>
      </c>
      <c r="F4676" s="17" t="str">
        <f t="shared" si="218"/>
        <v/>
      </c>
    </row>
    <row r="4677" spans="2:6" x14ac:dyDescent="0.2">
      <c r="B4677" s="12"/>
      <c r="C4677" s="12"/>
      <c r="D4677" s="17" t="str">
        <f t="shared" si="219"/>
        <v/>
      </c>
      <c r="E4677" s="18" t="str">
        <f t="shared" ref="E4677:E4740" si="220">IF(B4677="","",ABS(C4677-D4677))</f>
        <v/>
      </c>
      <c r="F4677" s="17" t="str">
        <f t="shared" ref="F4677:F4740" si="221">IF(B4677="","",E4677^2)</f>
        <v/>
      </c>
    </row>
    <row r="4678" spans="2:6" x14ac:dyDescent="0.2">
      <c r="B4678" s="12"/>
      <c r="C4678" s="12"/>
      <c r="D4678" s="17" t="str">
        <f t="shared" si="219"/>
        <v/>
      </c>
      <c r="E4678" s="18" t="str">
        <f t="shared" si="220"/>
        <v/>
      </c>
      <c r="F4678" s="17" t="str">
        <f t="shared" si="221"/>
        <v/>
      </c>
    </row>
    <row r="4679" spans="2:6" x14ac:dyDescent="0.2">
      <c r="B4679" s="12"/>
      <c r="C4679" s="12"/>
      <c r="D4679" s="17" t="str">
        <f t="shared" si="219"/>
        <v/>
      </c>
      <c r="E4679" s="18" t="str">
        <f t="shared" si="220"/>
        <v/>
      </c>
      <c r="F4679" s="17" t="str">
        <f t="shared" si="221"/>
        <v/>
      </c>
    </row>
    <row r="4680" spans="2:6" x14ac:dyDescent="0.2">
      <c r="B4680" s="12"/>
      <c r="C4680" s="12"/>
      <c r="D4680" s="17" t="str">
        <f t="shared" si="219"/>
        <v/>
      </c>
      <c r="E4680" s="18" t="str">
        <f t="shared" si="220"/>
        <v/>
      </c>
      <c r="F4680" s="17" t="str">
        <f t="shared" si="221"/>
        <v/>
      </c>
    </row>
    <row r="4681" spans="2:6" x14ac:dyDescent="0.2">
      <c r="B4681" s="12"/>
      <c r="C4681" s="12"/>
      <c r="D4681" s="17" t="str">
        <f t="shared" si="219"/>
        <v/>
      </c>
      <c r="E4681" s="18" t="str">
        <f t="shared" si="220"/>
        <v/>
      </c>
      <c r="F4681" s="17" t="str">
        <f t="shared" si="221"/>
        <v/>
      </c>
    </row>
    <row r="4682" spans="2:6" x14ac:dyDescent="0.2">
      <c r="B4682" s="12"/>
      <c r="C4682" s="12"/>
      <c r="D4682" s="17" t="str">
        <f t="shared" si="219"/>
        <v/>
      </c>
      <c r="E4682" s="18" t="str">
        <f t="shared" si="220"/>
        <v/>
      </c>
      <c r="F4682" s="17" t="str">
        <f t="shared" si="221"/>
        <v/>
      </c>
    </row>
    <row r="4683" spans="2:6" x14ac:dyDescent="0.2">
      <c r="B4683" s="12"/>
      <c r="C4683" s="12"/>
      <c r="D4683" s="17" t="str">
        <f t="shared" si="219"/>
        <v/>
      </c>
      <c r="E4683" s="18" t="str">
        <f t="shared" si="220"/>
        <v/>
      </c>
      <c r="F4683" s="17" t="str">
        <f t="shared" si="221"/>
        <v/>
      </c>
    </row>
    <row r="4684" spans="2:6" x14ac:dyDescent="0.2">
      <c r="B4684" s="12"/>
      <c r="C4684" s="12"/>
      <c r="D4684" s="17" t="str">
        <f t="shared" si="219"/>
        <v/>
      </c>
      <c r="E4684" s="18" t="str">
        <f t="shared" si="220"/>
        <v/>
      </c>
      <c r="F4684" s="17" t="str">
        <f t="shared" si="221"/>
        <v/>
      </c>
    </row>
    <row r="4685" spans="2:6" x14ac:dyDescent="0.2">
      <c r="B4685" s="12"/>
      <c r="C4685" s="12"/>
      <c r="D4685" s="17" t="str">
        <f t="shared" si="219"/>
        <v/>
      </c>
      <c r="E4685" s="18" t="str">
        <f t="shared" si="220"/>
        <v/>
      </c>
      <c r="F4685" s="17" t="str">
        <f t="shared" si="221"/>
        <v/>
      </c>
    </row>
    <row r="4686" spans="2:6" x14ac:dyDescent="0.2">
      <c r="B4686" s="12"/>
      <c r="C4686" s="12"/>
      <c r="D4686" s="17" t="str">
        <f t="shared" si="219"/>
        <v/>
      </c>
      <c r="E4686" s="18" t="str">
        <f t="shared" si="220"/>
        <v/>
      </c>
      <c r="F4686" s="17" t="str">
        <f t="shared" si="221"/>
        <v/>
      </c>
    </row>
    <row r="4687" spans="2:6" x14ac:dyDescent="0.2">
      <c r="B4687" s="12"/>
      <c r="C4687" s="12"/>
      <c r="D4687" s="17" t="str">
        <f t="shared" si="219"/>
        <v/>
      </c>
      <c r="E4687" s="18" t="str">
        <f t="shared" si="220"/>
        <v/>
      </c>
      <c r="F4687" s="17" t="str">
        <f t="shared" si="221"/>
        <v/>
      </c>
    </row>
    <row r="4688" spans="2:6" x14ac:dyDescent="0.2">
      <c r="B4688" s="12"/>
      <c r="C4688" s="12"/>
      <c r="D4688" s="17" t="str">
        <f t="shared" si="219"/>
        <v/>
      </c>
      <c r="E4688" s="18" t="str">
        <f t="shared" si="220"/>
        <v/>
      </c>
      <c r="F4688" s="17" t="str">
        <f t="shared" si="221"/>
        <v/>
      </c>
    </row>
    <row r="4689" spans="2:6" x14ac:dyDescent="0.2">
      <c r="B4689" s="12"/>
      <c r="C4689" s="12"/>
      <c r="D4689" s="17" t="str">
        <f t="shared" si="219"/>
        <v/>
      </c>
      <c r="E4689" s="18" t="str">
        <f t="shared" si="220"/>
        <v/>
      </c>
      <c r="F4689" s="17" t="str">
        <f t="shared" si="221"/>
        <v/>
      </c>
    </row>
    <row r="4690" spans="2:6" x14ac:dyDescent="0.2">
      <c r="B4690" s="12"/>
      <c r="C4690" s="12"/>
      <c r="D4690" s="17" t="str">
        <f t="shared" ref="D4690:D4753" si="222">IF(B4690="","",a+b*B4690)</f>
        <v/>
      </c>
      <c r="E4690" s="18" t="str">
        <f t="shared" si="220"/>
        <v/>
      </c>
      <c r="F4690" s="17" t="str">
        <f t="shared" si="221"/>
        <v/>
      </c>
    </row>
    <row r="4691" spans="2:6" x14ac:dyDescent="0.2">
      <c r="B4691" s="12"/>
      <c r="C4691" s="12"/>
      <c r="D4691" s="17" t="str">
        <f t="shared" si="222"/>
        <v/>
      </c>
      <c r="E4691" s="18" t="str">
        <f t="shared" si="220"/>
        <v/>
      </c>
      <c r="F4691" s="17" t="str">
        <f t="shared" si="221"/>
        <v/>
      </c>
    </row>
    <row r="4692" spans="2:6" x14ac:dyDescent="0.2">
      <c r="B4692" s="12"/>
      <c r="C4692" s="12"/>
      <c r="D4692" s="17" t="str">
        <f t="shared" si="222"/>
        <v/>
      </c>
      <c r="E4692" s="18" t="str">
        <f t="shared" si="220"/>
        <v/>
      </c>
      <c r="F4692" s="17" t="str">
        <f t="shared" si="221"/>
        <v/>
      </c>
    </row>
    <row r="4693" spans="2:6" x14ac:dyDescent="0.2">
      <c r="B4693" s="12"/>
      <c r="C4693" s="12"/>
      <c r="D4693" s="17" t="str">
        <f t="shared" si="222"/>
        <v/>
      </c>
      <c r="E4693" s="18" t="str">
        <f t="shared" si="220"/>
        <v/>
      </c>
      <c r="F4693" s="17" t="str">
        <f t="shared" si="221"/>
        <v/>
      </c>
    </row>
    <row r="4694" spans="2:6" x14ac:dyDescent="0.2">
      <c r="B4694" s="12"/>
      <c r="C4694" s="12"/>
      <c r="D4694" s="17" t="str">
        <f t="shared" si="222"/>
        <v/>
      </c>
      <c r="E4694" s="18" t="str">
        <f t="shared" si="220"/>
        <v/>
      </c>
      <c r="F4694" s="17" t="str">
        <f t="shared" si="221"/>
        <v/>
      </c>
    </row>
    <row r="4695" spans="2:6" x14ac:dyDescent="0.2">
      <c r="B4695" s="12"/>
      <c r="C4695" s="12"/>
      <c r="D4695" s="17" t="str">
        <f t="shared" si="222"/>
        <v/>
      </c>
      <c r="E4695" s="18" t="str">
        <f t="shared" si="220"/>
        <v/>
      </c>
      <c r="F4695" s="17" t="str">
        <f t="shared" si="221"/>
        <v/>
      </c>
    </row>
    <row r="4696" spans="2:6" x14ac:dyDescent="0.2">
      <c r="B4696" s="12"/>
      <c r="C4696" s="12"/>
      <c r="D4696" s="17" t="str">
        <f t="shared" si="222"/>
        <v/>
      </c>
      <c r="E4696" s="18" t="str">
        <f t="shared" si="220"/>
        <v/>
      </c>
      <c r="F4696" s="17" t="str">
        <f t="shared" si="221"/>
        <v/>
      </c>
    </row>
    <row r="4697" spans="2:6" x14ac:dyDescent="0.2">
      <c r="B4697" s="12"/>
      <c r="C4697" s="12"/>
      <c r="D4697" s="17" t="str">
        <f t="shared" si="222"/>
        <v/>
      </c>
      <c r="E4697" s="18" t="str">
        <f t="shared" si="220"/>
        <v/>
      </c>
      <c r="F4697" s="17" t="str">
        <f t="shared" si="221"/>
        <v/>
      </c>
    </row>
    <row r="4698" spans="2:6" x14ac:dyDescent="0.2">
      <c r="B4698" s="12"/>
      <c r="C4698" s="12"/>
      <c r="D4698" s="17" t="str">
        <f t="shared" si="222"/>
        <v/>
      </c>
      <c r="E4698" s="18" t="str">
        <f t="shared" si="220"/>
        <v/>
      </c>
      <c r="F4698" s="17" t="str">
        <f t="shared" si="221"/>
        <v/>
      </c>
    </row>
    <row r="4699" spans="2:6" x14ac:dyDescent="0.2">
      <c r="B4699" s="12"/>
      <c r="C4699" s="12"/>
      <c r="D4699" s="17" t="str">
        <f t="shared" si="222"/>
        <v/>
      </c>
      <c r="E4699" s="18" t="str">
        <f t="shared" si="220"/>
        <v/>
      </c>
      <c r="F4699" s="17" t="str">
        <f t="shared" si="221"/>
        <v/>
      </c>
    </row>
    <row r="4700" spans="2:6" x14ac:dyDescent="0.2">
      <c r="B4700" s="12"/>
      <c r="C4700" s="12"/>
      <c r="D4700" s="17" t="str">
        <f t="shared" si="222"/>
        <v/>
      </c>
      <c r="E4700" s="18" t="str">
        <f t="shared" si="220"/>
        <v/>
      </c>
      <c r="F4700" s="17" t="str">
        <f t="shared" si="221"/>
        <v/>
      </c>
    </row>
    <row r="4701" spans="2:6" x14ac:dyDescent="0.2">
      <c r="B4701" s="12"/>
      <c r="C4701" s="12"/>
      <c r="D4701" s="17" t="str">
        <f t="shared" si="222"/>
        <v/>
      </c>
      <c r="E4701" s="18" t="str">
        <f t="shared" si="220"/>
        <v/>
      </c>
      <c r="F4701" s="17" t="str">
        <f t="shared" si="221"/>
        <v/>
      </c>
    </row>
    <row r="4702" spans="2:6" x14ac:dyDescent="0.2">
      <c r="B4702" s="12"/>
      <c r="C4702" s="12"/>
      <c r="D4702" s="17" t="str">
        <f t="shared" si="222"/>
        <v/>
      </c>
      <c r="E4702" s="18" t="str">
        <f t="shared" si="220"/>
        <v/>
      </c>
      <c r="F4702" s="17" t="str">
        <f t="shared" si="221"/>
        <v/>
      </c>
    </row>
    <row r="4703" spans="2:6" x14ac:dyDescent="0.2">
      <c r="B4703" s="12"/>
      <c r="C4703" s="12"/>
      <c r="D4703" s="17" t="str">
        <f t="shared" si="222"/>
        <v/>
      </c>
      <c r="E4703" s="18" t="str">
        <f t="shared" si="220"/>
        <v/>
      </c>
      <c r="F4703" s="17" t="str">
        <f t="shared" si="221"/>
        <v/>
      </c>
    </row>
    <row r="4704" spans="2:6" x14ac:dyDescent="0.2">
      <c r="B4704" s="12"/>
      <c r="C4704" s="12"/>
      <c r="D4704" s="17" t="str">
        <f t="shared" si="222"/>
        <v/>
      </c>
      <c r="E4704" s="18" t="str">
        <f t="shared" si="220"/>
        <v/>
      </c>
      <c r="F4704" s="17" t="str">
        <f t="shared" si="221"/>
        <v/>
      </c>
    </row>
    <row r="4705" spans="2:6" x14ac:dyDescent="0.2">
      <c r="B4705" s="12"/>
      <c r="C4705" s="12"/>
      <c r="D4705" s="17" t="str">
        <f t="shared" si="222"/>
        <v/>
      </c>
      <c r="E4705" s="18" t="str">
        <f t="shared" si="220"/>
        <v/>
      </c>
      <c r="F4705" s="17" t="str">
        <f t="shared" si="221"/>
        <v/>
      </c>
    </row>
    <row r="4706" spans="2:6" x14ac:dyDescent="0.2">
      <c r="B4706" s="12"/>
      <c r="C4706" s="12"/>
      <c r="D4706" s="17" t="str">
        <f t="shared" si="222"/>
        <v/>
      </c>
      <c r="E4706" s="18" t="str">
        <f t="shared" si="220"/>
        <v/>
      </c>
      <c r="F4706" s="17" t="str">
        <f t="shared" si="221"/>
        <v/>
      </c>
    </row>
    <row r="4707" spans="2:6" x14ac:dyDescent="0.2">
      <c r="B4707" s="12"/>
      <c r="C4707" s="12"/>
      <c r="D4707" s="17" t="str">
        <f t="shared" si="222"/>
        <v/>
      </c>
      <c r="E4707" s="18" t="str">
        <f t="shared" si="220"/>
        <v/>
      </c>
      <c r="F4707" s="17" t="str">
        <f t="shared" si="221"/>
        <v/>
      </c>
    </row>
    <row r="4708" spans="2:6" x14ac:dyDescent="0.2">
      <c r="B4708" s="12"/>
      <c r="C4708" s="12"/>
      <c r="D4708" s="17" t="str">
        <f t="shared" si="222"/>
        <v/>
      </c>
      <c r="E4708" s="18" t="str">
        <f t="shared" si="220"/>
        <v/>
      </c>
      <c r="F4708" s="17" t="str">
        <f t="shared" si="221"/>
        <v/>
      </c>
    </row>
    <row r="4709" spans="2:6" x14ac:dyDescent="0.2">
      <c r="B4709" s="12"/>
      <c r="C4709" s="12"/>
      <c r="D4709" s="17" t="str">
        <f t="shared" si="222"/>
        <v/>
      </c>
      <c r="E4709" s="18" t="str">
        <f t="shared" si="220"/>
        <v/>
      </c>
      <c r="F4709" s="17" t="str">
        <f t="shared" si="221"/>
        <v/>
      </c>
    </row>
    <row r="4710" spans="2:6" x14ac:dyDescent="0.2">
      <c r="B4710" s="12"/>
      <c r="C4710" s="12"/>
      <c r="D4710" s="17" t="str">
        <f t="shared" si="222"/>
        <v/>
      </c>
      <c r="E4710" s="18" t="str">
        <f t="shared" si="220"/>
        <v/>
      </c>
      <c r="F4710" s="17" t="str">
        <f t="shared" si="221"/>
        <v/>
      </c>
    </row>
    <row r="4711" spans="2:6" x14ac:dyDescent="0.2">
      <c r="B4711" s="12"/>
      <c r="C4711" s="12"/>
      <c r="D4711" s="17" t="str">
        <f t="shared" si="222"/>
        <v/>
      </c>
      <c r="E4711" s="18" t="str">
        <f t="shared" si="220"/>
        <v/>
      </c>
      <c r="F4711" s="17" t="str">
        <f t="shared" si="221"/>
        <v/>
      </c>
    </row>
    <row r="4712" spans="2:6" x14ac:dyDescent="0.2">
      <c r="B4712" s="12"/>
      <c r="C4712" s="12"/>
      <c r="D4712" s="17" t="str">
        <f t="shared" si="222"/>
        <v/>
      </c>
      <c r="E4712" s="18" t="str">
        <f t="shared" si="220"/>
        <v/>
      </c>
      <c r="F4712" s="17" t="str">
        <f t="shared" si="221"/>
        <v/>
      </c>
    </row>
    <row r="4713" spans="2:6" x14ac:dyDescent="0.2">
      <c r="B4713" s="12"/>
      <c r="C4713" s="12"/>
      <c r="D4713" s="17" t="str">
        <f t="shared" si="222"/>
        <v/>
      </c>
      <c r="E4713" s="18" t="str">
        <f t="shared" si="220"/>
        <v/>
      </c>
      <c r="F4713" s="17" t="str">
        <f t="shared" si="221"/>
        <v/>
      </c>
    </row>
    <row r="4714" spans="2:6" x14ac:dyDescent="0.2">
      <c r="B4714" s="12"/>
      <c r="C4714" s="12"/>
      <c r="D4714" s="17" t="str">
        <f t="shared" si="222"/>
        <v/>
      </c>
      <c r="E4714" s="18" t="str">
        <f t="shared" si="220"/>
        <v/>
      </c>
      <c r="F4714" s="17" t="str">
        <f t="shared" si="221"/>
        <v/>
      </c>
    </row>
    <row r="4715" spans="2:6" x14ac:dyDescent="0.2">
      <c r="B4715" s="12"/>
      <c r="C4715" s="12"/>
      <c r="D4715" s="17" t="str">
        <f t="shared" si="222"/>
        <v/>
      </c>
      <c r="E4715" s="18" t="str">
        <f t="shared" si="220"/>
        <v/>
      </c>
      <c r="F4715" s="17" t="str">
        <f t="shared" si="221"/>
        <v/>
      </c>
    </row>
    <row r="4716" spans="2:6" x14ac:dyDescent="0.2">
      <c r="B4716" s="12"/>
      <c r="C4716" s="12"/>
      <c r="D4716" s="17" t="str">
        <f t="shared" si="222"/>
        <v/>
      </c>
      <c r="E4716" s="18" t="str">
        <f t="shared" si="220"/>
        <v/>
      </c>
      <c r="F4716" s="17" t="str">
        <f t="shared" si="221"/>
        <v/>
      </c>
    </row>
    <row r="4717" spans="2:6" x14ac:dyDescent="0.2">
      <c r="B4717" s="12"/>
      <c r="C4717" s="12"/>
      <c r="D4717" s="17" t="str">
        <f t="shared" si="222"/>
        <v/>
      </c>
      <c r="E4717" s="18" t="str">
        <f t="shared" si="220"/>
        <v/>
      </c>
      <c r="F4717" s="17" t="str">
        <f t="shared" si="221"/>
        <v/>
      </c>
    </row>
    <row r="4718" spans="2:6" x14ac:dyDescent="0.2">
      <c r="B4718" s="12"/>
      <c r="C4718" s="12"/>
      <c r="D4718" s="17" t="str">
        <f t="shared" si="222"/>
        <v/>
      </c>
      <c r="E4718" s="18" t="str">
        <f t="shared" si="220"/>
        <v/>
      </c>
      <c r="F4718" s="17" t="str">
        <f t="shared" si="221"/>
        <v/>
      </c>
    </row>
    <row r="4719" spans="2:6" x14ac:dyDescent="0.2">
      <c r="B4719" s="12"/>
      <c r="C4719" s="12"/>
      <c r="D4719" s="17" t="str">
        <f t="shared" si="222"/>
        <v/>
      </c>
      <c r="E4719" s="18" t="str">
        <f t="shared" si="220"/>
        <v/>
      </c>
      <c r="F4719" s="17" t="str">
        <f t="shared" si="221"/>
        <v/>
      </c>
    </row>
    <row r="4720" spans="2:6" x14ac:dyDescent="0.2">
      <c r="B4720" s="12"/>
      <c r="C4720" s="12"/>
      <c r="D4720" s="17" t="str">
        <f t="shared" si="222"/>
        <v/>
      </c>
      <c r="E4720" s="18" t="str">
        <f t="shared" si="220"/>
        <v/>
      </c>
      <c r="F4720" s="17" t="str">
        <f t="shared" si="221"/>
        <v/>
      </c>
    </row>
    <row r="4721" spans="2:6" x14ac:dyDescent="0.2">
      <c r="B4721" s="12"/>
      <c r="C4721" s="12"/>
      <c r="D4721" s="17" t="str">
        <f t="shared" si="222"/>
        <v/>
      </c>
      <c r="E4721" s="18" t="str">
        <f t="shared" si="220"/>
        <v/>
      </c>
      <c r="F4721" s="17" t="str">
        <f t="shared" si="221"/>
        <v/>
      </c>
    </row>
    <row r="4722" spans="2:6" x14ac:dyDescent="0.2">
      <c r="B4722" s="12"/>
      <c r="C4722" s="12"/>
      <c r="D4722" s="17" t="str">
        <f t="shared" si="222"/>
        <v/>
      </c>
      <c r="E4722" s="18" t="str">
        <f t="shared" si="220"/>
        <v/>
      </c>
      <c r="F4722" s="17" t="str">
        <f t="shared" si="221"/>
        <v/>
      </c>
    </row>
    <row r="4723" spans="2:6" x14ac:dyDescent="0.2">
      <c r="B4723" s="12"/>
      <c r="C4723" s="12"/>
      <c r="D4723" s="17" t="str">
        <f t="shared" si="222"/>
        <v/>
      </c>
      <c r="E4723" s="18" t="str">
        <f t="shared" si="220"/>
        <v/>
      </c>
      <c r="F4723" s="17" t="str">
        <f t="shared" si="221"/>
        <v/>
      </c>
    </row>
    <row r="4724" spans="2:6" x14ac:dyDescent="0.2">
      <c r="B4724" s="12"/>
      <c r="C4724" s="12"/>
      <c r="D4724" s="17" t="str">
        <f t="shared" si="222"/>
        <v/>
      </c>
      <c r="E4724" s="18" t="str">
        <f t="shared" si="220"/>
        <v/>
      </c>
      <c r="F4724" s="17" t="str">
        <f t="shared" si="221"/>
        <v/>
      </c>
    </row>
    <row r="4725" spans="2:6" x14ac:dyDescent="0.2">
      <c r="B4725" s="12"/>
      <c r="C4725" s="12"/>
      <c r="D4725" s="17" t="str">
        <f t="shared" si="222"/>
        <v/>
      </c>
      <c r="E4725" s="18" t="str">
        <f t="shared" si="220"/>
        <v/>
      </c>
      <c r="F4725" s="17" t="str">
        <f t="shared" si="221"/>
        <v/>
      </c>
    </row>
    <row r="4726" spans="2:6" x14ac:dyDescent="0.2">
      <c r="B4726" s="12"/>
      <c r="C4726" s="12"/>
      <c r="D4726" s="17" t="str">
        <f t="shared" si="222"/>
        <v/>
      </c>
      <c r="E4726" s="18" t="str">
        <f t="shared" si="220"/>
        <v/>
      </c>
      <c r="F4726" s="17" t="str">
        <f t="shared" si="221"/>
        <v/>
      </c>
    </row>
    <row r="4727" spans="2:6" x14ac:dyDescent="0.2">
      <c r="B4727" s="12"/>
      <c r="C4727" s="12"/>
      <c r="D4727" s="17" t="str">
        <f t="shared" si="222"/>
        <v/>
      </c>
      <c r="E4727" s="18" t="str">
        <f t="shared" si="220"/>
        <v/>
      </c>
      <c r="F4727" s="17" t="str">
        <f t="shared" si="221"/>
        <v/>
      </c>
    </row>
    <row r="4728" spans="2:6" x14ac:dyDescent="0.2">
      <c r="B4728" s="12"/>
      <c r="C4728" s="12"/>
      <c r="D4728" s="17" t="str">
        <f t="shared" si="222"/>
        <v/>
      </c>
      <c r="E4728" s="18" t="str">
        <f t="shared" si="220"/>
        <v/>
      </c>
      <c r="F4728" s="17" t="str">
        <f t="shared" si="221"/>
        <v/>
      </c>
    </row>
    <row r="4729" spans="2:6" x14ac:dyDescent="0.2">
      <c r="B4729" s="12"/>
      <c r="C4729" s="12"/>
      <c r="D4729" s="17" t="str">
        <f t="shared" si="222"/>
        <v/>
      </c>
      <c r="E4729" s="18" t="str">
        <f t="shared" si="220"/>
        <v/>
      </c>
      <c r="F4729" s="17" t="str">
        <f t="shared" si="221"/>
        <v/>
      </c>
    </row>
    <row r="4730" spans="2:6" x14ac:dyDescent="0.2">
      <c r="B4730" s="12"/>
      <c r="C4730" s="12"/>
      <c r="D4730" s="17" t="str">
        <f t="shared" si="222"/>
        <v/>
      </c>
      <c r="E4730" s="18" t="str">
        <f t="shared" si="220"/>
        <v/>
      </c>
      <c r="F4730" s="17" t="str">
        <f t="shared" si="221"/>
        <v/>
      </c>
    </row>
    <row r="4731" spans="2:6" x14ac:dyDescent="0.2">
      <c r="B4731" s="12"/>
      <c r="C4731" s="12"/>
      <c r="D4731" s="17" t="str">
        <f t="shared" si="222"/>
        <v/>
      </c>
      <c r="E4731" s="18" t="str">
        <f t="shared" si="220"/>
        <v/>
      </c>
      <c r="F4731" s="17" t="str">
        <f t="shared" si="221"/>
        <v/>
      </c>
    </row>
    <row r="4732" spans="2:6" x14ac:dyDescent="0.2">
      <c r="B4732" s="12"/>
      <c r="C4732" s="12"/>
      <c r="D4732" s="17" t="str">
        <f t="shared" si="222"/>
        <v/>
      </c>
      <c r="E4732" s="18" t="str">
        <f t="shared" si="220"/>
        <v/>
      </c>
      <c r="F4732" s="17" t="str">
        <f t="shared" si="221"/>
        <v/>
      </c>
    </row>
    <row r="4733" spans="2:6" x14ac:dyDescent="0.2">
      <c r="B4733" s="12"/>
      <c r="C4733" s="12"/>
      <c r="D4733" s="17" t="str">
        <f t="shared" si="222"/>
        <v/>
      </c>
      <c r="E4733" s="18" t="str">
        <f t="shared" si="220"/>
        <v/>
      </c>
      <c r="F4733" s="17" t="str">
        <f t="shared" si="221"/>
        <v/>
      </c>
    </row>
    <row r="4734" spans="2:6" x14ac:dyDescent="0.2">
      <c r="B4734" s="12"/>
      <c r="C4734" s="12"/>
      <c r="D4734" s="17" t="str">
        <f t="shared" si="222"/>
        <v/>
      </c>
      <c r="E4734" s="18" t="str">
        <f t="shared" si="220"/>
        <v/>
      </c>
      <c r="F4734" s="17" t="str">
        <f t="shared" si="221"/>
        <v/>
      </c>
    </row>
    <row r="4735" spans="2:6" x14ac:dyDescent="0.2">
      <c r="B4735" s="12"/>
      <c r="C4735" s="12"/>
      <c r="D4735" s="17" t="str">
        <f t="shared" si="222"/>
        <v/>
      </c>
      <c r="E4735" s="18" t="str">
        <f t="shared" si="220"/>
        <v/>
      </c>
      <c r="F4735" s="17" t="str">
        <f t="shared" si="221"/>
        <v/>
      </c>
    </row>
    <row r="4736" spans="2:6" x14ac:dyDescent="0.2">
      <c r="B4736" s="12"/>
      <c r="C4736" s="12"/>
      <c r="D4736" s="17" t="str">
        <f t="shared" si="222"/>
        <v/>
      </c>
      <c r="E4736" s="18" t="str">
        <f t="shared" si="220"/>
        <v/>
      </c>
      <c r="F4736" s="17" t="str">
        <f t="shared" si="221"/>
        <v/>
      </c>
    </row>
    <row r="4737" spans="2:6" x14ac:dyDescent="0.2">
      <c r="B4737" s="12"/>
      <c r="C4737" s="12"/>
      <c r="D4737" s="17" t="str">
        <f t="shared" si="222"/>
        <v/>
      </c>
      <c r="E4737" s="18" t="str">
        <f t="shared" si="220"/>
        <v/>
      </c>
      <c r="F4737" s="17" t="str">
        <f t="shared" si="221"/>
        <v/>
      </c>
    </row>
    <row r="4738" spans="2:6" x14ac:dyDescent="0.2">
      <c r="B4738" s="12"/>
      <c r="C4738" s="12"/>
      <c r="D4738" s="17" t="str">
        <f t="shared" si="222"/>
        <v/>
      </c>
      <c r="E4738" s="18" t="str">
        <f t="shared" si="220"/>
        <v/>
      </c>
      <c r="F4738" s="17" t="str">
        <f t="shared" si="221"/>
        <v/>
      </c>
    </row>
    <row r="4739" spans="2:6" x14ac:dyDescent="0.2">
      <c r="B4739" s="12"/>
      <c r="C4739" s="12"/>
      <c r="D4739" s="17" t="str">
        <f t="shared" si="222"/>
        <v/>
      </c>
      <c r="E4739" s="18" t="str">
        <f t="shared" si="220"/>
        <v/>
      </c>
      <c r="F4739" s="17" t="str">
        <f t="shared" si="221"/>
        <v/>
      </c>
    </row>
    <row r="4740" spans="2:6" x14ac:dyDescent="0.2">
      <c r="B4740" s="12"/>
      <c r="C4740" s="12"/>
      <c r="D4740" s="17" t="str">
        <f t="shared" si="222"/>
        <v/>
      </c>
      <c r="E4740" s="18" t="str">
        <f t="shared" si="220"/>
        <v/>
      </c>
      <c r="F4740" s="17" t="str">
        <f t="shared" si="221"/>
        <v/>
      </c>
    </row>
    <row r="4741" spans="2:6" x14ac:dyDescent="0.2">
      <c r="B4741" s="12"/>
      <c r="C4741" s="12"/>
      <c r="D4741" s="17" t="str">
        <f t="shared" si="222"/>
        <v/>
      </c>
      <c r="E4741" s="18" t="str">
        <f t="shared" ref="E4741:E4804" si="223">IF(B4741="","",ABS(C4741-D4741))</f>
        <v/>
      </c>
      <c r="F4741" s="17" t="str">
        <f t="shared" ref="F4741:F4804" si="224">IF(B4741="","",E4741^2)</f>
        <v/>
      </c>
    </row>
    <row r="4742" spans="2:6" x14ac:dyDescent="0.2">
      <c r="B4742" s="12"/>
      <c r="C4742" s="12"/>
      <c r="D4742" s="17" t="str">
        <f t="shared" si="222"/>
        <v/>
      </c>
      <c r="E4742" s="18" t="str">
        <f t="shared" si="223"/>
        <v/>
      </c>
      <c r="F4742" s="17" t="str">
        <f t="shared" si="224"/>
        <v/>
      </c>
    </row>
    <row r="4743" spans="2:6" x14ac:dyDescent="0.2">
      <c r="B4743" s="12"/>
      <c r="C4743" s="12"/>
      <c r="D4743" s="17" t="str">
        <f t="shared" si="222"/>
        <v/>
      </c>
      <c r="E4743" s="18" t="str">
        <f t="shared" si="223"/>
        <v/>
      </c>
      <c r="F4743" s="17" t="str">
        <f t="shared" si="224"/>
        <v/>
      </c>
    </row>
    <row r="4744" spans="2:6" x14ac:dyDescent="0.2">
      <c r="B4744" s="12"/>
      <c r="C4744" s="12"/>
      <c r="D4744" s="17" t="str">
        <f t="shared" si="222"/>
        <v/>
      </c>
      <c r="E4744" s="18" t="str">
        <f t="shared" si="223"/>
        <v/>
      </c>
      <c r="F4744" s="17" t="str">
        <f t="shared" si="224"/>
        <v/>
      </c>
    </row>
    <row r="4745" spans="2:6" x14ac:dyDescent="0.2">
      <c r="B4745" s="12"/>
      <c r="C4745" s="12"/>
      <c r="D4745" s="17" t="str">
        <f t="shared" si="222"/>
        <v/>
      </c>
      <c r="E4745" s="18" t="str">
        <f t="shared" si="223"/>
        <v/>
      </c>
      <c r="F4745" s="17" t="str">
        <f t="shared" si="224"/>
        <v/>
      </c>
    </row>
    <row r="4746" spans="2:6" x14ac:dyDescent="0.2">
      <c r="B4746" s="12"/>
      <c r="C4746" s="12"/>
      <c r="D4746" s="17" t="str">
        <f t="shared" si="222"/>
        <v/>
      </c>
      <c r="E4746" s="18" t="str">
        <f t="shared" si="223"/>
        <v/>
      </c>
      <c r="F4746" s="17" t="str">
        <f t="shared" si="224"/>
        <v/>
      </c>
    </row>
    <row r="4747" spans="2:6" x14ac:dyDescent="0.2">
      <c r="B4747" s="12"/>
      <c r="C4747" s="12"/>
      <c r="D4747" s="17" t="str">
        <f t="shared" si="222"/>
        <v/>
      </c>
      <c r="E4747" s="18" t="str">
        <f t="shared" si="223"/>
        <v/>
      </c>
      <c r="F4747" s="17" t="str">
        <f t="shared" si="224"/>
        <v/>
      </c>
    </row>
    <row r="4748" spans="2:6" x14ac:dyDescent="0.2">
      <c r="B4748" s="12"/>
      <c r="C4748" s="12"/>
      <c r="D4748" s="17" t="str">
        <f t="shared" si="222"/>
        <v/>
      </c>
      <c r="E4748" s="18" t="str">
        <f t="shared" si="223"/>
        <v/>
      </c>
      <c r="F4748" s="17" t="str">
        <f t="shared" si="224"/>
        <v/>
      </c>
    </row>
    <row r="4749" spans="2:6" x14ac:dyDescent="0.2">
      <c r="B4749" s="12"/>
      <c r="C4749" s="12"/>
      <c r="D4749" s="17" t="str">
        <f t="shared" si="222"/>
        <v/>
      </c>
      <c r="E4749" s="18" t="str">
        <f t="shared" si="223"/>
        <v/>
      </c>
      <c r="F4749" s="17" t="str">
        <f t="shared" si="224"/>
        <v/>
      </c>
    </row>
    <row r="4750" spans="2:6" x14ac:dyDescent="0.2">
      <c r="B4750" s="12"/>
      <c r="C4750" s="12"/>
      <c r="D4750" s="17" t="str">
        <f t="shared" si="222"/>
        <v/>
      </c>
      <c r="E4750" s="18" t="str">
        <f t="shared" si="223"/>
        <v/>
      </c>
      <c r="F4750" s="17" t="str">
        <f t="shared" si="224"/>
        <v/>
      </c>
    </row>
    <row r="4751" spans="2:6" x14ac:dyDescent="0.2">
      <c r="B4751" s="12"/>
      <c r="C4751" s="12"/>
      <c r="D4751" s="17" t="str">
        <f t="shared" si="222"/>
        <v/>
      </c>
      <c r="E4751" s="18" t="str">
        <f t="shared" si="223"/>
        <v/>
      </c>
      <c r="F4751" s="17" t="str">
        <f t="shared" si="224"/>
        <v/>
      </c>
    </row>
    <row r="4752" spans="2:6" x14ac:dyDescent="0.2">
      <c r="B4752" s="12"/>
      <c r="C4752" s="12"/>
      <c r="D4752" s="17" t="str">
        <f t="shared" si="222"/>
        <v/>
      </c>
      <c r="E4752" s="18" t="str">
        <f t="shared" si="223"/>
        <v/>
      </c>
      <c r="F4752" s="17" t="str">
        <f t="shared" si="224"/>
        <v/>
      </c>
    </row>
    <row r="4753" spans="2:6" x14ac:dyDescent="0.2">
      <c r="B4753" s="12"/>
      <c r="C4753" s="12"/>
      <c r="D4753" s="17" t="str">
        <f t="shared" si="222"/>
        <v/>
      </c>
      <c r="E4753" s="18" t="str">
        <f t="shared" si="223"/>
        <v/>
      </c>
      <c r="F4753" s="17" t="str">
        <f t="shared" si="224"/>
        <v/>
      </c>
    </row>
    <row r="4754" spans="2:6" x14ac:dyDescent="0.2">
      <c r="B4754" s="12"/>
      <c r="C4754" s="12"/>
      <c r="D4754" s="17" t="str">
        <f t="shared" ref="D4754:D4817" si="225">IF(B4754="","",a+b*B4754)</f>
        <v/>
      </c>
      <c r="E4754" s="18" t="str">
        <f t="shared" si="223"/>
        <v/>
      </c>
      <c r="F4754" s="17" t="str">
        <f t="shared" si="224"/>
        <v/>
      </c>
    </row>
    <row r="4755" spans="2:6" x14ac:dyDescent="0.2">
      <c r="B4755" s="12"/>
      <c r="C4755" s="12"/>
      <c r="D4755" s="17" t="str">
        <f t="shared" si="225"/>
        <v/>
      </c>
      <c r="E4755" s="18" t="str">
        <f t="shared" si="223"/>
        <v/>
      </c>
      <c r="F4755" s="17" t="str">
        <f t="shared" si="224"/>
        <v/>
      </c>
    </row>
    <row r="4756" spans="2:6" x14ac:dyDescent="0.2">
      <c r="B4756" s="12"/>
      <c r="C4756" s="12"/>
      <c r="D4756" s="17" t="str">
        <f t="shared" si="225"/>
        <v/>
      </c>
      <c r="E4756" s="18" t="str">
        <f t="shared" si="223"/>
        <v/>
      </c>
      <c r="F4756" s="17" t="str">
        <f t="shared" si="224"/>
        <v/>
      </c>
    </row>
    <row r="4757" spans="2:6" x14ac:dyDescent="0.2">
      <c r="B4757" s="12"/>
      <c r="C4757" s="12"/>
      <c r="D4757" s="17" t="str">
        <f t="shared" si="225"/>
        <v/>
      </c>
      <c r="E4757" s="18" t="str">
        <f t="shared" si="223"/>
        <v/>
      </c>
      <c r="F4757" s="17" t="str">
        <f t="shared" si="224"/>
        <v/>
      </c>
    </row>
    <row r="4758" spans="2:6" x14ac:dyDescent="0.2">
      <c r="B4758" s="12"/>
      <c r="C4758" s="12"/>
      <c r="D4758" s="17" t="str">
        <f t="shared" si="225"/>
        <v/>
      </c>
      <c r="E4758" s="18" t="str">
        <f t="shared" si="223"/>
        <v/>
      </c>
      <c r="F4758" s="17" t="str">
        <f t="shared" si="224"/>
        <v/>
      </c>
    </row>
    <row r="4759" spans="2:6" x14ac:dyDescent="0.2">
      <c r="B4759" s="12"/>
      <c r="C4759" s="12"/>
      <c r="D4759" s="17" t="str">
        <f t="shared" si="225"/>
        <v/>
      </c>
      <c r="E4759" s="18" t="str">
        <f t="shared" si="223"/>
        <v/>
      </c>
      <c r="F4759" s="17" t="str">
        <f t="shared" si="224"/>
        <v/>
      </c>
    </row>
    <row r="4760" spans="2:6" x14ac:dyDescent="0.2">
      <c r="B4760" s="12"/>
      <c r="C4760" s="12"/>
      <c r="D4760" s="17" t="str">
        <f t="shared" si="225"/>
        <v/>
      </c>
      <c r="E4760" s="18" t="str">
        <f t="shared" si="223"/>
        <v/>
      </c>
      <c r="F4760" s="17" t="str">
        <f t="shared" si="224"/>
        <v/>
      </c>
    </row>
    <row r="4761" spans="2:6" x14ac:dyDescent="0.2">
      <c r="B4761" s="12"/>
      <c r="C4761" s="12"/>
      <c r="D4761" s="17" t="str">
        <f t="shared" si="225"/>
        <v/>
      </c>
      <c r="E4761" s="18" t="str">
        <f t="shared" si="223"/>
        <v/>
      </c>
      <c r="F4761" s="17" t="str">
        <f t="shared" si="224"/>
        <v/>
      </c>
    </row>
    <row r="4762" spans="2:6" x14ac:dyDescent="0.2">
      <c r="B4762" s="12"/>
      <c r="C4762" s="12"/>
      <c r="D4762" s="17" t="str">
        <f t="shared" si="225"/>
        <v/>
      </c>
      <c r="E4762" s="18" t="str">
        <f t="shared" si="223"/>
        <v/>
      </c>
      <c r="F4762" s="17" t="str">
        <f t="shared" si="224"/>
        <v/>
      </c>
    </row>
    <row r="4763" spans="2:6" x14ac:dyDescent="0.2">
      <c r="B4763" s="12"/>
      <c r="C4763" s="12"/>
      <c r="D4763" s="17" t="str">
        <f t="shared" si="225"/>
        <v/>
      </c>
      <c r="E4763" s="18" t="str">
        <f t="shared" si="223"/>
        <v/>
      </c>
      <c r="F4763" s="17" t="str">
        <f t="shared" si="224"/>
        <v/>
      </c>
    </row>
    <row r="4764" spans="2:6" x14ac:dyDescent="0.2">
      <c r="B4764" s="12"/>
      <c r="C4764" s="12"/>
      <c r="D4764" s="17" t="str">
        <f t="shared" si="225"/>
        <v/>
      </c>
      <c r="E4764" s="18" t="str">
        <f t="shared" si="223"/>
        <v/>
      </c>
      <c r="F4764" s="17" t="str">
        <f t="shared" si="224"/>
        <v/>
      </c>
    </row>
    <row r="4765" spans="2:6" x14ac:dyDescent="0.2">
      <c r="B4765" s="12"/>
      <c r="C4765" s="12"/>
      <c r="D4765" s="17" t="str">
        <f t="shared" si="225"/>
        <v/>
      </c>
      <c r="E4765" s="18" t="str">
        <f t="shared" si="223"/>
        <v/>
      </c>
      <c r="F4765" s="17" t="str">
        <f t="shared" si="224"/>
        <v/>
      </c>
    </row>
    <row r="4766" spans="2:6" x14ac:dyDescent="0.2">
      <c r="B4766" s="12"/>
      <c r="C4766" s="12"/>
      <c r="D4766" s="17" t="str">
        <f t="shared" si="225"/>
        <v/>
      </c>
      <c r="E4766" s="18" t="str">
        <f t="shared" si="223"/>
        <v/>
      </c>
      <c r="F4766" s="17" t="str">
        <f t="shared" si="224"/>
        <v/>
      </c>
    </row>
    <row r="4767" spans="2:6" x14ac:dyDescent="0.2">
      <c r="B4767" s="12"/>
      <c r="C4767" s="12"/>
      <c r="D4767" s="17" t="str">
        <f t="shared" si="225"/>
        <v/>
      </c>
      <c r="E4767" s="18" t="str">
        <f t="shared" si="223"/>
        <v/>
      </c>
      <c r="F4767" s="17" t="str">
        <f t="shared" si="224"/>
        <v/>
      </c>
    </row>
    <row r="4768" spans="2:6" x14ac:dyDescent="0.2">
      <c r="B4768" s="12"/>
      <c r="C4768" s="12"/>
      <c r="D4768" s="17" t="str">
        <f t="shared" si="225"/>
        <v/>
      </c>
      <c r="E4768" s="18" t="str">
        <f t="shared" si="223"/>
        <v/>
      </c>
      <c r="F4768" s="17" t="str">
        <f t="shared" si="224"/>
        <v/>
      </c>
    </row>
    <row r="4769" spans="2:6" x14ac:dyDescent="0.2">
      <c r="B4769" s="12"/>
      <c r="C4769" s="12"/>
      <c r="D4769" s="17" t="str">
        <f t="shared" si="225"/>
        <v/>
      </c>
      <c r="E4769" s="18" t="str">
        <f t="shared" si="223"/>
        <v/>
      </c>
      <c r="F4769" s="17" t="str">
        <f t="shared" si="224"/>
        <v/>
      </c>
    </row>
    <row r="4770" spans="2:6" x14ac:dyDescent="0.2">
      <c r="B4770" s="12"/>
      <c r="C4770" s="12"/>
      <c r="D4770" s="17" t="str">
        <f t="shared" si="225"/>
        <v/>
      </c>
      <c r="E4770" s="18" t="str">
        <f t="shared" si="223"/>
        <v/>
      </c>
      <c r="F4770" s="17" t="str">
        <f t="shared" si="224"/>
        <v/>
      </c>
    </row>
    <row r="4771" spans="2:6" x14ac:dyDescent="0.2">
      <c r="B4771" s="12"/>
      <c r="C4771" s="12"/>
      <c r="D4771" s="17" t="str">
        <f t="shared" si="225"/>
        <v/>
      </c>
      <c r="E4771" s="18" t="str">
        <f t="shared" si="223"/>
        <v/>
      </c>
      <c r="F4771" s="17" t="str">
        <f t="shared" si="224"/>
        <v/>
      </c>
    </row>
    <row r="4772" spans="2:6" x14ac:dyDescent="0.2">
      <c r="B4772" s="12"/>
      <c r="C4772" s="12"/>
      <c r="D4772" s="17" t="str">
        <f t="shared" si="225"/>
        <v/>
      </c>
      <c r="E4772" s="18" t="str">
        <f t="shared" si="223"/>
        <v/>
      </c>
      <c r="F4772" s="17" t="str">
        <f t="shared" si="224"/>
        <v/>
      </c>
    </row>
    <row r="4773" spans="2:6" x14ac:dyDescent="0.2">
      <c r="B4773" s="12"/>
      <c r="C4773" s="12"/>
      <c r="D4773" s="17" t="str">
        <f t="shared" si="225"/>
        <v/>
      </c>
      <c r="E4773" s="18" t="str">
        <f t="shared" si="223"/>
        <v/>
      </c>
      <c r="F4773" s="17" t="str">
        <f t="shared" si="224"/>
        <v/>
      </c>
    </row>
    <row r="4774" spans="2:6" x14ac:dyDescent="0.2">
      <c r="B4774" s="12"/>
      <c r="C4774" s="12"/>
      <c r="D4774" s="17" t="str">
        <f t="shared" si="225"/>
        <v/>
      </c>
      <c r="E4774" s="18" t="str">
        <f t="shared" si="223"/>
        <v/>
      </c>
      <c r="F4774" s="17" t="str">
        <f t="shared" si="224"/>
        <v/>
      </c>
    </row>
    <row r="4775" spans="2:6" x14ac:dyDescent="0.2">
      <c r="B4775" s="12"/>
      <c r="C4775" s="12"/>
      <c r="D4775" s="17" t="str">
        <f t="shared" si="225"/>
        <v/>
      </c>
      <c r="E4775" s="18" t="str">
        <f t="shared" si="223"/>
        <v/>
      </c>
      <c r="F4775" s="17" t="str">
        <f t="shared" si="224"/>
        <v/>
      </c>
    </row>
    <row r="4776" spans="2:6" x14ac:dyDescent="0.2">
      <c r="B4776" s="12"/>
      <c r="C4776" s="12"/>
      <c r="D4776" s="17" t="str">
        <f t="shared" si="225"/>
        <v/>
      </c>
      <c r="E4776" s="18" t="str">
        <f t="shared" si="223"/>
        <v/>
      </c>
      <c r="F4776" s="17" t="str">
        <f t="shared" si="224"/>
        <v/>
      </c>
    </row>
    <row r="4777" spans="2:6" x14ac:dyDescent="0.2">
      <c r="B4777" s="12"/>
      <c r="C4777" s="12"/>
      <c r="D4777" s="17" t="str">
        <f t="shared" si="225"/>
        <v/>
      </c>
      <c r="E4777" s="18" t="str">
        <f t="shared" si="223"/>
        <v/>
      </c>
      <c r="F4777" s="17" t="str">
        <f t="shared" si="224"/>
        <v/>
      </c>
    </row>
    <row r="4778" spans="2:6" x14ac:dyDescent="0.2">
      <c r="B4778" s="12"/>
      <c r="C4778" s="12"/>
      <c r="D4778" s="17" t="str">
        <f t="shared" si="225"/>
        <v/>
      </c>
      <c r="E4778" s="18" t="str">
        <f t="shared" si="223"/>
        <v/>
      </c>
      <c r="F4778" s="17" t="str">
        <f t="shared" si="224"/>
        <v/>
      </c>
    </row>
    <row r="4779" spans="2:6" x14ac:dyDescent="0.2">
      <c r="B4779" s="12"/>
      <c r="C4779" s="12"/>
      <c r="D4779" s="17" t="str">
        <f t="shared" si="225"/>
        <v/>
      </c>
      <c r="E4779" s="18" t="str">
        <f t="shared" si="223"/>
        <v/>
      </c>
      <c r="F4779" s="17" t="str">
        <f t="shared" si="224"/>
        <v/>
      </c>
    </row>
    <row r="4780" spans="2:6" x14ac:dyDescent="0.2">
      <c r="B4780" s="12"/>
      <c r="C4780" s="12"/>
      <c r="D4780" s="17" t="str">
        <f t="shared" si="225"/>
        <v/>
      </c>
      <c r="E4780" s="18" t="str">
        <f t="shared" si="223"/>
        <v/>
      </c>
      <c r="F4780" s="17" t="str">
        <f t="shared" si="224"/>
        <v/>
      </c>
    </row>
    <row r="4781" spans="2:6" x14ac:dyDescent="0.2">
      <c r="B4781" s="12"/>
      <c r="C4781" s="12"/>
      <c r="D4781" s="17" t="str">
        <f t="shared" si="225"/>
        <v/>
      </c>
      <c r="E4781" s="18" t="str">
        <f t="shared" si="223"/>
        <v/>
      </c>
      <c r="F4781" s="17" t="str">
        <f t="shared" si="224"/>
        <v/>
      </c>
    </row>
    <row r="4782" spans="2:6" x14ac:dyDescent="0.2">
      <c r="B4782" s="12"/>
      <c r="C4782" s="12"/>
      <c r="D4782" s="17" t="str">
        <f t="shared" si="225"/>
        <v/>
      </c>
      <c r="E4782" s="18" t="str">
        <f t="shared" si="223"/>
        <v/>
      </c>
      <c r="F4782" s="17" t="str">
        <f t="shared" si="224"/>
        <v/>
      </c>
    </row>
    <row r="4783" spans="2:6" x14ac:dyDescent="0.2">
      <c r="B4783" s="12"/>
      <c r="C4783" s="12"/>
      <c r="D4783" s="17" t="str">
        <f t="shared" si="225"/>
        <v/>
      </c>
      <c r="E4783" s="18" t="str">
        <f t="shared" si="223"/>
        <v/>
      </c>
      <c r="F4783" s="17" t="str">
        <f t="shared" si="224"/>
        <v/>
      </c>
    </row>
    <row r="4784" spans="2:6" x14ac:dyDescent="0.2">
      <c r="B4784" s="12"/>
      <c r="C4784" s="12"/>
      <c r="D4784" s="17" t="str">
        <f t="shared" si="225"/>
        <v/>
      </c>
      <c r="E4784" s="18" t="str">
        <f t="shared" si="223"/>
        <v/>
      </c>
      <c r="F4784" s="17" t="str">
        <f t="shared" si="224"/>
        <v/>
      </c>
    </row>
    <row r="4785" spans="2:6" x14ac:dyDescent="0.2">
      <c r="B4785" s="12"/>
      <c r="C4785" s="12"/>
      <c r="D4785" s="17" t="str">
        <f t="shared" si="225"/>
        <v/>
      </c>
      <c r="E4785" s="18" t="str">
        <f t="shared" si="223"/>
        <v/>
      </c>
      <c r="F4785" s="17" t="str">
        <f t="shared" si="224"/>
        <v/>
      </c>
    </row>
    <row r="4786" spans="2:6" x14ac:dyDescent="0.2">
      <c r="B4786" s="12"/>
      <c r="C4786" s="12"/>
      <c r="D4786" s="17" t="str">
        <f t="shared" si="225"/>
        <v/>
      </c>
      <c r="E4786" s="18" t="str">
        <f t="shared" si="223"/>
        <v/>
      </c>
      <c r="F4786" s="17" t="str">
        <f t="shared" si="224"/>
        <v/>
      </c>
    </row>
    <row r="4787" spans="2:6" x14ac:dyDescent="0.2">
      <c r="B4787" s="12"/>
      <c r="C4787" s="12"/>
      <c r="D4787" s="17" t="str">
        <f t="shared" si="225"/>
        <v/>
      </c>
      <c r="E4787" s="18" t="str">
        <f t="shared" si="223"/>
        <v/>
      </c>
      <c r="F4787" s="17" t="str">
        <f t="shared" si="224"/>
        <v/>
      </c>
    </row>
    <row r="4788" spans="2:6" x14ac:dyDescent="0.2">
      <c r="B4788" s="12"/>
      <c r="C4788" s="12"/>
      <c r="D4788" s="17" t="str">
        <f t="shared" si="225"/>
        <v/>
      </c>
      <c r="E4788" s="18" t="str">
        <f t="shared" si="223"/>
        <v/>
      </c>
      <c r="F4788" s="17" t="str">
        <f t="shared" si="224"/>
        <v/>
      </c>
    </row>
    <row r="4789" spans="2:6" x14ac:dyDescent="0.2">
      <c r="B4789" s="12"/>
      <c r="C4789" s="12"/>
      <c r="D4789" s="17" t="str">
        <f t="shared" si="225"/>
        <v/>
      </c>
      <c r="E4789" s="18" t="str">
        <f t="shared" si="223"/>
        <v/>
      </c>
      <c r="F4789" s="17" t="str">
        <f t="shared" si="224"/>
        <v/>
      </c>
    </row>
    <row r="4790" spans="2:6" x14ac:dyDescent="0.2">
      <c r="B4790" s="12"/>
      <c r="C4790" s="12"/>
      <c r="D4790" s="17" t="str">
        <f t="shared" si="225"/>
        <v/>
      </c>
      <c r="E4790" s="18" t="str">
        <f t="shared" si="223"/>
        <v/>
      </c>
      <c r="F4790" s="17" t="str">
        <f t="shared" si="224"/>
        <v/>
      </c>
    </row>
    <row r="4791" spans="2:6" x14ac:dyDescent="0.2">
      <c r="B4791" s="12"/>
      <c r="C4791" s="12"/>
      <c r="D4791" s="17" t="str">
        <f t="shared" si="225"/>
        <v/>
      </c>
      <c r="E4791" s="18" t="str">
        <f t="shared" si="223"/>
        <v/>
      </c>
      <c r="F4791" s="17" t="str">
        <f t="shared" si="224"/>
        <v/>
      </c>
    </row>
    <row r="4792" spans="2:6" x14ac:dyDescent="0.2">
      <c r="B4792" s="12"/>
      <c r="C4792" s="12"/>
      <c r="D4792" s="17" t="str">
        <f t="shared" si="225"/>
        <v/>
      </c>
      <c r="E4792" s="18" t="str">
        <f t="shared" si="223"/>
        <v/>
      </c>
      <c r="F4792" s="17" t="str">
        <f t="shared" si="224"/>
        <v/>
      </c>
    </row>
    <row r="4793" spans="2:6" x14ac:dyDescent="0.2">
      <c r="B4793" s="12"/>
      <c r="C4793" s="12"/>
      <c r="D4793" s="17" t="str">
        <f t="shared" si="225"/>
        <v/>
      </c>
      <c r="E4793" s="18" t="str">
        <f t="shared" si="223"/>
        <v/>
      </c>
      <c r="F4793" s="17" t="str">
        <f t="shared" si="224"/>
        <v/>
      </c>
    </row>
    <row r="4794" spans="2:6" x14ac:dyDescent="0.2">
      <c r="B4794" s="12"/>
      <c r="C4794" s="12"/>
      <c r="D4794" s="17" t="str">
        <f t="shared" si="225"/>
        <v/>
      </c>
      <c r="E4794" s="18" t="str">
        <f t="shared" si="223"/>
        <v/>
      </c>
      <c r="F4794" s="17" t="str">
        <f t="shared" si="224"/>
        <v/>
      </c>
    </row>
    <row r="4795" spans="2:6" x14ac:dyDescent="0.2">
      <c r="B4795" s="12"/>
      <c r="C4795" s="12"/>
      <c r="D4795" s="17" t="str">
        <f t="shared" si="225"/>
        <v/>
      </c>
      <c r="E4795" s="18" t="str">
        <f t="shared" si="223"/>
        <v/>
      </c>
      <c r="F4795" s="17" t="str">
        <f t="shared" si="224"/>
        <v/>
      </c>
    </row>
    <row r="4796" spans="2:6" x14ac:dyDescent="0.2">
      <c r="B4796" s="12"/>
      <c r="C4796" s="12"/>
      <c r="D4796" s="17" t="str">
        <f t="shared" si="225"/>
        <v/>
      </c>
      <c r="E4796" s="18" t="str">
        <f t="shared" si="223"/>
        <v/>
      </c>
      <c r="F4796" s="17" t="str">
        <f t="shared" si="224"/>
        <v/>
      </c>
    </row>
    <row r="4797" spans="2:6" x14ac:dyDescent="0.2">
      <c r="B4797" s="12"/>
      <c r="C4797" s="12"/>
      <c r="D4797" s="17" t="str">
        <f t="shared" si="225"/>
        <v/>
      </c>
      <c r="E4797" s="18" t="str">
        <f t="shared" si="223"/>
        <v/>
      </c>
      <c r="F4797" s="17" t="str">
        <f t="shared" si="224"/>
        <v/>
      </c>
    </row>
    <row r="4798" spans="2:6" x14ac:dyDescent="0.2">
      <c r="B4798" s="12"/>
      <c r="C4798" s="12"/>
      <c r="D4798" s="17" t="str">
        <f t="shared" si="225"/>
        <v/>
      </c>
      <c r="E4798" s="18" t="str">
        <f t="shared" si="223"/>
        <v/>
      </c>
      <c r="F4798" s="17" t="str">
        <f t="shared" si="224"/>
        <v/>
      </c>
    </row>
    <row r="4799" spans="2:6" x14ac:dyDescent="0.2">
      <c r="B4799" s="12"/>
      <c r="C4799" s="12"/>
      <c r="D4799" s="17" t="str">
        <f t="shared" si="225"/>
        <v/>
      </c>
      <c r="E4799" s="18" t="str">
        <f t="shared" si="223"/>
        <v/>
      </c>
      <c r="F4799" s="17" t="str">
        <f t="shared" si="224"/>
        <v/>
      </c>
    </row>
    <row r="4800" spans="2:6" x14ac:dyDescent="0.2">
      <c r="B4800" s="12"/>
      <c r="C4800" s="12"/>
      <c r="D4800" s="17" t="str">
        <f t="shared" si="225"/>
        <v/>
      </c>
      <c r="E4800" s="18" t="str">
        <f t="shared" si="223"/>
        <v/>
      </c>
      <c r="F4800" s="17" t="str">
        <f t="shared" si="224"/>
        <v/>
      </c>
    </row>
    <row r="4801" spans="2:6" x14ac:dyDescent="0.2">
      <c r="B4801" s="12"/>
      <c r="C4801" s="12"/>
      <c r="D4801" s="17" t="str">
        <f t="shared" si="225"/>
        <v/>
      </c>
      <c r="E4801" s="18" t="str">
        <f t="shared" si="223"/>
        <v/>
      </c>
      <c r="F4801" s="17" t="str">
        <f t="shared" si="224"/>
        <v/>
      </c>
    </row>
    <row r="4802" spans="2:6" x14ac:dyDescent="0.2">
      <c r="B4802" s="12"/>
      <c r="C4802" s="12"/>
      <c r="D4802" s="17" t="str">
        <f t="shared" si="225"/>
        <v/>
      </c>
      <c r="E4802" s="18" t="str">
        <f t="shared" si="223"/>
        <v/>
      </c>
      <c r="F4802" s="17" t="str">
        <f t="shared" si="224"/>
        <v/>
      </c>
    </row>
    <row r="4803" spans="2:6" x14ac:dyDescent="0.2">
      <c r="B4803" s="12"/>
      <c r="C4803" s="12"/>
      <c r="D4803" s="17" t="str">
        <f t="shared" si="225"/>
        <v/>
      </c>
      <c r="E4803" s="18" t="str">
        <f t="shared" si="223"/>
        <v/>
      </c>
      <c r="F4803" s="17" t="str">
        <f t="shared" si="224"/>
        <v/>
      </c>
    </row>
    <row r="4804" spans="2:6" x14ac:dyDescent="0.2">
      <c r="B4804" s="12"/>
      <c r="C4804" s="12"/>
      <c r="D4804" s="17" t="str">
        <f t="shared" si="225"/>
        <v/>
      </c>
      <c r="E4804" s="18" t="str">
        <f t="shared" si="223"/>
        <v/>
      </c>
      <c r="F4804" s="17" t="str">
        <f t="shared" si="224"/>
        <v/>
      </c>
    </row>
    <row r="4805" spans="2:6" x14ac:dyDescent="0.2">
      <c r="B4805" s="12"/>
      <c r="C4805" s="12"/>
      <c r="D4805" s="17" t="str">
        <f t="shared" si="225"/>
        <v/>
      </c>
      <c r="E4805" s="18" t="str">
        <f t="shared" ref="E4805:E4868" si="226">IF(B4805="","",ABS(C4805-D4805))</f>
        <v/>
      </c>
      <c r="F4805" s="17" t="str">
        <f t="shared" ref="F4805:F4868" si="227">IF(B4805="","",E4805^2)</f>
        <v/>
      </c>
    </row>
    <row r="4806" spans="2:6" x14ac:dyDescent="0.2">
      <c r="B4806" s="12"/>
      <c r="C4806" s="12"/>
      <c r="D4806" s="17" t="str">
        <f t="shared" si="225"/>
        <v/>
      </c>
      <c r="E4806" s="18" t="str">
        <f t="shared" si="226"/>
        <v/>
      </c>
      <c r="F4806" s="17" t="str">
        <f t="shared" si="227"/>
        <v/>
      </c>
    </row>
    <row r="4807" spans="2:6" x14ac:dyDescent="0.2">
      <c r="B4807" s="12"/>
      <c r="C4807" s="12"/>
      <c r="D4807" s="17" t="str">
        <f t="shared" si="225"/>
        <v/>
      </c>
      <c r="E4807" s="18" t="str">
        <f t="shared" si="226"/>
        <v/>
      </c>
      <c r="F4807" s="17" t="str">
        <f t="shared" si="227"/>
        <v/>
      </c>
    </row>
    <row r="4808" spans="2:6" x14ac:dyDescent="0.2">
      <c r="B4808" s="12"/>
      <c r="C4808" s="12"/>
      <c r="D4808" s="17" t="str">
        <f t="shared" si="225"/>
        <v/>
      </c>
      <c r="E4808" s="18" t="str">
        <f t="shared" si="226"/>
        <v/>
      </c>
      <c r="F4808" s="17" t="str">
        <f t="shared" si="227"/>
        <v/>
      </c>
    </row>
    <row r="4809" spans="2:6" x14ac:dyDescent="0.2">
      <c r="B4809" s="12"/>
      <c r="C4809" s="12"/>
      <c r="D4809" s="17" t="str">
        <f t="shared" si="225"/>
        <v/>
      </c>
      <c r="E4809" s="18" t="str">
        <f t="shared" si="226"/>
        <v/>
      </c>
      <c r="F4809" s="17" t="str">
        <f t="shared" si="227"/>
        <v/>
      </c>
    </row>
    <row r="4810" spans="2:6" x14ac:dyDescent="0.2">
      <c r="B4810" s="12"/>
      <c r="C4810" s="12"/>
      <c r="D4810" s="17" t="str">
        <f t="shared" si="225"/>
        <v/>
      </c>
      <c r="E4810" s="18" t="str">
        <f t="shared" si="226"/>
        <v/>
      </c>
      <c r="F4810" s="17" t="str">
        <f t="shared" si="227"/>
        <v/>
      </c>
    </row>
    <row r="4811" spans="2:6" x14ac:dyDescent="0.2">
      <c r="B4811" s="12"/>
      <c r="C4811" s="12"/>
      <c r="D4811" s="17" t="str">
        <f t="shared" si="225"/>
        <v/>
      </c>
      <c r="E4811" s="18" t="str">
        <f t="shared" si="226"/>
        <v/>
      </c>
      <c r="F4811" s="17" t="str">
        <f t="shared" si="227"/>
        <v/>
      </c>
    </row>
    <row r="4812" spans="2:6" x14ac:dyDescent="0.2">
      <c r="B4812" s="12"/>
      <c r="C4812" s="12"/>
      <c r="D4812" s="17" t="str">
        <f t="shared" si="225"/>
        <v/>
      </c>
      <c r="E4812" s="18" t="str">
        <f t="shared" si="226"/>
        <v/>
      </c>
      <c r="F4812" s="17" t="str">
        <f t="shared" si="227"/>
        <v/>
      </c>
    </row>
    <row r="4813" spans="2:6" x14ac:dyDescent="0.2">
      <c r="B4813" s="12"/>
      <c r="C4813" s="12"/>
      <c r="D4813" s="17" t="str">
        <f t="shared" si="225"/>
        <v/>
      </c>
      <c r="E4813" s="18" t="str">
        <f t="shared" si="226"/>
        <v/>
      </c>
      <c r="F4813" s="17" t="str">
        <f t="shared" si="227"/>
        <v/>
      </c>
    </row>
    <row r="4814" spans="2:6" x14ac:dyDescent="0.2">
      <c r="B4814" s="12"/>
      <c r="C4814" s="12"/>
      <c r="D4814" s="17" t="str">
        <f t="shared" si="225"/>
        <v/>
      </c>
      <c r="E4814" s="18" t="str">
        <f t="shared" si="226"/>
        <v/>
      </c>
      <c r="F4814" s="17" t="str">
        <f t="shared" si="227"/>
        <v/>
      </c>
    </row>
    <row r="4815" spans="2:6" x14ac:dyDescent="0.2">
      <c r="B4815" s="12"/>
      <c r="C4815" s="12"/>
      <c r="D4815" s="17" t="str">
        <f t="shared" si="225"/>
        <v/>
      </c>
      <c r="E4815" s="18" t="str">
        <f t="shared" si="226"/>
        <v/>
      </c>
      <c r="F4815" s="17" t="str">
        <f t="shared" si="227"/>
        <v/>
      </c>
    </row>
    <row r="4816" spans="2:6" x14ac:dyDescent="0.2">
      <c r="B4816" s="12"/>
      <c r="C4816" s="12"/>
      <c r="D4816" s="17" t="str">
        <f t="shared" si="225"/>
        <v/>
      </c>
      <c r="E4816" s="18" t="str">
        <f t="shared" si="226"/>
        <v/>
      </c>
      <c r="F4816" s="17" t="str">
        <f t="shared" si="227"/>
        <v/>
      </c>
    </row>
    <row r="4817" spans="2:6" x14ac:dyDescent="0.2">
      <c r="B4817" s="12"/>
      <c r="C4817" s="12"/>
      <c r="D4817" s="17" t="str">
        <f t="shared" si="225"/>
        <v/>
      </c>
      <c r="E4817" s="18" t="str">
        <f t="shared" si="226"/>
        <v/>
      </c>
      <c r="F4817" s="17" t="str">
        <f t="shared" si="227"/>
        <v/>
      </c>
    </row>
    <row r="4818" spans="2:6" x14ac:dyDescent="0.2">
      <c r="B4818" s="12"/>
      <c r="C4818" s="12"/>
      <c r="D4818" s="17" t="str">
        <f t="shared" ref="D4818:D4881" si="228">IF(B4818="","",a+b*B4818)</f>
        <v/>
      </c>
      <c r="E4818" s="18" t="str">
        <f t="shared" si="226"/>
        <v/>
      </c>
      <c r="F4818" s="17" t="str">
        <f t="shared" si="227"/>
        <v/>
      </c>
    </row>
    <row r="4819" spans="2:6" x14ac:dyDescent="0.2">
      <c r="B4819" s="12"/>
      <c r="C4819" s="12"/>
      <c r="D4819" s="17" t="str">
        <f t="shared" si="228"/>
        <v/>
      </c>
      <c r="E4819" s="18" t="str">
        <f t="shared" si="226"/>
        <v/>
      </c>
      <c r="F4819" s="17" t="str">
        <f t="shared" si="227"/>
        <v/>
      </c>
    </row>
    <row r="4820" spans="2:6" x14ac:dyDescent="0.2">
      <c r="B4820" s="12"/>
      <c r="C4820" s="12"/>
      <c r="D4820" s="17" t="str">
        <f t="shared" si="228"/>
        <v/>
      </c>
      <c r="E4820" s="18" t="str">
        <f t="shared" si="226"/>
        <v/>
      </c>
      <c r="F4820" s="17" t="str">
        <f t="shared" si="227"/>
        <v/>
      </c>
    </row>
    <row r="4821" spans="2:6" x14ac:dyDescent="0.2">
      <c r="B4821" s="12"/>
      <c r="C4821" s="12"/>
      <c r="D4821" s="17" t="str">
        <f t="shared" si="228"/>
        <v/>
      </c>
      <c r="E4821" s="18" t="str">
        <f t="shared" si="226"/>
        <v/>
      </c>
      <c r="F4821" s="17" t="str">
        <f t="shared" si="227"/>
        <v/>
      </c>
    </row>
    <row r="4822" spans="2:6" x14ac:dyDescent="0.2">
      <c r="B4822" s="12"/>
      <c r="C4822" s="12"/>
      <c r="D4822" s="17" t="str">
        <f t="shared" si="228"/>
        <v/>
      </c>
      <c r="E4822" s="18" t="str">
        <f t="shared" si="226"/>
        <v/>
      </c>
      <c r="F4822" s="17" t="str">
        <f t="shared" si="227"/>
        <v/>
      </c>
    </row>
    <row r="4823" spans="2:6" x14ac:dyDescent="0.2">
      <c r="B4823" s="12"/>
      <c r="C4823" s="12"/>
      <c r="D4823" s="17" t="str">
        <f t="shared" si="228"/>
        <v/>
      </c>
      <c r="E4823" s="18" t="str">
        <f t="shared" si="226"/>
        <v/>
      </c>
      <c r="F4823" s="17" t="str">
        <f t="shared" si="227"/>
        <v/>
      </c>
    </row>
    <row r="4824" spans="2:6" x14ac:dyDescent="0.2">
      <c r="B4824" s="12"/>
      <c r="C4824" s="12"/>
      <c r="D4824" s="17" t="str">
        <f t="shared" si="228"/>
        <v/>
      </c>
      <c r="E4824" s="18" t="str">
        <f t="shared" si="226"/>
        <v/>
      </c>
      <c r="F4824" s="17" t="str">
        <f t="shared" si="227"/>
        <v/>
      </c>
    </row>
    <row r="4825" spans="2:6" x14ac:dyDescent="0.2">
      <c r="B4825" s="12"/>
      <c r="C4825" s="12"/>
      <c r="D4825" s="17" t="str">
        <f t="shared" si="228"/>
        <v/>
      </c>
      <c r="E4825" s="18" t="str">
        <f t="shared" si="226"/>
        <v/>
      </c>
      <c r="F4825" s="17" t="str">
        <f t="shared" si="227"/>
        <v/>
      </c>
    </row>
    <row r="4826" spans="2:6" x14ac:dyDescent="0.2">
      <c r="B4826" s="12"/>
      <c r="C4826" s="12"/>
      <c r="D4826" s="17" t="str">
        <f t="shared" si="228"/>
        <v/>
      </c>
      <c r="E4826" s="18" t="str">
        <f t="shared" si="226"/>
        <v/>
      </c>
      <c r="F4826" s="17" t="str">
        <f t="shared" si="227"/>
        <v/>
      </c>
    </row>
    <row r="4827" spans="2:6" x14ac:dyDescent="0.2">
      <c r="B4827" s="12"/>
      <c r="C4827" s="12"/>
      <c r="D4827" s="17" t="str">
        <f t="shared" si="228"/>
        <v/>
      </c>
      <c r="E4827" s="18" t="str">
        <f t="shared" si="226"/>
        <v/>
      </c>
      <c r="F4827" s="17" t="str">
        <f t="shared" si="227"/>
        <v/>
      </c>
    </row>
    <row r="4828" spans="2:6" x14ac:dyDescent="0.2">
      <c r="B4828" s="12"/>
      <c r="C4828" s="12"/>
      <c r="D4828" s="17" t="str">
        <f t="shared" si="228"/>
        <v/>
      </c>
      <c r="E4828" s="18" t="str">
        <f t="shared" si="226"/>
        <v/>
      </c>
      <c r="F4828" s="17" t="str">
        <f t="shared" si="227"/>
        <v/>
      </c>
    </row>
    <row r="4829" spans="2:6" x14ac:dyDescent="0.2">
      <c r="B4829" s="12"/>
      <c r="C4829" s="12"/>
      <c r="D4829" s="17" t="str">
        <f t="shared" si="228"/>
        <v/>
      </c>
      <c r="E4829" s="18" t="str">
        <f t="shared" si="226"/>
        <v/>
      </c>
      <c r="F4829" s="17" t="str">
        <f t="shared" si="227"/>
        <v/>
      </c>
    </row>
    <row r="4830" spans="2:6" x14ac:dyDescent="0.2">
      <c r="B4830" s="12"/>
      <c r="C4830" s="12"/>
      <c r="D4830" s="17" t="str">
        <f t="shared" si="228"/>
        <v/>
      </c>
      <c r="E4830" s="18" t="str">
        <f t="shared" si="226"/>
        <v/>
      </c>
      <c r="F4830" s="17" t="str">
        <f t="shared" si="227"/>
        <v/>
      </c>
    </row>
    <row r="4831" spans="2:6" x14ac:dyDescent="0.2">
      <c r="B4831" s="12"/>
      <c r="C4831" s="12"/>
      <c r="D4831" s="17" t="str">
        <f t="shared" si="228"/>
        <v/>
      </c>
      <c r="E4831" s="18" t="str">
        <f t="shared" si="226"/>
        <v/>
      </c>
      <c r="F4831" s="17" t="str">
        <f t="shared" si="227"/>
        <v/>
      </c>
    </row>
    <row r="4832" spans="2:6" x14ac:dyDescent="0.2">
      <c r="B4832" s="12"/>
      <c r="C4832" s="12"/>
      <c r="D4832" s="17" t="str">
        <f t="shared" si="228"/>
        <v/>
      </c>
      <c r="E4832" s="18" t="str">
        <f t="shared" si="226"/>
        <v/>
      </c>
      <c r="F4832" s="17" t="str">
        <f t="shared" si="227"/>
        <v/>
      </c>
    </row>
    <row r="4833" spans="2:6" x14ac:dyDescent="0.2">
      <c r="B4833" s="12"/>
      <c r="C4833" s="12"/>
      <c r="D4833" s="17" t="str">
        <f t="shared" si="228"/>
        <v/>
      </c>
      <c r="E4833" s="18" t="str">
        <f t="shared" si="226"/>
        <v/>
      </c>
      <c r="F4833" s="17" t="str">
        <f t="shared" si="227"/>
        <v/>
      </c>
    </row>
    <row r="4834" spans="2:6" x14ac:dyDescent="0.2">
      <c r="B4834" s="12"/>
      <c r="C4834" s="12"/>
      <c r="D4834" s="17" t="str">
        <f t="shared" si="228"/>
        <v/>
      </c>
      <c r="E4834" s="18" t="str">
        <f t="shared" si="226"/>
        <v/>
      </c>
      <c r="F4834" s="17" t="str">
        <f t="shared" si="227"/>
        <v/>
      </c>
    </row>
    <row r="4835" spans="2:6" x14ac:dyDescent="0.2">
      <c r="B4835" s="12"/>
      <c r="C4835" s="12"/>
      <c r="D4835" s="17" t="str">
        <f t="shared" si="228"/>
        <v/>
      </c>
      <c r="E4835" s="18" t="str">
        <f t="shared" si="226"/>
        <v/>
      </c>
      <c r="F4835" s="17" t="str">
        <f t="shared" si="227"/>
        <v/>
      </c>
    </row>
    <row r="4836" spans="2:6" x14ac:dyDescent="0.2">
      <c r="B4836" s="12"/>
      <c r="C4836" s="12"/>
      <c r="D4836" s="17" t="str">
        <f t="shared" si="228"/>
        <v/>
      </c>
      <c r="E4836" s="18" t="str">
        <f t="shared" si="226"/>
        <v/>
      </c>
      <c r="F4836" s="17" t="str">
        <f t="shared" si="227"/>
        <v/>
      </c>
    </row>
    <row r="4837" spans="2:6" x14ac:dyDescent="0.2">
      <c r="B4837" s="12"/>
      <c r="C4837" s="12"/>
      <c r="D4837" s="17" t="str">
        <f t="shared" si="228"/>
        <v/>
      </c>
      <c r="E4837" s="18" t="str">
        <f t="shared" si="226"/>
        <v/>
      </c>
      <c r="F4837" s="17" t="str">
        <f t="shared" si="227"/>
        <v/>
      </c>
    </row>
    <row r="4838" spans="2:6" x14ac:dyDescent="0.2">
      <c r="B4838" s="12"/>
      <c r="C4838" s="12"/>
      <c r="D4838" s="17" t="str">
        <f t="shared" si="228"/>
        <v/>
      </c>
      <c r="E4838" s="18" t="str">
        <f t="shared" si="226"/>
        <v/>
      </c>
      <c r="F4838" s="17" t="str">
        <f t="shared" si="227"/>
        <v/>
      </c>
    </row>
    <row r="4839" spans="2:6" x14ac:dyDescent="0.2">
      <c r="B4839" s="12"/>
      <c r="C4839" s="12"/>
      <c r="D4839" s="17" t="str">
        <f t="shared" si="228"/>
        <v/>
      </c>
      <c r="E4839" s="18" t="str">
        <f t="shared" si="226"/>
        <v/>
      </c>
      <c r="F4839" s="17" t="str">
        <f t="shared" si="227"/>
        <v/>
      </c>
    </row>
    <row r="4840" spans="2:6" x14ac:dyDescent="0.2">
      <c r="B4840" s="12"/>
      <c r="C4840" s="12"/>
      <c r="D4840" s="17" t="str">
        <f t="shared" si="228"/>
        <v/>
      </c>
      <c r="E4840" s="18" t="str">
        <f t="shared" si="226"/>
        <v/>
      </c>
      <c r="F4840" s="17" t="str">
        <f t="shared" si="227"/>
        <v/>
      </c>
    </row>
    <row r="4841" spans="2:6" x14ac:dyDescent="0.2">
      <c r="B4841" s="12"/>
      <c r="C4841" s="12"/>
      <c r="D4841" s="17" t="str">
        <f t="shared" si="228"/>
        <v/>
      </c>
      <c r="E4841" s="18" t="str">
        <f t="shared" si="226"/>
        <v/>
      </c>
      <c r="F4841" s="17" t="str">
        <f t="shared" si="227"/>
        <v/>
      </c>
    </row>
    <row r="4842" spans="2:6" x14ac:dyDescent="0.2">
      <c r="B4842" s="12"/>
      <c r="C4842" s="12"/>
      <c r="D4842" s="17" t="str">
        <f t="shared" si="228"/>
        <v/>
      </c>
      <c r="E4842" s="18" t="str">
        <f t="shared" si="226"/>
        <v/>
      </c>
      <c r="F4842" s="17" t="str">
        <f t="shared" si="227"/>
        <v/>
      </c>
    </row>
    <row r="4843" spans="2:6" x14ac:dyDescent="0.2">
      <c r="B4843" s="12"/>
      <c r="C4843" s="12"/>
      <c r="D4843" s="17" t="str">
        <f t="shared" si="228"/>
        <v/>
      </c>
      <c r="E4843" s="18" t="str">
        <f t="shared" si="226"/>
        <v/>
      </c>
      <c r="F4843" s="17" t="str">
        <f t="shared" si="227"/>
        <v/>
      </c>
    </row>
    <row r="4844" spans="2:6" x14ac:dyDescent="0.2">
      <c r="B4844" s="12"/>
      <c r="C4844" s="12"/>
      <c r="D4844" s="17" t="str">
        <f t="shared" si="228"/>
        <v/>
      </c>
      <c r="E4844" s="18" t="str">
        <f t="shared" si="226"/>
        <v/>
      </c>
      <c r="F4844" s="17" t="str">
        <f t="shared" si="227"/>
        <v/>
      </c>
    </row>
    <row r="4845" spans="2:6" x14ac:dyDescent="0.2">
      <c r="B4845" s="12"/>
      <c r="C4845" s="12"/>
      <c r="D4845" s="17" t="str">
        <f t="shared" si="228"/>
        <v/>
      </c>
      <c r="E4845" s="18" t="str">
        <f t="shared" si="226"/>
        <v/>
      </c>
      <c r="F4845" s="17" t="str">
        <f t="shared" si="227"/>
        <v/>
      </c>
    </row>
    <row r="4846" spans="2:6" x14ac:dyDescent="0.2">
      <c r="B4846" s="12"/>
      <c r="C4846" s="12"/>
      <c r="D4846" s="17" t="str">
        <f t="shared" si="228"/>
        <v/>
      </c>
      <c r="E4846" s="18" t="str">
        <f t="shared" si="226"/>
        <v/>
      </c>
      <c r="F4846" s="17" t="str">
        <f t="shared" si="227"/>
        <v/>
      </c>
    </row>
    <row r="4847" spans="2:6" x14ac:dyDescent="0.2">
      <c r="B4847" s="12"/>
      <c r="C4847" s="12"/>
      <c r="D4847" s="17" t="str">
        <f t="shared" si="228"/>
        <v/>
      </c>
      <c r="E4847" s="18" t="str">
        <f t="shared" si="226"/>
        <v/>
      </c>
      <c r="F4847" s="17" t="str">
        <f t="shared" si="227"/>
        <v/>
      </c>
    </row>
    <row r="4848" spans="2:6" x14ac:dyDescent="0.2">
      <c r="B4848" s="12"/>
      <c r="C4848" s="12"/>
      <c r="D4848" s="17" t="str">
        <f t="shared" si="228"/>
        <v/>
      </c>
      <c r="E4848" s="18" t="str">
        <f t="shared" si="226"/>
        <v/>
      </c>
      <c r="F4848" s="17" t="str">
        <f t="shared" si="227"/>
        <v/>
      </c>
    </row>
    <row r="4849" spans="2:6" x14ac:dyDescent="0.2">
      <c r="B4849" s="12"/>
      <c r="C4849" s="12"/>
      <c r="D4849" s="17" t="str">
        <f t="shared" si="228"/>
        <v/>
      </c>
      <c r="E4849" s="18" t="str">
        <f t="shared" si="226"/>
        <v/>
      </c>
      <c r="F4849" s="17" t="str">
        <f t="shared" si="227"/>
        <v/>
      </c>
    </row>
    <row r="4850" spans="2:6" x14ac:dyDescent="0.2">
      <c r="B4850" s="12"/>
      <c r="C4850" s="12"/>
      <c r="D4850" s="17" t="str">
        <f t="shared" si="228"/>
        <v/>
      </c>
      <c r="E4850" s="18" t="str">
        <f t="shared" si="226"/>
        <v/>
      </c>
      <c r="F4850" s="17" t="str">
        <f t="shared" si="227"/>
        <v/>
      </c>
    </row>
    <row r="4851" spans="2:6" x14ac:dyDescent="0.2">
      <c r="B4851" s="12"/>
      <c r="C4851" s="12"/>
      <c r="D4851" s="17" t="str">
        <f t="shared" si="228"/>
        <v/>
      </c>
      <c r="E4851" s="18" t="str">
        <f t="shared" si="226"/>
        <v/>
      </c>
      <c r="F4851" s="17" t="str">
        <f t="shared" si="227"/>
        <v/>
      </c>
    </row>
    <row r="4852" spans="2:6" x14ac:dyDescent="0.2">
      <c r="B4852" s="12"/>
      <c r="C4852" s="12"/>
      <c r="D4852" s="17" t="str">
        <f t="shared" si="228"/>
        <v/>
      </c>
      <c r="E4852" s="18" t="str">
        <f t="shared" si="226"/>
        <v/>
      </c>
      <c r="F4852" s="17" t="str">
        <f t="shared" si="227"/>
        <v/>
      </c>
    </row>
    <row r="4853" spans="2:6" x14ac:dyDescent="0.2">
      <c r="B4853" s="12"/>
      <c r="C4853" s="12"/>
      <c r="D4853" s="17" t="str">
        <f t="shared" si="228"/>
        <v/>
      </c>
      <c r="E4853" s="18" t="str">
        <f t="shared" si="226"/>
        <v/>
      </c>
      <c r="F4853" s="17" t="str">
        <f t="shared" si="227"/>
        <v/>
      </c>
    </row>
    <row r="4854" spans="2:6" x14ac:dyDescent="0.2">
      <c r="B4854" s="12"/>
      <c r="C4854" s="12"/>
      <c r="D4854" s="17" t="str">
        <f t="shared" si="228"/>
        <v/>
      </c>
      <c r="E4854" s="18" t="str">
        <f t="shared" si="226"/>
        <v/>
      </c>
      <c r="F4854" s="17" t="str">
        <f t="shared" si="227"/>
        <v/>
      </c>
    </row>
    <row r="4855" spans="2:6" x14ac:dyDescent="0.2">
      <c r="B4855" s="12"/>
      <c r="C4855" s="12"/>
      <c r="D4855" s="17" t="str">
        <f t="shared" si="228"/>
        <v/>
      </c>
      <c r="E4855" s="18" t="str">
        <f t="shared" si="226"/>
        <v/>
      </c>
      <c r="F4855" s="17" t="str">
        <f t="shared" si="227"/>
        <v/>
      </c>
    </row>
    <row r="4856" spans="2:6" x14ac:dyDescent="0.2">
      <c r="B4856" s="12"/>
      <c r="C4856" s="12"/>
      <c r="D4856" s="17" t="str">
        <f t="shared" si="228"/>
        <v/>
      </c>
      <c r="E4856" s="18" t="str">
        <f t="shared" si="226"/>
        <v/>
      </c>
      <c r="F4856" s="17" t="str">
        <f t="shared" si="227"/>
        <v/>
      </c>
    </row>
    <row r="4857" spans="2:6" x14ac:dyDescent="0.2">
      <c r="B4857" s="12"/>
      <c r="C4857" s="12"/>
      <c r="D4857" s="17" t="str">
        <f t="shared" si="228"/>
        <v/>
      </c>
      <c r="E4857" s="18" t="str">
        <f t="shared" si="226"/>
        <v/>
      </c>
      <c r="F4857" s="17" t="str">
        <f t="shared" si="227"/>
        <v/>
      </c>
    </row>
    <row r="4858" spans="2:6" x14ac:dyDescent="0.2">
      <c r="B4858" s="12"/>
      <c r="C4858" s="12"/>
      <c r="D4858" s="17" t="str">
        <f t="shared" si="228"/>
        <v/>
      </c>
      <c r="E4858" s="18" t="str">
        <f t="shared" si="226"/>
        <v/>
      </c>
      <c r="F4858" s="17" t="str">
        <f t="shared" si="227"/>
        <v/>
      </c>
    </row>
    <row r="4859" spans="2:6" x14ac:dyDescent="0.2">
      <c r="B4859" s="12"/>
      <c r="C4859" s="12"/>
      <c r="D4859" s="17" t="str">
        <f t="shared" si="228"/>
        <v/>
      </c>
      <c r="E4859" s="18" t="str">
        <f t="shared" si="226"/>
        <v/>
      </c>
      <c r="F4859" s="17" t="str">
        <f t="shared" si="227"/>
        <v/>
      </c>
    </row>
    <row r="4860" spans="2:6" x14ac:dyDescent="0.2">
      <c r="B4860" s="12"/>
      <c r="C4860" s="12"/>
      <c r="D4860" s="17" t="str">
        <f t="shared" si="228"/>
        <v/>
      </c>
      <c r="E4860" s="18" t="str">
        <f t="shared" si="226"/>
        <v/>
      </c>
      <c r="F4860" s="17" t="str">
        <f t="shared" si="227"/>
        <v/>
      </c>
    </row>
    <row r="4861" spans="2:6" x14ac:dyDescent="0.2">
      <c r="B4861" s="12"/>
      <c r="C4861" s="12"/>
      <c r="D4861" s="17" t="str">
        <f t="shared" si="228"/>
        <v/>
      </c>
      <c r="E4861" s="18" t="str">
        <f t="shared" si="226"/>
        <v/>
      </c>
      <c r="F4861" s="17" t="str">
        <f t="shared" si="227"/>
        <v/>
      </c>
    </row>
    <row r="4862" spans="2:6" x14ac:dyDescent="0.2">
      <c r="B4862" s="12"/>
      <c r="C4862" s="12"/>
      <c r="D4862" s="17" t="str">
        <f t="shared" si="228"/>
        <v/>
      </c>
      <c r="E4862" s="18" t="str">
        <f t="shared" si="226"/>
        <v/>
      </c>
      <c r="F4862" s="17" t="str">
        <f t="shared" si="227"/>
        <v/>
      </c>
    </row>
    <row r="4863" spans="2:6" x14ac:dyDescent="0.2">
      <c r="B4863" s="12"/>
      <c r="C4863" s="12"/>
      <c r="D4863" s="17" t="str">
        <f t="shared" si="228"/>
        <v/>
      </c>
      <c r="E4863" s="18" t="str">
        <f t="shared" si="226"/>
        <v/>
      </c>
      <c r="F4863" s="17" t="str">
        <f t="shared" si="227"/>
        <v/>
      </c>
    </row>
    <row r="4864" spans="2:6" x14ac:dyDescent="0.2">
      <c r="B4864" s="12"/>
      <c r="C4864" s="12"/>
      <c r="D4864" s="17" t="str">
        <f t="shared" si="228"/>
        <v/>
      </c>
      <c r="E4864" s="18" t="str">
        <f t="shared" si="226"/>
        <v/>
      </c>
      <c r="F4864" s="17" t="str">
        <f t="shared" si="227"/>
        <v/>
      </c>
    </row>
    <row r="4865" spans="2:6" x14ac:dyDescent="0.2">
      <c r="B4865" s="12"/>
      <c r="C4865" s="12"/>
      <c r="D4865" s="17" t="str">
        <f t="shared" si="228"/>
        <v/>
      </c>
      <c r="E4865" s="18" t="str">
        <f t="shared" si="226"/>
        <v/>
      </c>
      <c r="F4865" s="17" t="str">
        <f t="shared" si="227"/>
        <v/>
      </c>
    </row>
    <row r="4866" spans="2:6" x14ac:dyDescent="0.2">
      <c r="B4866" s="12"/>
      <c r="C4866" s="12"/>
      <c r="D4866" s="17" t="str">
        <f t="shared" si="228"/>
        <v/>
      </c>
      <c r="E4866" s="18" t="str">
        <f t="shared" si="226"/>
        <v/>
      </c>
      <c r="F4866" s="17" t="str">
        <f t="shared" si="227"/>
        <v/>
      </c>
    </row>
    <row r="4867" spans="2:6" x14ac:dyDescent="0.2">
      <c r="B4867" s="12"/>
      <c r="C4867" s="12"/>
      <c r="D4867" s="17" t="str">
        <f t="shared" si="228"/>
        <v/>
      </c>
      <c r="E4867" s="18" t="str">
        <f t="shared" si="226"/>
        <v/>
      </c>
      <c r="F4867" s="17" t="str">
        <f t="shared" si="227"/>
        <v/>
      </c>
    </row>
    <row r="4868" spans="2:6" x14ac:dyDescent="0.2">
      <c r="B4868" s="12"/>
      <c r="C4868" s="12"/>
      <c r="D4868" s="17" t="str">
        <f t="shared" si="228"/>
        <v/>
      </c>
      <c r="E4868" s="18" t="str">
        <f t="shared" si="226"/>
        <v/>
      </c>
      <c r="F4868" s="17" t="str">
        <f t="shared" si="227"/>
        <v/>
      </c>
    </row>
    <row r="4869" spans="2:6" x14ac:dyDescent="0.2">
      <c r="B4869" s="12"/>
      <c r="C4869" s="12"/>
      <c r="D4869" s="17" t="str">
        <f t="shared" si="228"/>
        <v/>
      </c>
      <c r="E4869" s="18" t="str">
        <f t="shared" ref="E4869:E4932" si="229">IF(B4869="","",ABS(C4869-D4869))</f>
        <v/>
      </c>
      <c r="F4869" s="17" t="str">
        <f t="shared" ref="F4869:F4932" si="230">IF(B4869="","",E4869^2)</f>
        <v/>
      </c>
    </row>
    <row r="4870" spans="2:6" x14ac:dyDescent="0.2">
      <c r="B4870" s="12"/>
      <c r="C4870" s="12"/>
      <c r="D4870" s="17" t="str">
        <f t="shared" si="228"/>
        <v/>
      </c>
      <c r="E4870" s="18" t="str">
        <f t="shared" si="229"/>
        <v/>
      </c>
      <c r="F4870" s="17" t="str">
        <f t="shared" si="230"/>
        <v/>
      </c>
    </row>
    <row r="4871" spans="2:6" x14ac:dyDescent="0.2">
      <c r="B4871" s="12"/>
      <c r="C4871" s="12"/>
      <c r="D4871" s="17" t="str">
        <f t="shared" si="228"/>
        <v/>
      </c>
      <c r="E4871" s="18" t="str">
        <f t="shared" si="229"/>
        <v/>
      </c>
      <c r="F4871" s="17" t="str">
        <f t="shared" si="230"/>
        <v/>
      </c>
    </row>
    <row r="4872" spans="2:6" x14ac:dyDescent="0.2">
      <c r="B4872" s="12"/>
      <c r="C4872" s="12"/>
      <c r="D4872" s="17" t="str">
        <f t="shared" si="228"/>
        <v/>
      </c>
      <c r="E4872" s="18" t="str">
        <f t="shared" si="229"/>
        <v/>
      </c>
      <c r="F4872" s="17" t="str">
        <f t="shared" si="230"/>
        <v/>
      </c>
    </row>
    <row r="4873" spans="2:6" x14ac:dyDescent="0.2">
      <c r="B4873" s="12"/>
      <c r="C4873" s="12"/>
      <c r="D4873" s="17" t="str">
        <f t="shared" si="228"/>
        <v/>
      </c>
      <c r="E4873" s="18" t="str">
        <f t="shared" si="229"/>
        <v/>
      </c>
      <c r="F4873" s="17" t="str">
        <f t="shared" si="230"/>
        <v/>
      </c>
    </row>
    <row r="4874" spans="2:6" x14ac:dyDescent="0.2">
      <c r="B4874" s="12"/>
      <c r="C4874" s="12"/>
      <c r="D4874" s="17" t="str">
        <f t="shared" si="228"/>
        <v/>
      </c>
      <c r="E4874" s="18" t="str">
        <f t="shared" si="229"/>
        <v/>
      </c>
      <c r="F4874" s="17" t="str">
        <f t="shared" si="230"/>
        <v/>
      </c>
    </row>
    <row r="4875" spans="2:6" x14ac:dyDescent="0.2">
      <c r="B4875" s="12"/>
      <c r="C4875" s="12"/>
      <c r="D4875" s="17" t="str">
        <f t="shared" si="228"/>
        <v/>
      </c>
      <c r="E4875" s="18" t="str">
        <f t="shared" si="229"/>
        <v/>
      </c>
      <c r="F4875" s="17" t="str">
        <f t="shared" si="230"/>
        <v/>
      </c>
    </row>
    <row r="4876" spans="2:6" x14ac:dyDescent="0.2">
      <c r="B4876" s="12"/>
      <c r="C4876" s="12"/>
      <c r="D4876" s="17" t="str">
        <f t="shared" si="228"/>
        <v/>
      </c>
      <c r="E4876" s="18" t="str">
        <f t="shared" si="229"/>
        <v/>
      </c>
      <c r="F4876" s="17" t="str">
        <f t="shared" si="230"/>
        <v/>
      </c>
    </row>
    <row r="4877" spans="2:6" x14ac:dyDescent="0.2">
      <c r="B4877" s="12"/>
      <c r="C4877" s="12"/>
      <c r="D4877" s="17" t="str">
        <f t="shared" si="228"/>
        <v/>
      </c>
      <c r="E4877" s="18" t="str">
        <f t="shared" si="229"/>
        <v/>
      </c>
      <c r="F4877" s="17" t="str">
        <f t="shared" si="230"/>
        <v/>
      </c>
    </row>
    <row r="4878" spans="2:6" x14ac:dyDescent="0.2">
      <c r="B4878" s="12"/>
      <c r="C4878" s="12"/>
      <c r="D4878" s="17" t="str">
        <f t="shared" si="228"/>
        <v/>
      </c>
      <c r="E4878" s="18" t="str">
        <f t="shared" si="229"/>
        <v/>
      </c>
      <c r="F4878" s="17" t="str">
        <f t="shared" si="230"/>
        <v/>
      </c>
    </row>
    <row r="4879" spans="2:6" x14ac:dyDescent="0.2">
      <c r="B4879" s="12"/>
      <c r="C4879" s="12"/>
      <c r="D4879" s="17" t="str">
        <f t="shared" si="228"/>
        <v/>
      </c>
      <c r="E4879" s="18" t="str">
        <f t="shared" si="229"/>
        <v/>
      </c>
      <c r="F4879" s="17" t="str">
        <f t="shared" si="230"/>
        <v/>
      </c>
    </row>
    <row r="4880" spans="2:6" x14ac:dyDescent="0.2">
      <c r="B4880" s="12"/>
      <c r="C4880" s="12"/>
      <c r="D4880" s="17" t="str">
        <f t="shared" si="228"/>
        <v/>
      </c>
      <c r="E4880" s="18" t="str">
        <f t="shared" si="229"/>
        <v/>
      </c>
      <c r="F4880" s="17" t="str">
        <f t="shared" si="230"/>
        <v/>
      </c>
    </row>
    <row r="4881" spans="2:6" x14ac:dyDescent="0.2">
      <c r="B4881" s="12"/>
      <c r="C4881" s="12"/>
      <c r="D4881" s="17" t="str">
        <f t="shared" si="228"/>
        <v/>
      </c>
      <c r="E4881" s="18" t="str">
        <f t="shared" si="229"/>
        <v/>
      </c>
      <c r="F4881" s="17" t="str">
        <f t="shared" si="230"/>
        <v/>
      </c>
    </row>
    <row r="4882" spans="2:6" x14ac:dyDescent="0.2">
      <c r="B4882" s="12"/>
      <c r="C4882" s="12"/>
      <c r="D4882" s="17" t="str">
        <f t="shared" ref="D4882:D4945" si="231">IF(B4882="","",a+b*B4882)</f>
        <v/>
      </c>
      <c r="E4882" s="18" t="str">
        <f t="shared" si="229"/>
        <v/>
      </c>
      <c r="F4882" s="17" t="str">
        <f t="shared" si="230"/>
        <v/>
      </c>
    </row>
    <row r="4883" spans="2:6" x14ac:dyDescent="0.2">
      <c r="B4883" s="12"/>
      <c r="C4883" s="12"/>
      <c r="D4883" s="17" t="str">
        <f t="shared" si="231"/>
        <v/>
      </c>
      <c r="E4883" s="18" t="str">
        <f t="shared" si="229"/>
        <v/>
      </c>
      <c r="F4883" s="17" t="str">
        <f t="shared" si="230"/>
        <v/>
      </c>
    </row>
    <row r="4884" spans="2:6" x14ac:dyDescent="0.2">
      <c r="B4884" s="12"/>
      <c r="C4884" s="12"/>
      <c r="D4884" s="17" t="str">
        <f t="shared" si="231"/>
        <v/>
      </c>
      <c r="E4884" s="18" t="str">
        <f t="shared" si="229"/>
        <v/>
      </c>
      <c r="F4884" s="17" t="str">
        <f t="shared" si="230"/>
        <v/>
      </c>
    </row>
    <row r="4885" spans="2:6" x14ac:dyDescent="0.2">
      <c r="B4885" s="12"/>
      <c r="C4885" s="12"/>
      <c r="D4885" s="17" t="str">
        <f t="shared" si="231"/>
        <v/>
      </c>
      <c r="E4885" s="18" t="str">
        <f t="shared" si="229"/>
        <v/>
      </c>
      <c r="F4885" s="17" t="str">
        <f t="shared" si="230"/>
        <v/>
      </c>
    </row>
    <row r="4886" spans="2:6" x14ac:dyDescent="0.2">
      <c r="B4886" s="12"/>
      <c r="C4886" s="12"/>
      <c r="D4886" s="17" t="str">
        <f t="shared" si="231"/>
        <v/>
      </c>
      <c r="E4886" s="18" t="str">
        <f t="shared" si="229"/>
        <v/>
      </c>
      <c r="F4886" s="17" t="str">
        <f t="shared" si="230"/>
        <v/>
      </c>
    </row>
    <row r="4887" spans="2:6" x14ac:dyDescent="0.2">
      <c r="B4887" s="12"/>
      <c r="C4887" s="12"/>
      <c r="D4887" s="17" t="str">
        <f t="shared" si="231"/>
        <v/>
      </c>
      <c r="E4887" s="18" t="str">
        <f t="shared" si="229"/>
        <v/>
      </c>
      <c r="F4887" s="17" t="str">
        <f t="shared" si="230"/>
        <v/>
      </c>
    </row>
    <row r="4888" spans="2:6" x14ac:dyDescent="0.2">
      <c r="B4888" s="12"/>
      <c r="C4888" s="12"/>
      <c r="D4888" s="17" t="str">
        <f t="shared" si="231"/>
        <v/>
      </c>
      <c r="E4888" s="18" t="str">
        <f t="shared" si="229"/>
        <v/>
      </c>
      <c r="F4888" s="17" t="str">
        <f t="shared" si="230"/>
        <v/>
      </c>
    </row>
    <row r="4889" spans="2:6" x14ac:dyDescent="0.2">
      <c r="B4889" s="12"/>
      <c r="C4889" s="12"/>
      <c r="D4889" s="17" t="str">
        <f t="shared" si="231"/>
        <v/>
      </c>
      <c r="E4889" s="18" t="str">
        <f t="shared" si="229"/>
        <v/>
      </c>
      <c r="F4889" s="17" t="str">
        <f t="shared" si="230"/>
        <v/>
      </c>
    </row>
    <row r="4890" spans="2:6" x14ac:dyDescent="0.2">
      <c r="B4890" s="12"/>
      <c r="C4890" s="12"/>
      <c r="D4890" s="17" t="str">
        <f t="shared" si="231"/>
        <v/>
      </c>
      <c r="E4890" s="18" t="str">
        <f t="shared" si="229"/>
        <v/>
      </c>
      <c r="F4890" s="17" t="str">
        <f t="shared" si="230"/>
        <v/>
      </c>
    </row>
    <row r="4891" spans="2:6" x14ac:dyDescent="0.2">
      <c r="B4891" s="12"/>
      <c r="C4891" s="12"/>
      <c r="D4891" s="17" t="str">
        <f t="shared" si="231"/>
        <v/>
      </c>
      <c r="E4891" s="18" t="str">
        <f t="shared" si="229"/>
        <v/>
      </c>
      <c r="F4891" s="17" t="str">
        <f t="shared" si="230"/>
        <v/>
      </c>
    </row>
    <row r="4892" spans="2:6" x14ac:dyDescent="0.2">
      <c r="B4892" s="12"/>
      <c r="C4892" s="12"/>
      <c r="D4892" s="17" t="str">
        <f t="shared" si="231"/>
        <v/>
      </c>
      <c r="E4892" s="18" t="str">
        <f t="shared" si="229"/>
        <v/>
      </c>
      <c r="F4892" s="17" t="str">
        <f t="shared" si="230"/>
        <v/>
      </c>
    </row>
    <row r="4893" spans="2:6" x14ac:dyDescent="0.2">
      <c r="B4893" s="12"/>
      <c r="C4893" s="12"/>
      <c r="D4893" s="17" t="str">
        <f t="shared" si="231"/>
        <v/>
      </c>
      <c r="E4893" s="18" t="str">
        <f t="shared" si="229"/>
        <v/>
      </c>
      <c r="F4893" s="17" t="str">
        <f t="shared" si="230"/>
        <v/>
      </c>
    </row>
    <row r="4894" spans="2:6" x14ac:dyDescent="0.2">
      <c r="B4894" s="12"/>
      <c r="C4894" s="12"/>
      <c r="D4894" s="17" t="str">
        <f t="shared" si="231"/>
        <v/>
      </c>
      <c r="E4894" s="18" t="str">
        <f t="shared" si="229"/>
        <v/>
      </c>
      <c r="F4894" s="17" t="str">
        <f t="shared" si="230"/>
        <v/>
      </c>
    </row>
    <row r="4895" spans="2:6" x14ac:dyDescent="0.2">
      <c r="B4895" s="12"/>
      <c r="C4895" s="12"/>
      <c r="D4895" s="17" t="str">
        <f t="shared" si="231"/>
        <v/>
      </c>
      <c r="E4895" s="18" t="str">
        <f t="shared" si="229"/>
        <v/>
      </c>
      <c r="F4895" s="17" t="str">
        <f t="shared" si="230"/>
        <v/>
      </c>
    </row>
    <row r="4896" spans="2:6" x14ac:dyDescent="0.2">
      <c r="B4896" s="12"/>
      <c r="C4896" s="12"/>
      <c r="D4896" s="17" t="str">
        <f t="shared" si="231"/>
        <v/>
      </c>
      <c r="E4896" s="18" t="str">
        <f t="shared" si="229"/>
        <v/>
      </c>
      <c r="F4896" s="17" t="str">
        <f t="shared" si="230"/>
        <v/>
      </c>
    </row>
    <row r="4897" spans="2:6" x14ac:dyDescent="0.2">
      <c r="B4897" s="12"/>
      <c r="C4897" s="12"/>
      <c r="D4897" s="17" t="str">
        <f t="shared" si="231"/>
        <v/>
      </c>
      <c r="E4897" s="18" t="str">
        <f t="shared" si="229"/>
        <v/>
      </c>
      <c r="F4897" s="17" t="str">
        <f t="shared" si="230"/>
        <v/>
      </c>
    </row>
    <row r="4898" spans="2:6" x14ac:dyDescent="0.2">
      <c r="B4898" s="12"/>
      <c r="C4898" s="12"/>
      <c r="D4898" s="17" t="str">
        <f t="shared" si="231"/>
        <v/>
      </c>
      <c r="E4898" s="18" t="str">
        <f t="shared" si="229"/>
        <v/>
      </c>
      <c r="F4898" s="17" t="str">
        <f t="shared" si="230"/>
        <v/>
      </c>
    </row>
    <row r="4899" spans="2:6" x14ac:dyDescent="0.2">
      <c r="B4899" s="12"/>
      <c r="C4899" s="12"/>
      <c r="D4899" s="17" t="str">
        <f t="shared" si="231"/>
        <v/>
      </c>
      <c r="E4899" s="18" t="str">
        <f t="shared" si="229"/>
        <v/>
      </c>
      <c r="F4899" s="17" t="str">
        <f t="shared" si="230"/>
        <v/>
      </c>
    </row>
    <row r="4900" spans="2:6" x14ac:dyDescent="0.2">
      <c r="B4900" s="12"/>
      <c r="C4900" s="12"/>
      <c r="D4900" s="17" t="str">
        <f t="shared" si="231"/>
        <v/>
      </c>
      <c r="E4900" s="18" t="str">
        <f t="shared" si="229"/>
        <v/>
      </c>
      <c r="F4900" s="17" t="str">
        <f t="shared" si="230"/>
        <v/>
      </c>
    </row>
    <row r="4901" spans="2:6" x14ac:dyDescent="0.2">
      <c r="B4901" s="12"/>
      <c r="C4901" s="12"/>
      <c r="D4901" s="17" t="str">
        <f t="shared" si="231"/>
        <v/>
      </c>
      <c r="E4901" s="18" t="str">
        <f t="shared" si="229"/>
        <v/>
      </c>
      <c r="F4901" s="17" t="str">
        <f t="shared" si="230"/>
        <v/>
      </c>
    </row>
    <row r="4902" spans="2:6" x14ac:dyDescent="0.2">
      <c r="B4902" s="12"/>
      <c r="C4902" s="12"/>
      <c r="D4902" s="17" t="str">
        <f t="shared" si="231"/>
        <v/>
      </c>
      <c r="E4902" s="18" t="str">
        <f t="shared" si="229"/>
        <v/>
      </c>
      <c r="F4902" s="17" t="str">
        <f t="shared" si="230"/>
        <v/>
      </c>
    </row>
    <row r="4903" spans="2:6" x14ac:dyDescent="0.2">
      <c r="B4903" s="12"/>
      <c r="C4903" s="12"/>
      <c r="D4903" s="17" t="str">
        <f t="shared" si="231"/>
        <v/>
      </c>
      <c r="E4903" s="18" t="str">
        <f t="shared" si="229"/>
        <v/>
      </c>
      <c r="F4903" s="17" t="str">
        <f t="shared" si="230"/>
        <v/>
      </c>
    </row>
    <row r="4904" spans="2:6" x14ac:dyDescent="0.2">
      <c r="B4904" s="12"/>
      <c r="C4904" s="12"/>
      <c r="D4904" s="17" t="str">
        <f t="shared" si="231"/>
        <v/>
      </c>
      <c r="E4904" s="18" t="str">
        <f t="shared" si="229"/>
        <v/>
      </c>
      <c r="F4904" s="17" t="str">
        <f t="shared" si="230"/>
        <v/>
      </c>
    </row>
    <row r="4905" spans="2:6" x14ac:dyDescent="0.2">
      <c r="B4905" s="12"/>
      <c r="C4905" s="12"/>
      <c r="D4905" s="17" t="str">
        <f t="shared" si="231"/>
        <v/>
      </c>
      <c r="E4905" s="18" t="str">
        <f t="shared" si="229"/>
        <v/>
      </c>
      <c r="F4905" s="17" t="str">
        <f t="shared" si="230"/>
        <v/>
      </c>
    </row>
    <row r="4906" spans="2:6" x14ac:dyDescent="0.2">
      <c r="B4906" s="12"/>
      <c r="C4906" s="12"/>
      <c r="D4906" s="17" t="str">
        <f t="shared" si="231"/>
        <v/>
      </c>
      <c r="E4906" s="18" t="str">
        <f t="shared" si="229"/>
        <v/>
      </c>
      <c r="F4906" s="17" t="str">
        <f t="shared" si="230"/>
        <v/>
      </c>
    </row>
    <row r="4907" spans="2:6" x14ac:dyDescent="0.2">
      <c r="B4907" s="12"/>
      <c r="C4907" s="12"/>
      <c r="D4907" s="17" t="str">
        <f t="shared" si="231"/>
        <v/>
      </c>
      <c r="E4907" s="18" t="str">
        <f t="shared" si="229"/>
        <v/>
      </c>
      <c r="F4907" s="17" t="str">
        <f t="shared" si="230"/>
        <v/>
      </c>
    </row>
    <row r="4908" spans="2:6" x14ac:dyDescent="0.2">
      <c r="B4908" s="12"/>
      <c r="C4908" s="12"/>
      <c r="D4908" s="17" t="str">
        <f t="shared" si="231"/>
        <v/>
      </c>
      <c r="E4908" s="18" t="str">
        <f t="shared" si="229"/>
        <v/>
      </c>
      <c r="F4908" s="17" t="str">
        <f t="shared" si="230"/>
        <v/>
      </c>
    </row>
    <row r="4909" spans="2:6" x14ac:dyDescent="0.2">
      <c r="B4909" s="12"/>
      <c r="C4909" s="12"/>
      <c r="D4909" s="17" t="str">
        <f t="shared" si="231"/>
        <v/>
      </c>
      <c r="E4909" s="18" t="str">
        <f t="shared" si="229"/>
        <v/>
      </c>
      <c r="F4909" s="17" t="str">
        <f t="shared" si="230"/>
        <v/>
      </c>
    </row>
    <row r="4910" spans="2:6" x14ac:dyDescent="0.2">
      <c r="B4910" s="12"/>
      <c r="C4910" s="12"/>
      <c r="D4910" s="17" t="str">
        <f t="shared" si="231"/>
        <v/>
      </c>
      <c r="E4910" s="18" t="str">
        <f t="shared" si="229"/>
        <v/>
      </c>
      <c r="F4910" s="17" t="str">
        <f t="shared" si="230"/>
        <v/>
      </c>
    </row>
    <row r="4911" spans="2:6" x14ac:dyDescent="0.2">
      <c r="B4911" s="12"/>
      <c r="C4911" s="12"/>
      <c r="D4911" s="17" t="str">
        <f t="shared" si="231"/>
        <v/>
      </c>
      <c r="E4911" s="18" t="str">
        <f t="shared" si="229"/>
        <v/>
      </c>
      <c r="F4911" s="17" t="str">
        <f t="shared" si="230"/>
        <v/>
      </c>
    </row>
    <row r="4912" spans="2:6" x14ac:dyDescent="0.2">
      <c r="B4912" s="12"/>
      <c r="C4912" s="12"/>
      <c r="D4912" s="17" t="str">
        <f t="shared" si="231"/>
        <v/>
      </c>
      <c r="E4912" s="18" t="str">
        <f t="shared" si="229"/>
        <v/>
      </c>
      <c r="F4912" s="17" t="str">
        <f t="shared" si="230"/>
        <v/>
      </c>
    </row>
    <row r="4913" spans="2:6" x14ac:dyDescent="0.2">
      <c r="B4913" s="12"/>
      <c r="C4913" s="12"/>
      <c r="D4913" s="17" t="str">
        <f t="shared" si="231"/>
        <v/>
      </c>
      <c r="E4913" s="18" t="str">
        <f t="shared" si="229"/>
        <v/>
      </c>
      <c r="F4913" s="17" t="str">
        <f t="shared" si="230"/>
        <v/>
      </c>
    </row>
    <row r="4914" spans="2:6" x14ac:dyDescent="0.2">
      <c r="B4914" s="12"/>
      <c r="C4914" s="12"/>
      <c r="D4914" s="17" t="str">
        <f t="shared" si="231"/>
        <v/>
      </c>
      <c r="E4914" s="18" t="str">
        <f t="shared" si="229"/>
        <v/>
      </c>
      <c r="F4914" s="17" t="str">
        <f t="shared" si="230"/>
        <v/>
      </c>
    </row>
    <row r="4915" spans="2:6" x14ac:dyDescent="0.2">
      <c r="B4915" s="12"/>
      <c r="C4915" s="12"/>
      <c r="D4915" s="17" t="str">
        <f t="shared" si="231"/>
        <v/>
      </c>
      <c r="E4915" s="18" t="str">
        <f t="shared" si="229"/>
        <v/>
      </c>
      <c r="F4915" s="17" t="str">
        <f t="shared" si="230"/>
        <v/>
      </c>
    </row>
    <row r="4916" spans="2:6" x14ac:dyDescent="0.2">
      <c r="B4916" s="12"/>
      <c r="C4916" s="12"/>
      <c r="D4916" s="17" t="str">
        <f t="shared" si="231"/>
        <v/>
      </c>
      <c r="E4916" s="18" t="str">
        <f t="shared" si="229"/>
        <v/>
      </c>
      <c r="F4916" s="17" t="str">
        <f t="shared" si="230"/>
        <v/>
      </c>
    </row>
    <row r="4917" spans="2:6" x14ac:dyDescent="0.2">
      <c r="B4917" s="12"/>
      <c r="C4917" s="12"/>
      <c r="D4917" s="17" t="str">
        <f t="shared" si="231"/>
        <v/>
      </c>
      <c r="E4917" s="18" t="str">
        <f t="shared" si="229"/>
        <v/>
      </c>
      <c r="F4917" s="17" t="str">
        <f t="shared" si="230"/>
        <v/>
      </c>
    </row>
    <row r="4918" spans="2:6" x14ac:dyDescent="0.2">
      <c r="B4918" s="12"/>
      <c r="C4918" s="12"/>
      <c r="D4918" s="17" t="str">
        <f t="shared" si="231"/>
        <v/>
      </c>
      <c r="E4918" s="18" t="str">
        <f t="shared" si="229"/>
        <v/>
      </c>
      <c r="F4918" s="17" t="str">
        <f t="shared" si="230"/>
        <v/>
      </c>
    </row>
    <row r="4919" spans="2:6" x14ac:dyDescent="0.2">
      <c r="B4919" s="12"/>
      <c r="C4919" s="12"/>
      <c r="D4919" s="17" t="str">
        <f t="shared" si="231"/>
        <v/>
      </c>
      <c r="E4919" s="18" t="str">
        <f t="shared" si="229"/>
        <v/>
      </c>
      <c r="F4919" s="17" t="str">
        <f t="shared" si="230"/>
        <v/>
      </c>
    </row>
    <row r="4920" spans="2:6" x14ac:dyDescent="0.2">
      <c r="B4920" s="12"/>
      <c r="C4920" s="12"/>
      <c r="D4920" s="17" t="str">
        <f t="shared" si="231"/>
        <v/>
      </c>
      <c r="E4920" s="18" t="str">
        <f t="shared" si="229"/>
        <v/>
      </c>
      <c r="F4920" s="17" t="str">
        <f t="shared" si="230"/>
        <v/>
      </c>
    </row>
    <row r="4921" spans="2:6" x14ac:dyDescent="0.2">
      <c r="B4921" s="12"/>
      <c r="C4921" s="12"/>
      <c r="D4921" s="17" t="str">
        <f t="shared" si="231"/>
        <v/>
      </c>
      <c r="E4921" s="18" t="str">
        <f t="shared" si="229"/>
        <v/>
      </c>
      <c r="F4921" s="17" t="str">
        <f t="shared" si="230"/>
        <v/>
      </c>
    </row>
    <row r="4922" spans="2:6" x14ac:dyDescent="0.2">
      <c r="B4922" s="12"/>
      <c r="C4922" s="12"/>
      <c r="D4922" s="17" t="str">
        <f t="shared" si="231"/>
        <v/>
      </c>
      <c r="E4922" s="18" t="str">
        <f t="shared" si="229"/>
        <v/>
      </c>
      <c r="F4922" s="17" t="str">
        <f t="shared" si="230"/>
        <v/>
      </c>
    </row>
    <row r="4923" spans="2:6" x14ac:dyDescent="0.2">
      <c r="B4923" s="12"/>
      <c r="C4923" s="12"/>
      <c r="D4923" s="17" t="str">
        <f t="shared" si="231"/>
        <v/>
      </c>
      <c r="E4923" s="18" t="str">
        <f t="shared" si="229"/>
        <v/>
      </c>
      <c r="F4923" s="17" t="str">
        <f t="shared" si="230"/>
        <v/>
      </c>
    </row>
    <row r="4924" spans="2:6" x14ac:dyDescent="0.2">
      <c r="B4924" s="12"/>
      <c r="C4924" s="12"/>
      <c r="D4924" s="17" t="str">
        <f t="shared" si="231"/>
        <v/>
      </c>
      <c r="E4924" s="18" t="str">
        <f t="shared" si="229"/>
        <v/>
      </c>
      <c r="F4924" s="17" t="str">
        <f t="shared" si="230"/>
        <v/>
      </c>
    </row>
    <row r="4925" spans="2:6" x14ac:dyDescent="0.2">
      <c r="B4925" s="12"/>
      <c r="C4925" s="12"/>
      <c r="D4925" s="17" t="str">
        <f t="shared" si="231"/>
        <v/>
      </c>
      <c r="E4925" s="18" t="str">
        <f t="shared" si="229"/>
        <v/>
      </c>
      <c r="F4925" s="17" t="str">
        <f t="shared" si="230"/>
        <v/>
      </c>
    </row>
    <row r="4926" spans="2:6" x14ac:dyDescent="0.2">
      <c r="B4926" s="12"/>
      <c r="C4926" s="12"/>
      <c r="D4926" s="17" t="str">
        <f t="shared" si="231"/>
        <v/>
      </c>
      <c r="E4926" s="18" t="str">
        <f t="shared" si="229"/>
        <v/>
      </c>
      <c r="F4926" s="17" t="str">
        <f t="shared" si="230"/>
        <v/>
      </c>
    </row>
    <row r="4927" spans="2:6" x14ac:dyDescent="0.2">
      <c r="B4927" s="12"/>
      <c r="C4927" s="12"/>
      <c r="D4927" s="17" t="str">
        <f t="shared" si="231"/>
        <v/>
      </c>
      <c r="E4927" s="18" t="str">
        <f t="shared" si="229"/>
        <v/>
      </c>
      <c r="F4927" s="17" t="str">
        <f t="shared" si="230"/>
        <v/>
      </c>
    </row>
    <row r="4928" spans="2:6" x14ac:dyDescent="0.2">
      <c r="B4928" s="12"/>
      <c r="C4928" s="12"/>
      <c r="D4928" s="17" t="str">
        <f t="shared" si="231"/>
        <v/>
      </c>
      <c r="E4928" s="18" t="str">
        <f t="shared" si="229"/>
        <v/>
      </c>
      <c r="F4928" s="17" t="str">
        <f t="shared" si="230"/>
        <v/>
      </c>
    </row>
    <row r="4929" spans="2:6" x14ac:dyDescent="0.2">
      <c r="B4929" s="12"/>
      <c r="C4929" s="12"/>
      <c r="D4929" s="17" t="str">
        <f t="shared" si="231"/>
        <v/>
      </c>
      <c r="E4929" s="18" t="str">
        <f t="shared" si="229"/>
        <v/>
      </c>
      <c r="F4929" s="17" t="str">
        <f t="shared" si="230"/>
        <v/>
      </c>
    </row>
    <row r="4930" spans="2:6" x14ac:dyDescent="0.2">
      <c r="B4930" s="12"/>
      <c r="C4930" s="12"/>
      <c r="D4930" s="17" t="str">
        <f t="shared" si="231"/>
        <v/>
      </c>
      <c r="E4930" s="18" t="str">
        <f t="shared" si="229"/>
        <v/>
      </c>
      <c r="F4930" s="17" t="str">
        <f t="shared" si="230"/>
        <v/>
      </c>
    </row>
    <row r="4931" spans="2:6" x14ac:dyDescent="0.2">
      <c r="B4931" s="12"/>
      <c r="C4931" s="12"/>
      <c r="D4931" s="17" t="str">
        <f t="shared" si="231"/>
        <v/>
      </c>
      <c r="E4931" s="18" t="str">
        <f t="shared" si="229"/>
        <v/>
      </c>
      <c r="F4931" s="17" t="str">
        <f t="shared" si="230"/>
        <v/>
      </c>
    </row>
    <row r="4932" spans="2:6" x14ac:dyDescent="0.2">
      <c r="B4932" s="12"/>
      <c r="C4932" s="12"/>
      <c r="D4932" s="17" t="str">
        <f t="shared" si="231"/>
        <v/>
      </c>
      <c r="E4932" s="18" t="str">
        <f t="shared" si="229"/>
        <v/>
      </c>
      <c r="F4932" s="17" t="str">
        <f t="shared" si="230"/>
        <v/>
      </c>
    </row>
    <row r="4933" spans="2:6" x14ac:dyDescent="0.2">
      <c r="B4933" s="12"/>
      <c r="C4933" s="12"/>
      <c r="D4933" s="17" t="str">
        <f t="shared" si="231"/>
        <v/>
      </c>
      <c r="E4933" s="18" t="str">
        <f t="shared" ref="E4933:E4996" si="232">IF(B4933="","",ABS(C4933-D4933))</f>
        <v/>
      </c>
      <c r="F4933" s="17" t="str">
        <f t="shared" ref="F4933:F4996" si="233">IF(B4933="","",E4933^2)</f>
        <v/>
      </c>
    </row>
    <row r="4934" spans="2:6" x14ac:dyDescent="0.2">
      <c r="B4934" s="12"/>
      <c r="C4934" s="12"/>
      <c r="D4934" s="17" t="str">
        <f t="shared" si="231"/>
        <v/>
      </c>
      <c r="E4934" s="18" t="str">
        <f t="shared" si="232"/>
        <v/>
      </c>
      <c r="F4934" s="17" t="str">
        <f t="shared" si="233"/>
        <v/>
      </c>
    </row>
    <row r="4935" spans="2:6" x14ac:dyDescent="0.2">
      <c r="B4935" s="12"/>
      <c r="C4935" s="12"/>
      <c r="D4935" s="17" t="str">
        <f t="shared" si="231"/>
        <v/>
      </c>
      <c r="E4935" s="18" t="str">
        <f t="shared" si="232"/>
        <v/>
      </c>
      <c r="F4935" s="17" t="str">
        <f t="shared" si="233"/>
        <v/>
      </c>
    </row>
    <row r="4936" spans="2:6" x14ac:dyDescent="0.2">
      <c r="B4936" s="12"/>
      <c r="C4936" s="12"/>
      <c r="D4936" s="17" t="str">
        <f t="shared" si="231"/>
        <v/>
      </c>
      <c r="E4936" s="18" t="str">
        <f t="shared" si="232"/>
        <v/>
      </c>
      <c r="F4936" s="17" t="str">
        <f t="shared" si="233"/>
        <v/>
      </c>
    </row>
    <row r="4937" spans="2:6" x14ac:dyDescent="0.2">
      <c r="B4937" s="12"/>
      <c r="C4937" s="12"/>
      <c r="D4937" s="17" t="str">
        <f t="shared" si="231"/>
        <v/>
      </c>
      <c r="E4937" s="18" t="str">
        <f t="shared" si="232"/>
        <v/>
      </c>
      <c r="F4937" s="17" t="str">
        <f t="shared" si="233"/>
        <v/>
      </c>
    </row>
    <row r="4938" spans="2:6" x14ac:dyDescent="0.2">
      <c r="B4938" s="12"/>
      <c r="C4938" s="12"/>
      <c r="D4938" s="17" t="str">
        <f t="shared" si="231"/>
        <v/>
      </c>
      <c r="E4938" s="18" t="str">
        <f t="shared" si="232"/>
        <v/>
      </c>
      <c r="F4938" s="17" t="str">
        <f t="shared" si="233"/>
        <v/>
      </c>
    </row>
    <row r="4939" spans="2:6" x14ac:dyDescent="0.2">
      <c r="B4939" s="12"/>
      <c r="C4939" s="12"/>
      <c r="D4939" s="17" t="str">
        <f t="shared" si="231"/>
        <v/>
      </c>
      <c r="E4939" s="18" t="str">
        <f t="shared" si="232"/>
        <v/>
      </c>
      <c r="F4939" s="17" t="str">
        <f t="shared" si="233"/>
        <v/>
      </c>
    </row>
    <row r="4940" spans="2:6" x14ac:dyDescent="0.2">
      <c r="B4940" s="12"/>
      <c r="C4940" s="12"/>
      <c r="D4940" s="17" t="str">
        <f t="shared" si="231"/>
        <v/>
      </c>
      <c r="E4940" s="18" t="str">
        <f t="shared" si="232"/>
        <v/>
      </c>
      <c r="F4940" s="17" t="str">
        <f t="shared" si="233"/>
        <v/>
      </c>
    </row>
    <row r="4941" spans="2:6" x14ac:dyDescent="0.2">
      <c r="B4941" s="12"/>
      <c r="C4941" s="12"/>
      <c r="D4941" s="17" t="str">
        <f t="shared" si="231"/>
        <v/>
      </c>
      <c r="E4941" s="18" t="str">
        <f t="shared" si="232"/>
        <v/>
      </c>
      <c r="F4941" s="17" t="str">
        <f t="shared" si="233"/>
        <v/>
      </c>
    </row>
    <row r="4942" spans="2:6" x14ac:dyDescent="0.2">
      <c r="B4942" s="12"/>
      <c r="C4942" s="12"/>
      <c r="D4942" s="17" t="str">
        <f t="shared" si="231"/>
        <v/>
      </c>
      <c r="E4942" s="18" t="str">
        <f t="shared" si="232"/>
        <v/>
      </c>
      <c r="F4942" s="17" t="str">
        <f t="shared" si="233"/>
        <v/>
      </c>
    </row>
    <row r="4943" spans="2:6" x14ac:dyDescent="0.2">
      <c r="B4943" s="12"/>
      <c r="C4943" s="12"/>
      <c r="D4943" s="17" t="str">
        <f t="shared" si="231"/>
        <v/>
      </c>
      <c r="E4943" s="18" t="str">
        <f t="shared" si="232"/>
        <v/>
      </c>
      <c r="F4943" s="17" t="str">
        <f t="shared" si="233"/>
        <v/>
      </c>
    </row>
    <row r="4944" spans="2:6" x14ac:dyDescent="0.2">
      <c r="B4944" s="12"/>
      <c r="C4944" s="12"/>
      <c r="D4944" s="17" t="str">
        <f t="shared" si="231"/>
        <v/>
      </c>
      <c r="E4944" s="18" t="str">
        <f t="shared" si="232"/>
        <v/>
      </c>
      <c r="F4944" s="17" t="str">
        <f t="shared" si="233"/>
        <v/>
      </c>
    </row>
    <row r="4945" spans="2:6" x14ac:dyDescent="0.2">
      <c r="B4945" s="12"/>
      <c r="C4945" s="12"/>
      <c r="D4945" s="17" t="str">
        <f t="shared" si="231"/>
        <v/>
      </c>
      <c r="E4945" s="18" t="str">
        <f t="shared" si="232"/>
        <v/>
      </c>
      <c r="F4945" s="17" t="str">
        <f t="shared" si="233"/>
        <v/>
      </c>
    </row>
    <row r="4946" spans="2:6" x14ac:dyDescent="0.2">
      <c r="B4946" s="12"/>
      <c r="C4946" s="12"/>
      <c r="D4946" s="17" t="str">
        <f t="shared" ref="D4946:D5009" si="234">IF(B4946="","",a+b*B4946)</f>
        <v/>
      </c>
      <c r="E4946" s="18" t="str">
        <f t="shared" si="232"/>
        <v/>
      </c>
      <c r="F4946" s="17" t="str">
        <f t="shared" si="233"/>
        <v/>
      </c>
    </row>
    <row r="4947" spans="2:6" x14ac:dyDescent="0.2">
      <c r="B4947" s="12"/>
      <c r="C4947" s="12"/>
      <c r="D4947" s="17" t="str">
        <f t="shared" si="234"/>
        <v/>
      </c>
      <c r="E4947" s="18" t="str">
        <f t="shared" si="232"/>
        <v/>
      </c>
      <c r="F4947" s="17" t="str">
        <f t="shared" si="233"/>
        <v/>
      </c>
    </row>
    <row r="4948" spans="2:6" x14ac:dyDescent="0.2">
      <c r="B4948" s="12"/>
      <c r="C4948" s="12"/>
      <c r="D4948" s="17" t="str">
        <f t="shared" si="234"/>
        <v/>
      </c>
      <c r="E4948" s="18" t="str">
        <f t="shared" si="232"/>
        <v/>
      </c>
      <c r="F4948" s="17" t="str">
        <f t="shared" si="233"/>
        <v/>
      </c>
    </row>
    <row r="4949" spans="2:6" x14ac:dyDescent="0.2">
      <c r="B4949" s="12"/>
      <c r="C4949" s="12"/>
      <c r="D4949" s="17" t="str">
        <f t="shared" si="234"/>
        <v/>
      </c>
      <c r="E4949" s="18" t="str">
        <f t="shared" si="232"/>
        <v/>
      </c>
      <c r="F4949" s="17" t="str">
        <f t="shared" si="233"/>
        <v/>
      </c>
    </row>
    <row r="4950" spans="2:6" x14ac:dyDescent="0.2">
      <c r="B4950" s="12"/>
      <c r="C4950" s="12"/>
      <c r="D4950" s="17" t="str">
        <f t="shared" si="234"/>
        <v/>
      </c>
      <c r="E4950" s="18" t="str">
        <f t="shared" si="232"/>
        <v/>
      </c>
      <c r="F4950" s="17" t="str">
        <f t="shared" si="233"/>
        <v/>
      </c>
    </row>
    <row r="4951" spans="2:6" x14ac:dyDescent="0.2">
      <c r="B4951" s="12"/>
      <c r="C4951" s="12"/>
      <c r="D4951" s="17" t="str">
        <f t="shared" si="234"/>
        <v/>
      </c>
      <c r="E4951" s="18" t="str">
        <f t="shared" si="232"/>
        <v/>
      </c>
      <c r="F4951" s="17" t="str">
        <f t="shared" si="233"/>
        <v/>
      </c>
    </row>
    <row r="4952" spans="2:6" x14ac:dyDescent="0.2">
      <c r="B4952" s="12"/>
      <c r="C4952" s="12"/>
      <c r="D4952" s="17" t="str">
        <f t="shared" si="234"/>
        <v/>
      </c>
      <c r="E4952" s="18" t="str">
        <f t="shared" si="232"/>
        <v/>
      </c>
      <c r="F4952" s="17" t="str">
        <f t="shared" si="233"/>
        <v/>
      </c>
    </row>
    <row r="4953" spans="2:6" x14ac:dyDescent="0.2">
      <c r="B4953" s="12"/>
      <c r="C4953" s="12"/>
      <c r="D4953" s="17" t="str">
        <f t="shared" si="234"/>
        <v/>
      </c>
      <c r="E4953" s="18" t="str">
        <f t="shared" si="232"/>
        <v/>
      </c>
      <c r="F4953" s="17" t="str">
        <f t="shared" si="233"/>
        <v/>
      </c>
    </row>
    <row r="4954" spans="2:6" x14ac:dyDescent="0.2">
      <c r="B4954" s="12"/>
      <c r="C4954" s="12"/>
      <c r="D4954" s="17" t="str">
        <f t="shared" si="234"/>
        <v/>
      </c>
      <c r="E4954" s="18" t="str">
        <f t="shared" si="232"/>
        <v/>
      </c>
      <c r="F4954" s="17" t="str">
        <f t="shared" si="233"/>
        <v/>
      </c>
    </row>
    <row r="4955" spans="2:6" x14ac:dyDescent="0.2">
      <c r="B4955" s="12"/>
      <c r="C4955" s="12"/>
      <c r="D4955" s="17" t="str">
        <f t="shared" si="234"/>
        <v/>
      </c>
      <c r="E4955" s="18" t="str">
        <f t="shared" si="232"/>
        <v/>
      </c>
      <c r="F4955" s="17" t="str">
        <f t="shared" si="233"/>
        <v/>
      </c>
    </row>
    <row r="4956" spans="2:6" x14ac:dyDescent="0.2">
      <c r="B4956" s="12"/>
      <c r="C4956" s="12"/>
      <c r="D4956" s="17" t="str">
        <f t="shared" si="234"/>
        <v/>
      </c>
      <c r="E4956" s="18" t="str">
        <f t="shared" si="232"/>
        <v/>
      </c>
      <c r="F4956" s="17" t="str">
        <f t="shared" si="233"/>
        <v/>
      </c>
    </row>
    <row r="4957" spans="2:6" x14ac:dyDescent="0.2">
      <c r="B4957" s="12"/>
      <c r="C4957" s="12"/>
      <c r="D4957" s="17" t="str">
        <f t="shared" si="234"/>
        <v/>
      </c>
      <c r="E4957" s="18" t="str">
        <f t="shared" si="232"/>
        <v/>
      </c>
      <c r="F4957" s="17" t="str">
        <f t="shared" si="233"/>
        <v/>
      </c>
    </row>
    <row r="4958" spans="2:6" x14ac:dyDescent="0.2">
      <c r="B4958" s="12"/>
      <c r="C4958" s="12"/>
      <c r="D4958" s="17" t="str">
        <f t="shared" si="234"/>
        <v/>
      </c>
      <c r="E4958" s="18" t="str">
        <f t="shared" si="232"/>
        <v/>
      </c>
      <c r="F4958" s="17" t="str">
        <f t="shared" si="233"/>
        <v/>
      </c>
    </row>
    <row r="4959" spans="2:6" x14ac:dyDescent="0.2">
      <c r="B4959" s="12"/>
      <c r="C4959" s="12"/>
      <c r="D4959" s="17" t="str">
        <f t="shared" si="234"/>
        <v/>
      </c>
      <c r="E4959" s="18" t="str">
        <f t="shared" si="232"/>
        <v/>
      </c>
      <c r="F4959" s="17" t="str">
        <f t="shared" si="233"/>
        <v/>
      </c>
    </row>
    <row r="4960" spans="2:6" x14ac:dyDescent="0.2">
      <c r="B4960" s="12"/>
      <c r="C4960" s="12"/>
      <c r="D4960" s="17" t="str">
        <f t="shared" si="234"/>
        <v/>
      </c>
      <c r="E4960" s="18" t="str">
        <f t="shared" si="232"/>
        <v/>
      </c>
      <c r="F4960" s="17" t="str">
        <f t="shared" si="233"/>
        <v/>
      </c>
    </row>
    <row r="4961" spans="2:6" x14ac:dyDescent="0.2">
      <c r="B4961" s="12"/>
      <c r="C4961" s="12"/>
      <c r="D4961" s="17" t="str">
        <f t="shared" si="234"/>
        <v/>
      </c>
      <c r="E4961" s="18" t="str">
        <f t="shared" si="232"/>
        <v/>
      </c>
      <c r="F4961" s="17" t="str">
        <f t="shared" si="233"/>
        <v/>
      </c>
    </row>
    <row r="4962" spans="2:6" x14ac:dyDescent="0.2">
      <c r="B4962" s="12"/>
      <c r="C4962" s="12"/>
      <c r="D4962" s="17" t="str">
        <f t="shared" si="234"/>
        <v/>
      </c>
      <c r="E4962" s="18" t="str">
        <f t="shared" si="232"/>
        <v/>
      </c>
      <c r="F4962" s="17" t="str">
        <f t="shared" si="233"/>
        <v/>
      </c>
    </row>
    <row r="4963" spans="2:6" x14ac:dyDescent="0.2">
      <c r="B4963" s="12"/>
      <c r="C4963" s="12"/>
      <c r="D4963" s="17" t="str">
        <f t="shared" si="234"/>
        <v/>
      </c>
      <c r="E4963" s="18" t="str">
        <f t="shared" si="232"/>
        <v/>
      </c>
      <c r="F4963" s="17" t="str">
        <f t="shared" si="233"/>
        <v/>
      </c>
    </row>
    <row r="4964" spans="2:6" x14ac:dyDescent="0.2">
      <c r="B4964" s="12"/>
      <c r="C4964" s="12"/>
      <c r="D4964" s="17" t="str">
        <f t="shared" si="234"/>
        <v/>
      </c>
      <c r="E4964" s="18" t="str">
        <f t="shared" si="232"/>
        <v/>
      </c>
      <c r="F4964" s="17" t="str">
        <f t="shared" si="233"/>
        <v/>
      </c>
    </row>
    <row r="4965" spans="2:6" x14ac:dyDescent="0.2">
      <c r="B4965" s="12"/>
      <c r="C4965" s="12"/>
      <c r="D4965" s="17" t="str">
        <f t="shared" si="234"/>
        <v/>
      </c>
      <c r="E4965" s="18" t="str">
        <f t="shared" si="232"/>
        <v/>
      </c>
      <c r="F4965" s="17" t="str">
        <f t="shared" si="233"/>
        <v/>
      </c>
    </row>
    <row r="4966" spans="2:6" x14ac:dyDescent="0.2">
      <c r="B4966" s="12"/>
      <c r="C4966" s="12"/>
      <c r="D4966" s="17" t="str">
        <f t="shared" si="234"/>
        <v/>
      </c>
      <c r="E4966" s="18" t="str">
        <f t="shared" si="232"/>
        <v/>
      </c>
      <c r="F4966" s="17" t="str">
        <f t="shared" si="233"/>
        <v/>
      </c>
    </row>
    <row r="4967" spans="2:6" x14ac:dyDescent="0.2">
      <c r="B4967" s="12"/>
      <c r="C4967" s="12"/>
      <c r="D4967" s="17" t="str">
        <f t="shared" si="234"/>
        <v/>
      </c>
      <c r="E4967" s="18" t="str">
        <f t="shared" si="232"/>
        <v/>
      </c>
      <c r="F4967" s="17" t="str">
        <f t="shared" si="233"/>
        <v/>
      </c>
    </row>
    <row r="4968" spans="2:6" x14ac:dyDescent="0.2">
      <c r="B4968" s="12"/>
      <c r="C4968" s="12"/>
      <c r="D4968" s="17" t="str">
        <f t="shared" si="234"/>
        <v/>
      </c>
      <c r="E4968" s="18" t="str">
        <f t="shared" si="232"/>
        <v/>
      </c>
      <c r="F4968" s="17" t="str">
        <f t="shared" si="233"/>
        <v/>
      </c>
    </row>
    <row r="4969" spans="2:6" x14ac:dyDescent="0.2">
      <c r="B4969" s="12"/>
      <c r="C4969" s="12"/>
      <c r="D4969" s="17" t="str">
        <f t="shared" si="234"/>
        <v/>
      </c>
      <c r="E4969" s="18" t="str">
        <f t="shared" si="232"/>
        <v/>
      </c>
      <c r="F4969" s="17" t="str">
        <f t="shared" si="233"/>
        <v/>
      </c>
    </row>
    <row r="4970" spans="2:6" x14ac:dyDescent="0.2">
      <c r="B4970" s="12"/>
      <c r="C4970" s="12"/>
      <c r="D4970" s="17" t="str">
        <f t="shared" si="234"/>
        <v/>
      </c>
      <c r="E4970" s="18" t="str">
        <f t="shared" si="232"/>
        <v/>
      </c>
      <c r="F4970" s="17" t="str">
        <f t="shared" si="233"/>
        <v/>
      </c>
    </row>
    <row r="4971" spans="2:6" x14ac:dyDescent="0.2">
      <c r="B4971" s="12"/>
      <c r="C4971" s="12"/>
      <c r="D4971" s="17" t="str">
        <f t="shared" si="234"/>
        <v/>
      </c>
      <c r="E4971" s="18" t="str">
        <f t="shared" si="232"/>
        <v/>
      </c>
      <c r="F4971" s="17" t="str">
        <f t="shared" si="233"/>
        <v/>
      </c>
    </row>
    <row r="4972" spans="2:6" x14ac:dyDescent="0.2">
      <c r="B4972" s="12"/>
      <c r="C4972" s="12"/>
      <c r="D4972" s="17" t="str">
        <f t="shared" si="234"/>
        <v/>
      </c>
      <c r="E4972" s="18" t="str">
        <f t="shared" si="232"/>
        <v/>
      </c>
      <c r="F4972" s="17" t="str">
        <f t="shared" si="233"/>
        <v/>
      </c>
    </row>
    <row r="4973" spans="2:6" x14ac:dyDescent="0.2">
      <c r="B4973" s="12"/>
      <c r="C4973" s="12"/>
      <c r="D4973" s="17" t="str">
        <f t="shared" si="234"/>
        <v/>
      </c>
      <c r="E4973" s="18" t="str">
        <f t="shared" si="232"/>
        <v/>
      </c>
      <c r="F4973" s="17" t="str">
        <f t="shared" si="233"/>
        <v/>
      </c>
    </row>
    <row r="4974" spans="2:6" x14ac:dyDescent="0.2">
      <c r="B4974" s="12"/>
      <c r="C4974" s="12"/>
      <c r="D4974" s="17" t="str">
        <f t="shared" si="234"/>
        <v/>
      </c>
      <c r="E4974" s="18" t="str">
        <f t="shared" si="232"/>
        <v/>
      </c>
      <c r="F4974" s="17" t="str">
        <f t="shared" si="233"/>
        <v/>
      </c>
    </row>
    <row r="4975" spans="2:6" x14ac:dyDescent="0.2">
      <c r="B4975" s="12"/>
      <c r="C4975" s="12"/>
      <c r="D4975" s="17" t="str">
        <f t="shared" si="234"/>
        <v/>
      </c>
      <c r="E4975" s="18" t="str">
        <f t="shared" si="232"/>
        <v/>
      </c>
      <c r="F4975" s="17" t="str">
        <f t="shared" si="233"/>
        <v/>
      </c>
    </row>
    <row r="4976" spans="2:6" x14ac:dyDescent="0.2">
      <c r="B4976" s="12"/>
      <c r="C4976" s="12"/>
      <c r="D4976" s="17" t="str">
        <f t="shared" si="234"/>
        <v/>
      </c>
      <c r="E4976" s="18" t="str">
        <f t="shared" si="232"/>
        <v/>
      </c>
      <c r="F4976" s="17" t="str">
        <f t="shared" si="233"/>
        <v/>
      </c>
    </row>
    <row r="4977" spans="2:6" x14ac:dyDescent="0.2">
      <c r="B4977" s="12"/>
      <c r="C4977" s="12"/>
      <c r="D4977" s="17" t="str">
        <f t="shared" si="234"/>
        <v/>
      </c>
      <c r="E4977" s="18" t="str">
        <f t="shared" si="232"/>
        <v/>
      </c>
      <c r="F4977" s="17" t="str">
        <f t="shared" si="233"/>
        <v/>
      </c>
    </row>
    <row r="4978" spans="2:6" x14ac:dyDescent="0.2">
      <c r="B4978" s="12"/>
      <c r="C4978" s="12"/>
      <c r="D4978" s="17" t="str">
        <f t="shared" si="234"/>
        <v/>
      </c>
      <c r="E4978" s="18" t="str">
        <f t="shared" si="232"/>
        <v/>
      </c>
      <c r="F4978" s="17" t="str">
        <f t="shared" si="233"/>
        <v/>
      </c>
    </row>
    <row r="4979" spans="2:6" x14ac:dyDescent="0.2">
      <c r="B4979" s="12"/>
      <c r="C4979" s="12"/>
      <c r="D4979" s="17" t="str">
        <f t="shared" si="234"/>
        <v/>
      </c>
      <c r="E4979" s="18" t="str">
        <f t="shared" si="232"/>
        <v/>
      </c>
      <c r="F4979" s="17" t="str">
        <f t="shared" si="233"/>
        <v/>
      </c>
    </row>
    <row r="4980" spans="2:6" x14ac:dyDescent="0.2">
      <c r="B4980" s="12"/>
      <c r="C4980" s="12"/>
      <c r="D4980" s="17" t="str">
        <f t="shared" si="234"/>
        <v/>
      </c>
      <c r="E4980" s="18" t="str">
        <f t="shared" si="232"/>
        <v/>
      </c>
      <c r="F4980" s="17" t="str">
        <f t="shared" si="233"/>
        <v/>
      </c>
    </row>
    <row r="4981" spans="2:6" x14ac:dyDescent="0.2">
      <c r="B4981" s="12"/>
      <c r="C4981" s="12"/>
      <c r="D4981" s="17" t="str">
        <f t="shared" si="234"/>
        <v/>
      </c>
      <c r="E4981" s="18" t="str">
        <f t="shared" si="232"/>
        <v/>
      </c>
      <c r="F4981" s="17" t="str">
        <f t="shared" si="233"/>
        <v/>
      </c>
    </row>
    <row r="4982" spans="2:6" x14ac:dyDescent="0.2">
      <c r="B4982" s="12"/>
      <c r="C4982" s="12"/>
      <c r="D4982" s="17" t="str">
        <f t="shared" si="234"/>
        <v/>
      </c>
      <c r="E4982" s="18" t="str">
        <f t="shared" si="232"/>
        <v/>
      </c>
      <c r="F4982" s="17" t="str">
        <f t="shared" si="233"/>
        <v/>
      </c>
    </row>
    <row r="4983" spans="2:6" x14ac:dyDescent="0.2">
      <c r="B4983" s="12"/>
      <c r="C4983" s="12"/>
      <c r="D4983" s="17" t="str">
        <f t="shared" si="234"/>
        <v/>
      </c>
      <c r="E4983" s="18" t="str">
        <f t="shared" si="232"/>
        <v/>
      </c>
      <c r="F4983" s="17" t="str">
        <f t="shared" si="233"/>
        <v/>
      </c>
    </row>
    <row r="4984" spans="2:6" x14ac:dyDescent="0.2">
      <c r="B4984" s="12"/>
      <c r="C4984" s="12"/>
      <c r="D4984" s="17" t="str">
        <f t="shared" si="234"/>
        <v/>
      </c>
      <c r="E4984" s="18" t="str">
        <f t="shared" si="232"/>
        <v/>
      </c>
      <c r="F4984" s="17" t="str">
        <f t="shared" si="233"/>
        <v/>
      </c>
    </row>
    <row r="4985" spans="2:6" x14ac:dyDescent="0.2">
      <c r="B4985" s="12"/>
      <c r="C4985" s="12"/>
      <c r="D4985" s="17" t="str">
        <f t="shared" si="234"/>
        <v/>
      </c>
      <c r="E4985" s="18" t="str">
        <f t="shared" si="232"/>
        <v/>
      </c>
      <c r="F4985" s="17" t="str">
        <f t="shared" si="233"/>
        <v/>
      </c>
    </row>
    <row r="4986" spans="2:6" x14ac:dyDescent="0.2">
      <c r="B4986" s="12"/>
      <c r="C4986" s="12"/>
      <c r="D4986" s="17" t="str">
        <f t="shared" si="234"/>
        <v/>
      </c>
      <c r="E4986" s="18" t="str">
        <f t="shared" si="232"/>
        <v/>
      </c>
      <c r="F4986" s="17" t="str">
        <f t="shared" si="233"/>
        <v/>
      </c>
    </row>
    <row r="4987" spans="2:6" x14ac:dyDescent="0.2">
      <c r="B4987" s="12"/>
      <c r="C4987" s="12"/>
      <c r="D4987" s="17" t="str">
        <f t="shared" si="234"/>
        <v/>
      </c>
      <c r="E4987" s="18" t="str">
        <f t="shared" si="232"/>
        <v/>
      </c>
      <c r="F4987" s="17" t="str">
        <f t="shared" si="233"/>
        <v/>
      </c>
    </row>
    <row r="4988" spans="2:6" x14ac:dyDescent="0.2">
      <c r="B4988" s="12"/>
      <c r="C4988" s="12"/>
      <c r="D4988" s="17" t="str">
        <f t="shared" si="234"/>
        <v/>
      </c>
      <c r="E4988" s="18" t="str">
        <f t="shared" si="232"/>
        <v/>
      </c>
      <c r="F4988" s="17" t="str">
        <f t="shared" si="233"/>
        <v/>
      </c>
    </row>
    <row r="4989" spans="2:6" x14ac:dyDescent="0.2">
      <c r="B4989" s="12"/>
      <c r="C4989" s="12"/>
      <c r="D4989" s="17" t="str">
        <f t="shared" si="234"/>
        <v/>
      </c>
      <c r="E4989" s="18" t="str">
        <f t="shared" si="232"/>
        <v/>
      </c>
      <c r="F4989" s="17" t="str">
        <f t="shared" si="233"/>
        <v/>
      </c>
    </row>
    <row r="4990" spans="2:6" x14ac:dyDescent="0.2">
      <c r="B4990" s="12"/>
      <c r="C4990" s="12"/>
      <c r="D4990" s="17" t="str">
        <f t="shared" si="234"/>
        <v/>
      </c>
      <c r="E4990" s="18" t="str">
        <f t="shared" si="232"/>
        <v/>
      </c>
      <c r="F4990" s="17" t="str">
        <f t="shared" si="233"/>
        <v/>
      </c>
    </row>
    <row r="4991" spans="2:6" x14ac:dyDescent="0.2">
      <c r="B4991" s="12"/>
      <c r="C4991" s="12"/>
      <c r="D4991" s="17" t="str">
        <f t="shared" si="234"/>
        <v/>
      </c>
      <c r="E4991" s="18" t="str">
        <f t="shared" si="232"/>
        <v/>
      </c>
      <c r="F4991" s="17" t="str">
        <f t="shared" si="233"/>
        <v/>
      </c>
    </row>
    <row r="4992" spans="2:6" x14ac:dyDescent="0.2">
      <c r="B4992" s="12"/>
      <c r="C4992" s="12"/>
      <c r="D4992" s="17" t="str">
        <f t="shared" si="234"/>
        <v/>
      </c>
      <c r="E4992" s="18" t="str">
        <f t="shared" si="232"/>
        <v/>
      </c>
      <c r="F4992" s="17" t="str">
        <f t="shared" si="233"/>
        <v/>
      </c>
    </row>
    <row r="4993" spans="2:6" x14ac:dyDescent="0.2">
      <c r="B4993" s="12"/>
      <c r="C4993" s="12"/>
      <c r="D4993" s="17" t="str">
        <f t="shared" si="234"/>
        <v/>
      </c>
      <c r="E4993" s="18" t="str">
        <f t="shared" si="232"/>
        <v/>
      </c>
      <c r="F4993" s="17" t="str">
        <f t="shared" si="233"/>
        <v/>
      </c>
    </row>
    <row r="4994" spans="2:6" x14ac:dyDescent="0.2">
      <c r="B4994" s="12"/>
      <c r="C4994" s="12"/>
      <c r="D4994" s="17" t="str">
        <f t="shared" si="234"/>
        <v/>
      </c>
      <c r="E4994" s="18" t="str">
        <f t="shared" si="232"/>
        <v/>
      </c>
      <c r="F4994" s="17" t="str">
        <f t="shared" si="233"/>
        <v/>
      </c>
    </row>
    <row r="4995" spans="2:6" x14ac:dyDescent="0.2">
      <c r="B4995" s="12"/>
      <c r="C4995" s="12"/>
      <c r="D4995" s="17" t="str">
        <f t="shared" si="234"/>
        <v/>
      </c>
      <c r="E4995" s="18" t="str">
        <f t="shared" si="232"/>
        <v/>
      </c>
      <c r="F4995" s="17" t="str">
        <f t="shared" si="233"/>
        <v/>
      </c>
    </row>
    <row r="4996" spans="2:6" x14ac:dyDescent="0.2">
      <c r="B4996" s="12"/>
      <c r="C4996" s="12"/>
      <c r="D4996" s="17" t="str">
        <f t="shared" si="234"/>
        <v/>
      </c>
      <c r="E4996" s="18" t="str">
        <f t="shared" si="232"/>
        <v/>
      </c>
      <c r="F4996" s="17" t="str">
        <f t="shared" si="233"/>
        <v/>
      </c>
    </row>
    <row r="4997" spans="2:6" x14ac:dyDescent="0.2">
      <c r="B4997" s="12"/>
      <c r="C4997" s="12"/>
      <c r="D4997" s="17" t="str">
        <f t="shared" si="234"/>
        <v/>
      </c>
      <c r="E4997" s="18" t="str">
        <f t="shared" ref="E4997:E5060" si="235">IF(B4997="","",ABS(C4997-D4997))</f>
        <v/>
      </c>
      <c r="F4997" s="17" t="str">
        <f t="shared" ref="F4997:F5060" si="236">IF(B4997="","",E4997^2)</f>
        <v/>
      </c>
    </row>
    <row r="4998" spans="2:6" x14ac:dyDescent="0.2">
      <c r="B4998" s="12"/>
      <c r="C4998" s="12"/>
      <c r="D4998" s="17" t="str">
        <f t="shared" si="234"/>
        <v/>
      </c>
      <c r="E4998" s="18" t="str">
        <f t="shared" si="235"/>
        <v/>
      </c>
      <c r="F4998" s="17" t="str">
        <f t="shared" si="236"/>
        <v/>
      </c>
    </row>
    <row r="4999" spans="2:6" x14ac:dyDescent="0.2">
      <c r="B4999" s="12"/>
      <c r="C4999" s="12"/>
      <c r="D4999" s="17" t="str">
        <f t="shared" si="234"/>
        <v/>
      </c>
      <c r="E4999" s="18" t="str">
        <f t="shared" si="235"/>
        <v/>
      </c>
      <c r="F4999" s="17" t="str">
        <f t="shared" si="236"/>
        <v/>
      </c>
    </row>
    <row r="5000" spans="2:6" x14ac:dyDescent="0.2">
      <c r="B5000" s="12"/>
      <c r="C5000" s="12"/>
      <c r="D5000" s="17" t="str">
        <f t="shared" si="234"/>
        <v/>
      </c>
      <c r="E5000" s="18" t="str">
        <f t="shared" si="235"/>
        <v/>
      </c>
      <c r="F5000" s="17" t="str">
        <f t="shared" si="236"/>
        <v/>
      </c>
    </row>
    <row r="5001" spans="2:6" x14ac:dyDescent="0.2">
      <c r="B5001" s="12"/>
      <c r="C5001" s="12"/>
      <c r="D5001" s="17" t="str">
        <f t="shared" si="234"/>
        <v/>
      </c>
      <c r="E5001" s="18" t="str">
        <f t="shared" si="235"/>
        <v/>
      </c>
      <c r="F5001" s="17" t="str">
        <f t="shared" si="236"/>
        <v/>
      </c>
    </row>
    <row r="5002" spans="2:6" x14ac:dyDescent="0.2">
      <c r="B5002" s="12"/>
      <c r="C5002" s="12"/>
      <c r="D5002" s="17" t="str">
        <f t="shared" si="234"/>
        <v/>
      </c>
      <c r="E5002" s="18" t="str">
        <f t="shared" si="235"/>
        <v/>
      </c>
      <c r="F5002" s="17" t="str">
        <f t="shared" si="236"/>
        <v/>
      </c>
    </row>
    <row r="5003" spans="2:6" x14ac:dyDescent="0.2">
      <c r="B5003" s="12"/>
      <c r="C5003" s="12"/>
      <c r="D5003" s="17" t="str">
        <f t="shared" si="234"/>
        <v/>
      </c>
      <c r="E5003" s="18" t="str">
        <f t="shared" si="235"/>
        <v/>
      </c>
      <c r="F5003" s="17" t="str">
        <f t="shared" si="236"/>
        <v/>
      </c>
    </row>
    <row r="5004" spans="2:6" x14ac:dyDescent="0.2">
      <c r="B5004" s="12"/>
      <c r="C5004" s="12"/>
      <c r="D5004" s="17" t="str">
        <f t="shared" si="234"/>
        <v/>
      </c>
      <c r="E5004" s="18" t="str">
        <f t="shared" si="235"/>
        <v/>
      </c>
      <c r="F5004" s="17" t="str">
        <f t="shared" si="236"/>
        <v/>
      </c>
    </row>
    <row r="5005" spans="2:6" x14ac:dyDescent="0.2">
      <c r="B5005" s="12"/>
      <c r="C5005" s="12"/>
      <c r="D5005" s="17" t="str">
        <f t="shared" si="234"/>
        <v/>
      </c>
      <c r="E5005" s="18" t="str">
        <f t="shared" si="235"/>
        <v/>
      </c>
      <c r="F5005" s="17" t="str">
        <f t="shared" si="236"/>
        <v/>
      </c>
    </row>
    <row r="5006" spans="2:6" x14ac:dyDescent="0.2">
      <c r="B5006" s="12"/>
      <c r="C5006" s="12"/>
      <c r="D5006" s="17" t="str">
        <f t="shared" si="234"/>
        <v/>
      </c>
      <c r="E5006" s="18" t="str">
        <f t="shared" si="235"/>
        <v/>
      </c>
      <c r="F5006" s="17" t="str">
        <f t="shared" si="236"/>
        <v/>
      </c>
    </row>
    <row r="5007" spans="2:6" x14ac:dyDescent="0.2">
      <c r="B5007" s="12"/>
      <c r="C5007" s="12"/>
      <c r="D5007" s="17" t="str">
        <f t="shared" si="234"/>
        <v/>
      </c>
      <c r="E5007" s="18" t="str">
        <f t="shared" si="235"/>
        <v/>
      </c>
      <c r="F5007" s="17" t="str">
        <f t="shared" si="236"/>
        <v/>
      </c>
    </row>
    <row r="5008" spans="2:6" x14ac:dyDescent="0.2">
      <c r="B5008" s="12"/>
      <c r="C5008" s="12"/>
      <c r="D5008" s="17" t="str">
        <f t="shared" si="234"/>
        <v/>
      </c>
      <c r="E5008" s="18" t="str">
        <f t="shared" si="235"/>
        <v/>
      </c>
      <c r="F5008" s="17" t="str">
        <f t="shared" si="236"/>
        <v/>
      </c>
    </row>
    <row r="5009" spans="2:6" x14ac:dyDescent="0.2">
      <c r="B5009" s="12"/>
      <c r="C5009" s="12"/>
      <c r="D5009" s="17" t="str">
        <f t="shared" si="234"/>
        <v/>
      </c>
      <c r="E5009" s="18" t="str">
        <f t="shared" si="235"/>
        <v/>
      </c>
      <c r="F5009" s="17" t="str">
        <f t="shared" si="236"/>
        <v/>
      </c>
    </row>
    <row r="5010" spans="2:6" x14ac:dyDescent="0.2">
      <c r="B5010" s="12"/>
      <c r="C5010" s="12"/>
      <c r="D5010" s="17" t="str">
        <f t="shared" ref="D5010:D5073" si="237">IF(B5010="","",a+b*B5010)</f>
        <v/>
      </c>
      <c r="E5010" s="18" t="str">
        <f t="shared" si="235"/>
        <v/>
      </c>
      <c r="F5010" s="17" t="str">
        <f t="shared" si="236"/>
        <v/>
      </c>
    </row>
    <row r="5011" spans="2:6" x14ac:dyDescent="0.2">
      <c r="B5011" s="12"/>
      <c r="C5011" s="12"/>
      <c r="D5011" s="17" t="str">
        <f t="shared" si="237"/>
        <v/>
      </c>
      <c r="E5011" s="18" t="str">
        <f t="shared" si="235"/>
        <v/>
      </c>
      <c r="F5011" s="17" t="str">
        <f t="shared" si="236"/>
        <v/>
      </c>
    </row>
    <row r="5012" spans="2:6" x14ac:dyDescent="0.2">
      <c r="B5012" s="12"/>
      <c r="C5012" s="12"/>
      <c r="D5012" s="17" t="str">
        <f t="shared" si="237"/>
        <v/>
      </c>
      <c r="E5012" s="18" t="str">
        <f t="shared" si="235"/>
        <v/>
      </c>
      <c r="F5012" s="17" t="str">
        <f t="shared" si="236"/>
        <v/>
      </c>
    </row>
    <row r="5013" spans="2:6" x14ac:dyDescent="0.2">
      <c r="B5013" s="12"/>
      <c r="C5013" s="12"/>
      <c r="D5013" s="17" t="str">
        <f t="shared" si="237"/>
        <v/>
      </c>
      <c r="E5013" s="18" t="str">
        <f t="shared" si="235"/>
        <v/>
      </c>
      <c r="F5013" s="17" t="str">
        <f t="shared" si="236"/>
        <v/>
      </c>
    </row>
    <row r="5014" spans="2:6" x14ac:dyDescent="0.2">
      <c r="B5014" s="12"/>
      <c r="C5014" s="12"/>
      <c r="D5014" s="17" t="str">
        <f t="shared" si="237"/>
        <v/>
      </c>
      <c r="E5014" s="18" t="str">
        <f t="shared" si="235"/>
        <v/>
      </c>
      <c r="F5014" s="17" t="str">
        <f t="shared" si="236"/>
        <v/>
      </c>
    </row>
    <row r="5015" spans="2:6" x14ac:dyDescent="0.2">
      <c r="B5015" s="12"/>
      <c r="C5015" s="12"/>
      <c r="D5015" s="17" t="str">
        <f t="shared" si="237"/>
        <v/>
      </c>
      <c r="E5015" s="18" t="str">
        <f t="shared" si="235"/>
        <v/>
      </c>
      <c r="F5015" s="17" t="str">
        <f t="shared" si="236"/>
        <v/>
      </c>
    </row>
    <row r="5016" spans="2:6" x14ac:dyDescent="0.2">
      <c r="B5016" s="12"/>
      <c r="C5016" s="12"/>
      <c r="D5016" s="17" t="str">
        <f t="shared" si="237"/>
        <v/>
      </c>
      <c r="E5016" s="18" t="str">
        <f t="shared" si="235"/>
        <v/>
      </c>
      <c r="F5016" s="17" t="str">
        <f t="shared" si="236"/>
        <v/>
      </c>
    </row>
    <row r="5017" spans="2:6" x14ac:dyDescent="0.2">
      <c r="B5017" s="12"/>
      <c r="C5017" s="12"/>
      <c r="D5017" s="17" t="str">
        <f t="shared" si="237"/>
        <v/>
      </c>
      <c r="E5017" s="18" t="str">
        <f t="shared" si="235"/>
        <v/>
      </c>
      <c r="F5017" s="17" t="str">
        <f t="shared" si="236"/>
        <v/>
      </c>
    </row>
    <row r="5018" spans="2:6" x14ac:dyDescent="0.2">
      <c r="B5018" s="12"/>
      <c r="C5018" s="12"/>
      <c r="D5018" s="17" t="str">
        <f t="shared" si="237"/>
        <v/>
      </c>
      <c r="E5018" s="18" t="str">
        <f t="shared" si="235"/>
        <v/>
      </c>
      <c r="F5018" s="17" t="str">
        <f t="shared" si="236"/>
        <v/>
      </c>
    </row>
    <row r="5019" spans="2:6" x14ac:dyDescent="0.2">
      <c r="B5019" s="12"/>
      <c r="C5019" s="12"/>
      <c r="D5019" s="17" t="str">
        <f t="shared" si="237"/>
        <v/>
      </c>
      <c r="E5019" s="18" t="str">
        <f t="shared" si="235"/>
        <v/>
      </c>
      <c r="F5019" s="17" t="str">
        <f t="shared" si="236"/>
        <v/>
      </c>
    </row>
    <row r="5020" spans="2:6" x14ac:dyDescent="0.2">
      <c r="B5020" s="12"/>
      <c r="C5020" s="12"/>
      <c r="D5020" s="17" t="str">
        <f t="shared" si="237"/>
        <v/>
      </c>
      <c r="E5020" s="18" t="str">
        <f t="shared" si="235"/>
        <v/>
      </c>
      <c r="F5020" s="17" t="str">
        <f t="shared" si="236"/>
        <v/>
      </c>
    </row>
    <row r="5021" spans="2:6" x14ac:dyDescent="0.2">
      <c r="B5021" s="12"/>
      <c r="C5021" s="12"/>
      <c r="D5021" s="17" t="str">
        <f t="shared" si="237"/>
        <v/>
      </c>
      <c r="E5021" s="18" t="str">
        <f t="shared" si="235"/>
        <v/>
      </c>
      <c r="F5021" s="17" t="str">
        <f t="shared" si="236"/>
        <v/>
      </c>
    </row>
    <row r="5022" spans="2:6" x14ac:dyDescent="0.2">
      <c r="B5022" s="12"/>
      <c r="C5022" s="12"/>
      <c r="D5022" s="17" t="str">
        <f t="shared" si="237"/>
        <v/>
      </c>
      <c r="E5022" s="18" t="str">
        <f t="shared" si="235"/>
        <v/>
      </c>
      <c r="F5022" s="17" t="str">
        <f t="shared" si="236"/>
        <v/>
      </c>
    </row>
    <row r="5023" spans="2:6" x14ac:dyDescent="0.2">
      <c r="B5023" s="12"/>
      <c r="C5023" s="12"/>
      <c r="D5023" s="17" t="str">
        <f t="shared" si="237"/>
        <v/>
      </c>
      <c r="E5023" s="18" t="str">
        <f t="shared" si="235"/>
        <v/>
      </c>
      <c r="F5023" s="17" t="str">
        <f t="shared" si="236"/>
        <v/>
      </c>
    </row>
    <row r="5024" spans="2:6" x14ac:dyDescent="0.2">
      <c r="B5024" s="12"/>
      <c r="C5024" s="12"/>
      <c r="D5024" s="17" t="str">
        <f t="shared" si="237"/>
        <v/>
      </c>
      <c r="E5024" s="18" t="str">
        <f t="shared" si="235"/>
        <v/>
      </c>
      <c r="F5024" s="17" t="str">
        <f t="shared" si="236"/>
        <v/>
      </c>
    </row>
    <row r="5025" spans="2:6" x14ac:dyDescent="0.2">
      <c r="B5025" s="12"/>
      <c r="C5025" s="12"/>
      <c r="D5025" s="17" t="str">
        <f t="shared" si="237"/>
        <v/>
      </c>
      <c r="E5025" s="18" t="str">
        <f t="shared" si="235"/>
        <v/>
      </c>
      <c r="F5025" s="17" t="str">
        <f t="shared" si="236"/>
        <v/>
      </c>
    </row>
    <row r="5026" spans="2:6" x14ac:dyDescent="0.2">
      <c r="B5026" s="12"/>
      <c r="C5026" s="12"/>
      <c r="D5026" s="17" t="str">
        <f t="shared" si="237"/>
        <v/>
      </c>
      <c r="E5026" s="18" t="str">
        <f t="shared" si="235"/>
        <v/>
      </c>
      <c r="F5026" s="17" t="str">
        <f t="shared" si="236"/>
        <v/>
      </c>
    </row>
    <row r="5027" spans="2:6" x14ac:dyDescent="0.2">
      <c r="B5027" s="12"/>
      <c r="C5027" s="12"/>
      <c r="D5027" s="17" t="str">
        <f t="shared" si="237"/>
        <v/>
      </c>
      <c r="E5027" s="18" t="str">
        <f t="shared" si="235"/>
        <v/>
      </c>
      <c r="F5027" s="17" t="str">
        <f t="shared" si="236"/>
        <v/>
      </c>
    </row>
    <row r="5028" spans="2:6" x14ac:dyDescent="0.2">
      <c r="B5028" s="12"/>
      <c r="C5028" s="12"/>
      <c r="D5028" s="17" t="str">
        <f t="shared" si="237"/>
        <v/>
      </c>
      <c r="E5028" s="18" t="str">
        <f t="shared" si="235"/>
        <v/>
      </c>
      <c r="F5028" s="17" t="str">
        <f t="shared" si="236"/>
        <v/>
      </c>
    </row>
    <row r="5029" spans="2:6" x14ac:dyDescent="0.2">
      <c r="B5029" s="12"/>
      <c r="C5029" s="12"/>
      <c r="D5029" s="17" t="str">
        <f t="shared" si="237"/>
        <v/>
      </c>
      <c r="E5029" s="18" t="str">
        <f t="shared" si="235"/>
        <v/>
      </c>
      <c r="F5029" s="17" t="str">
        <f t="shared" si="236"/>
        <v/>
      </c>
    </row>
    <row r="5030" spans="2:6" x14ac:dyDescent="0.2">
      <c r="B5030" s="12"/>
      <c r="C5030" s="12"/>
      <c r="D5030" s="17" t="str">
        <f t="shared" si="237"/>
        <v/>
      </c>
      <c r="E5030" s="18" t="str">
        <f t="shared" si="235"/>
        <v/>
      </c>
      <c r="F5030" s="17" t="str">
        <f t="shared" si="236"/>
        <v/>
      </c>
    </row>
    <row r="5031" spans="2:6" x14ac:dyDescent="0.2">
      <c r="B5031" s="12"/>
      <c r="C5031" s="12"/>
      <c r="D5031" s="17" t="str">
        <f t="shared" si="237"/>
        <v/>
      </c>
      <c r="E5031" s="18" t="str">
        <f t="shared" si="235"/>
        <v/>
      </c>
      <c r="F5031" s="17" t="str">
        <f t="shared" si="236"/>
        <v/>
      </c>
    </row>
    <row r="5032" spans="2:6" x14ac:dyDescent="0.2">
      <c r="B5032" s="12"/>
      <c r="C5032" s="12"/>
      <c r="D5032" s="17" t="str">
        <f t="shared" si="237"/>
        <v/>
      </c>
      <c r="E5032" s="18" t="str">
        <f t="shared" si="235"/>
        <v/>
      </c>
      <c r="F5032" s="17" t="str">
        <f t="shared" si="236"/>
        <v/>
      </c>
    </row>
    <row r="5033" spans="2:6" x14ac:dyDescent="0.2">
      <c r="B5033" s="12"/>
      <c r="C5033" s="12"/>
      <c r="D5033" s="17" t="str">
        <f t="shared" si="237"/>
        <v/>
      </c>
      <c r="E5033" s="18" t="str">
        <f t="shared" si="235"/>
        <v/>
      </c>
      <c r="F5033" s="17" t="str">
        <f t="shared" si="236"/>
        <v/>
      </c>
    </row>
    <row r="5034" spans="2:6" x14ac:dyDescent="0.2">
      <c r="B5034" s="12"/>
      <c r="C5034" s="12"/>
      <c r="D5034" s="17" t="str">
        <f t="shared" si="237"/>
        <v/>
      </c>
      <c r="E5034" s="18" t="str">
        <f t="shared" si="235"/>
        <v/>
      </c>
      <c r="F5034" s="17" t="str">
        <f t="shared" si="236"/>
        <v/>
      </c>
    </row>
    <row r="5035" spans="2:6" x14ac:dyDescent="0.2">
      <c r="B5035" s="12"/>
      <c r="C5035" s="12"/>
      <c r="D5035" s="17" t="str">
        <f t="shared" si="237"/>
        <v/>
      </c>
      <c r="E5035" s="18" t="str">
        <f t="shared" si="235"/>
        <v/>
      </c>
      <c r="F5035" s="17" t="str">
        <f t="shared" si="236"/>
        <v/>
      </c>
    </row>
    <row r="5036" spans="2:6" x14ac:dyDescent="0.2">
      <c r="B5036" s="12"/>
      <c r="C5036" s="12"/>
      <c r="D5036" s="17" t="str">
        <f t="shared" si="237"/>
        <v/>
      </c>
      <c r="E5036" s="18" t="str">
        <f t="shared" si="235"/>
        <v/>
      </c>
      <c r="F5036" s="17" t="str">
        <f t="shared" si="236"/>
        <v/>
      </c>
    </row>
    <row r="5037" spans="2:6" x14ac:dyDescent="0.2">
      <c r="B5037" s="12"/>
      <c r="C5037" s="12"/>
      <c r="D5037" s="17" t="str">
        <f t="shared" si="237"/>
        <v/>
      </c>
      <c r="E5037" s="18" t="str">
        <f t="shared" si="235"/>
        <v/>
      </c>
      <c r="F5037" s="17" t="str">
        <f t="shared" si="236"/>
        <v/>
      </c>
    </row>
    <row r="5038" spans="2:6" x14ac:dyDescent="0.2">
      <c r="B5038" s="12"/>
      <c r="C5038" s="12"/>
      <c r="D5038" s="17" t="str">
        <f t="shared" si="237"/>
        <v/>
      </c>
      <c r="E5038" s="18" t="str">
        <f t="shared" si="235"/>
        <v/>
      </c>
      <c r="F5038" s="17" t="str">
        <f t="shared" si="236"/>
        <v/>
      </c>
    </row>
    <row r="5039" spans="2:6" x14ac:dyDescent="0.2">
      <c r="B5039" s="12"/>
      <c r="C5039" s="12"/>
      <c r="D5039" s="17" t="str">
        <f t="shared" si="237"/>
        <v/>
      </c>
      <c r="E5039" s="18" t="str">
        <f t="shared" si="235"/>
        <v/>
      </c>
      <c r="F5039" s="17" t="str">
        <f t="shared" si="236"/>
        <v/>
      </c>
    </row>
    <row r="5040" spans="2:6" x14ac:dyDescent="0.2">
      <c r="B5040" s="12"/>
      <c r="C5040" s="12"/>
      <c r="D5040" s="17" t="str">
        <f t="shared" si="237"/>
        <v/>
      </c>
      <c r="E5040" s="18" t="str">
        <f t="shared" si="235"/>
        <v/>
      </c>
      <c r="F5040" s="17" t="str">
        <f t="shared" si="236"/>
        <v/>
      </c>
    </row>
    <row r="5041" spans="2:6" x14ac:dyDescent="0.2">
      <c r="B5041" s="12"/>
      <c r="C5041" s="12"/>
      <c r="D5041" s="17" t="str">
        <f t="shared" si="237"/>
        <v/>
      </c>
      <c r="E5041" s="18" t="str">
        <f t="shared" si="235"/>
        <v/>
      </c>
      <c r="F5041" s="17" t="str">
        <f t="shared" si="236"/>
        <v/>
      </c>
    </row>
    <row r="5042" spans="2:6" x14ac:dyDescent="0.2">
      <c r="B5042" s="12"/>
      <c r="C5042" s="12"/>
      <c r="D5042" s="17" t="str">
        <f t="shared" si="237"/>
        <v/>
      </c>
      <c r="E5042" s="18" t="str">
        <f t="shared" si="235"/>
        <v/>
      </c>
      <c r="F5042" s="17" t="str">
        <f t="shared" si="236"/>
        <v/>
      </c>
    </row>
    <row r="5043" spans="2:6" x14ac:dyDescent="0.2">
      <c r="B5043" s="12"/>
      <c r="C5043" s="12"/>
      <c r="D5043" s="17" t="str">
        <f t="shared" si="237"/>
        <v/>
      </c>
      <c r="E5043" s="18" t="str">
        <f t="shared" si="235"/>
        <v/>
      </c>
      <c r="F5043" s="17" t="str">
        <f t="shared" si="236"/>
        <v/>
      </c>
    </row>
    <row r="5044" spans="2:6" x14ac:dyDescent="0.2">
      <c r="B5044" s="12"/>
      <c r="C5044" s="12"/>
      <c r="D5044" s="17" t="str">
        <f t="shared" si="237"/>
        <v/>
      </c>
      <c r="E5044" s="18" t="str">
        <f t="shared" si="235"/>
        <v/>
      </c>
      <c r="F5044" s="17" t="str">
        <f t="shared" si="236"/>
        <v/>
      </c>
    </row>
    <row r="5045" spans="2:6" x14ac:dyDescent="0.2">
      <c r="B5045" s="12"/>
      <c r="C5045" s="12"/>
      <c r="D5045" s="17" t="str">
        <f t="shared" si="237"/>
        <v/>
      </c>
      <c r="E5045" s="18" t="str">
        <f t="shared" si="235"/>
        <v/>
      </c>
      <c r="F5045" s="17" t="str">
        <f t="shared" si="236"/>
        <v/>
      </c>
    </row>
    <row r="5046" spans="2:6" x14ac:dyDescent="0.2">
      <c r="B5046" s="12"/>
      <c r="C5046" s="12"/>
      <c r="D5046" s="17" t="str">
        <f t="shared" si="237"/>
        <v/>
      </c>
      <c r="E5046" s="18" t="str">
        <f t="shared" si="235"/>
        <v/>
      </c>
      <c r="F5046" s="17" t="str">
        <f t="shared" si="236"/>
        <v/>
      </c>
    </row>
    <row r="5047" spans="2:6" x14ac:dyDescent="0.2">
      <c r="B5047" s="12"/>
      <c r="C5047" s="12"/>
      <c r="D5047" s="17" t="str">
        <f t="shared" si="237"/>
        <v/>
      </c>
      <c r="E5047" s="18" t="str">
        <f t="shared" si="235"/>
        <v/>
      </c>
      <c r="F5047" s="17" t="str">
        <f t="shared" si="236"/>
        <v/>
      </c>
    </row>
    <row r="5048" spans="2:6" x14ac:dyDescent="0.2">
      <c r="B5048" s="12"/>
      <c r="C5048" s="12"/>
      <c r="D5048" s="17" t="str">
        <f t="shared" si="237"/>
        <v/>
      </c>
      <c r="E5048" s="18" t="str">
        <f t="shared" si="235"/>
        <v/>
      </c>
      <c r="F5048" s="17" t="str">
        <f t="shared" si="236"/>
        <v/>
      </c>
    </row>
    <row r="5049" spans="2:6" x14ac:dyDescent="0.2">
      <c r="B5049" s="12"/>
      <c r="C5049" s="12"/>
      <c r="D5049" s="17" t="str">
        <f t="shared" si="237"/>
        <v/>
      </c>
      <c r="E5049" s="18" t="str">
        <f t="shared" si="235"/>
        <v/>
      </c>
      <c r="F5049" s="17" t="str">
        <f t="shared" si="236"/>
        <v/>
      </c>
    </row>
    <row r="5050" spans="2:6" x14ac:dyDescent="0.2">
      <c r="B5050" s="12"/>
      <c r="C5050" s="12"/>
      <c r="D5050" s="17" t="str">
        <f t="shared" si="237"/>
        <v/>
      </c>
      <c r="E5050" s="18" t="str">
        <f t="shared" si="235"/>
        <v/>
      </c>
      <c r="F5050" s="17" t="str">
        <f t="shared" si="236"/>
        <v/>
      </c>
    </row>
    <row r="5051" spans="2:6" x14ac:dyDescent="0.2">
      <c r="B5051" s="12"/>
      <c r="C5051" s="12"/>
      <c r="D5051" s="17" t="str">
        <f t="shared" si="237"/>
        <v/>
      </c>
      <c r="E5051" s="18" t="str">
        <f t="shared" si="235"/>
        <v/>
      </c>
      <c r="F5051" s="17" t="str">
        <f t="shared" si="236"/>
        <v/>
      </c>
    </row>
    <row r="5052" spans="2:6" x14ac:dyDescent="0.2">
      <c r="B5052" s="12"/>
      <c r="C5052" s="12"/>
      <c r="D5052" s="17" t="str">
        <f t="shared" si="237"/>
        <v/>
      </c>
      <c r="E5052" s="18" t="str">
        <f t="shared" si="235"/>
        <v/>
      </c>
      <c r="F5052" s="17" t="str">
        <f t="shared" si="236"/>
        <v/>
      </c>
    </row>
    <row r="5053" spans="2:6" x14ac:dyDescent="0.2">
      <c r="B5053" s="12"/>
      <c r="C5053" s="12"/>
      <c r="D5053" s="17" t="str">
        <f t="shared" si="237"/>
        <v/>
      </c>
      <c r="E5053" s="18" t="str">
        <f t="shared" si="235"/>
        <v/>
      </c>
      <c r="F5053" s="17" t="str">
        <f t="shared" si="236"/>
        <v/>
      </c>
    </row>
    <row r="5054" spans="2:6" x14ac:dyDescent="0.2">
      <c r="B5054" s="12"/>
      <c r="C5054" s="12"/>
      <c r="D5054" s="17" t="str">
        <f t="shared" si="237"/>
        <v/>
      </c>
      <c r="E5054" s="18" t="str">
        <f t="shared" si="235"/>
        <v/>
      </c>
      <c r="F5054" s="17" t="str">
        <f t="shared" si="236"/>
        <v/>
      </c>
    </row>
    <row r="5055" spans="2:6" x14ac:dyDescent="0.2">
      <c r="B5055" s="12"/>
      <c r="C5055" s="12"/>
      <c r="D5055" s="17" t="str">
        <f t="shared" si="237"/>
        <v/>
      </c>
      <c r="E5055" s="18" t="str">
        <f t="shared" si="235"/>
        <v/>
      </c>
      <c r="F5055" s="17" t="str">
        <f t="shared" si="236"/>
        <v/>
      </c>
    </row>
    <row r="5056" spans="2:6" x14ac:dyDescent="0.2">
      <c r="B5056" s="12"/>
      <c r="C5056" s="12"/>
      <c r="D5056" s="17" t="str">
        <f t="shared" si="237"/>
        <v/>
      </c>
      <c r="E5056" s="18" t="str">
        <f t="shared" si="235"/>
        <v/>
      </c>
      <c r="F5056" s="17" t="str">
        <f t="shared" si="236"/>
        <v/>
      </c>
    </row>
    <row r="5057" spans="2:6" x14ac:dyDescent="0.2">
      <c r="B5057" s="12"/>
      <c r="C5057" s="12"/>
      <c r="D5057" s="17" t="str">
        <f t="shared" si="237"/>
        <v/>
      </c>
      <c r="E5057" s="18" t="str">
        <f t="shared" si="235"/>
        <v/>
      </c>
      <c r="F5057" s="17" t="str">
        <f t="shared" si="236"/>
        <v/>
      </c>
    </row>
    <row r="5058" spans="2:6" x14ac:dyDescent="0.2">
      <c r="B5058" s="12"/>
      <c r="C5058" s="12"/>
      <c r="D5058" s="17" t="str">
        <f t="shared" si="237"/>
        <v/>
      </c>
      <c r="E5058" s="18" t="str">
        <f t="shared" si="235"/>
        <v/>
      </c>
      <c r="F5058" s="17" t="str">
        <f t="shared" si="236"/>
        <v/>
      </c>
    </row>
    <row r="5059" spans="2:6" x14ac:dyDescent="0.2">
      <c r="B5059" s="12"/>
      <c r="C5059" s="12"/>
      <c r="D5059" s="17" t="str">
        <f t="shared" si="237"/>
        <v/>
      </c>
      <c r="E5059" s="18" t="str">
        <f t="shared" si="235"/>
        <v/>
      </c>
      <c r="F5059" s="17" t="str">
        <f t="shared" si="236"/>
        <v/>
      </c>
    </row>
    <row r="5060" spans="2:6" x14ac:dyDescent="0.2">
      <c r="B5060" s="12"/>
      <c r="C5060" s="12"/>
      <c r="D5060" s="17" t="str">
        <f t="shared" si="237"/>
        <v/>
      </c>
      <c r="E5060" s="18" t="str">
        <f t="shared" si="235"/>
        <v/>
      </c>
      <c r="F5060" s="17" t="str">
        <f t="shared" si="236"/>
        <v/>
      </c>
    </row>
    <row r="5061" spans="2:6" x14ac:dyDescent="0.2">
      <c r="B5061" s="12"/>
      <c r="C5061" s="12"/>
      <c r="D5061" s="17" t="str">
        <f t="shared" si="237"/>
        <v/>
      </c>
      <c r="E5061" s="18" t="str">
        <f t="shared" ref="E5061:E5124" si="238">IF(B5061="","",ABS(C5061-D5061))</f>
        <v/>
      </c>
      <c r="F5061" s="17" t="str">
        <f t="shared" ref="F5061:F5124" si="239">IF(B5061="","",E5061^2)</f>
        <v/>
      </c>
    </row>
    <row r="5062" spans="2:6" x14ac:dyDescent="0.2">
      <c r="B5062" s="12"/>
      <c r="C5062" s="12"/>
      <c r="D5062" s="17" t="str">
        <f t="shared" si="237"/>
        <v/>
      </c>
      <c r="E5062" s="18" t="str">
        <f t="shared" si="238"/>
        <v/>
      </c>
      <c r="F5062" s="17" t="str">
        <f t="shared" si="239"/>
        <v/>
      </c>
    </row>
    <row r="5063" spans="2:6" x14ac:dyDescent="0.2">
      <c r="B5063" s="12"/>
      <c r="C5063" s="12"/>
      <c r="D5063" s="17" t="str">
        <f t="shared" si="237"/>
        <v/>
      </c>
      <c r="E5063" s="18" t="str">
        <f t="shared" si="238"/>
        <v/>
      </c>
      <c r="F5063" s="17" t="str">
        <f t="shared" si="239"/>
        <v/>
      </c>
    </row>
    <row r="5064" spans="2:6" x14ac:dyDescent="0.2">
      <c r="B5064" s="12"/>
      <c r="C5064" s="12"/>
      <c r="D5064" s="17" t="str">
        <f t="shared" si="237"/>
        <v/>
      </c>
      <c r="E5064" s="18" t="str">
        <f t="shared" si="238"/>
        <v/>
      </c>
      <c r="F5064" s="17" t="str">
        <f t="shared" si="239"/>
        <v/>
      </c>
    </row>
    <row r="5065" spans="2:6" x14ac:dyDescent="0.2">
      <c r="B5065" s="12"/>
      <c r="C5065" s="12"/>
      <c r="D5065" s="17" t="str">
        <f t="shared" si="237"/>
        <v/>
      </c>
      <c r="E5065" s="18" t="str">
        <f t="shared" si="238"/>
        <v/>
      </c>
      <c r="F5065" s="17" t="str">
        <f t="shared" si="239"/>
        <v/>
      </c>
    </row>
    <row r="5066" spans="2:6" x14ac:dyDescent="0.2">
      <c r="B5066" s="12"/>
      <c r="C5066" s="12"/>
      <c r="D5066" s="17" t="str">
        <f t="shared" si="237"/>
        <v/>
      </c>
      <c r="E5066" s="18" t="str">
        <f t="shared" si="238"/>
        <v/>
      </c>
      <c r="F5066" s="17" t="str">
        <f t="shared" si="239"/>
        <v/>
      </c>
    </row>
    <row r="5067" spans="2:6" x14ac:dyDescent="0.2">
      <c r="B5067" s="12"/>
      <c r="C5067" s="12"/>
      <c r="D5067" s="17" t="str">
        <f t="shared" si="237"/>
        <v/>
      </c>
      <c r="E5067" s="18" t="str">
        <f t="shared" si="238"/>
        <v/>
      </c>
      <c r="F5067" s="17" t="str">
        <f t="shared" si="239"/>
        <v/>
      </c>
    </row>
    <row r="5068" spans="2:6" x14ac:dyDescent="0.2">
      <c r="B5068" s="12"/>
      <c r="C5068" s="12"/>
      <c r="D5068" s="17" t="str">
        <f t="shared" si="237"/>
        <v/>
      </c>
      <c r="E5068" s="18" t="str">
        <f t="shared" si="238"/>
        <v/>
      </c>
      <c r="F5068" s="17" t="str">
        <f t="shared" si="239"/>
        <v/>
      </c>
    </row>
    <row r="5069" spans="2:6" x14ac:dyDescent="0.2">
      <c r="B5069" s="12"/>
      <c r="C5069" s="12"/>
      <c r="D5069" s="17" t="str">
        <f t="shared" si="237"/>
        <v/>
      </c>
      <c r="E5069" s="18" t="str">
        <f t="shared" si="238"/>
        <v/>
      </c>
      <c r="F5069" s="17" t="str">
        <f t="shared" si="239"/>
        <v/>
      </c>
    </row>
    <row r="5070" spans="2:6" x14ac:dyDescent="0.2">
      <c r="B5070" s="12"/>
      <c r="C5070" s="12"/>
      <c r="D5070" s="17" t="str">
        <f t="shared" si="237"/>
        <v/>
      </c>
      <c r="E5070" s="18" t="str">
        <f t="shared" si="238"/>
        <v/>
      </c>
      <c r="F5070" s="17" t="str">
        <f t="shared" si="239"/>
        <v/>
      </c>
    </row>
    <row r="5071" spans="2:6" x14ac:dyDescent="0.2">
      <c r="B5071" s="12"/>
      <c r="C5071" s="12"/>
      <c r="D5071" s="17" t="str">
        <f t="shared" si="237"/>
        <v/>
      </c>
      <c r="E5071" s="18" t="str">
        <f t="shared" si="238"/>
        <v/>
      </c>
      <c r="F5071" s="17" t="str">
        <f t="shared" si="239"/>
        <v/>
      </c>
    </row>
    <row r="5072" spans="2:6" x14ac:dyDescent="0.2">
      <c r="B5072" s="12"/>
      <c r="C5072" s="12"/>
      <c r="D5072" s="17" t="str">
        <f t="shared" si="237"/>
        <v/>
      </c>
      <c r="E5072" s="18" t="str">
        <f t="shared" si="238"/>
        <v/>
      </c>
      <c r="F5072" s="17" t="str">
        <f t="shared" si="239"/>
        <v/>
      </c>
    </row>
    <row r="5073" spans="2:6" x14ac:dyDescent="0.2">
      <c r="B5073" s="12"/>
      <c r="C5073" s="12"/>
      <c r="D5073" s="17" t="str">
        <f t="shared" si="237"/>
        <v/>
      </c>
      <c r="E5073" s="18" t="str">
        <f t="shared" si="238"/>
        <v/>
      </c>
      <c r="F5073" s="17" t="str">
        <f t="shared" si="239"/>
        <v/>
      </c>
    </row>
    <row r="5074" spans="2:6" x14ac:dyDescent="0.2">
      <c r="B5074" s="12"/>
      <c r="C5074" s="12"/>
      <c r="D5074" s="17" t="str">
        <f t="shared" ref="D5074:D5137" si="240">IF(B5074="","",a+b*B5074)</f>
        <v/>
      </c>
      <c r="E5074" s="18" t="str">
        <f t="shared" si="238"/>
        <v/>
      </c>
      <c r="F5074" s="17" t="str">
        <f t="shared" si="239"/>
        <v/>
      </c>
    </row>
    <row r="5075" spans="2:6" x14ac:dyDescent="0.2">
      <c r="B5075" s="12"/>
      <c r="C5075" s="12"/>
      <c r="D5075" s="17" t="str">
        <f t="shared" si="240"/>
        <v/>
      </c>
      <c r="E5075" s="18" t="str">
        <f t="shared" si="238"/>
        <v/>
      </c>
      <c r="F5075" s="17" t="str">
        <f t="shared" si="239"/>
        <v/>
      </c>
    </row>
    <row r="5076" spans="2:6" x14ac:dyDescent="0.2">
      <c r="B5076" s="12"/>
      <c r="C5076" s="12"/>
      <c r="D5076" s="17" t="str">
        <f t="shared" si="240"/>
        <v/>
      </c>
      <c r="E5076" s="18" t="str">
        <f t="shared" si="238"/>
        <v/>
      </c>
      <c r="F5076" s="17" t="str">
        <f t="shared" si="239"/>
        <v/>
      </c>
    </row>
    <row r="5077" spans="2:6" x14ac:dyDescent="0.2">
      <c r="B5077" s="12"/>
      <c r="C5077" s="12"/>
      <c r="D5077" s="17" t="str">
        <f t="shared" si="240"/>
        <v/>
      </c>
      <c r="E5077" s="18" t="str">
        <f t="shared" si="238"/>
        <v/>
      </c>
      <c r="F5077" s="17" t="str">
        <f t="shared" si="239"/>
        <v/>
      </c>
    </row>
    <row r="5078" spans="2:6" x14ac:dyDescent="0.2">
      <c r="B5078" s="12"/>
      <c r="C5078" s="12"/>
      <c r="D5078" s="17" t="str">
        <f t="shared" si="240"/>
        <v/>
      </c>
      <c r="E5078" s="18" t="str">
        <f t="shared" si="238"/>
        <v/>
      </c>
      <c r="F5078" s="17" t="str">
        <f t="shared" si="239"/>
        <v/>
      </c>
    </row>
    <row r="5079" spans="2:6" x14ac:dyDescent="0.2">
      <c r="B5079" s="12"/>
      <c r="C5079" s="12"/>
      <c r="D5079" s="17" t="str">
        <f t="shared" si="240"/>
        <v/>
      </c>
      <c r="E5079" s="18" t="str">
        <f t="shared" si="238"/>
        <v/>
      </c>
      <c r="F5079" s="17" t="str">
        <f t="shared" si="239"/>
        <v/>
      </c>
    </row>
    <row r="5080" spans="2:6" x14ac:dyDescent="0.2">
      <c r="B5080" s="12"/>
      <c r="C5080" s="12"/>
      <c r="D5080" s="17" t="str">
        <f t="shared" si="240"/>
        <v/>
      </c>
      <c r="E5080" s="18" t="str">
        <f t="shared" si="238"/>
        <v/>
      </c>
      <c r="F5080" s="17" t="str">
        <f t="shared" si="239"/>
        <v/>
      </c>
    </row>
    <row r="5081" spans="2:6" x14ac:dyDescent="0.2">
      <c r="B5081" s="12"/>
      <c r="C5081" s="12"/>
      <c r="D5081" s="17" t="str">
        <f t="shared" si="240"/>
        <v/>
      </c>
      <c r="E5081" s="18" t="str">
        <f t="shared" si="238"/>
        <v/>
      </c>
      <c r="F5081" s="17" t="str">
        <f t="shared" si="239"/>
        <v/>
      </c>
    </row>
    <row r="5082" spans="2:6" x14ac:dyDescent="0.2">
      <c r="B5082" s="12"/>
      <c r="C5082" s="12"/>
      <c r="D5082" s="17" t="str">
        <f t="shared" si="240"/>
        <v/>
      </c>
      <c r="E5082" s="18" t="str">
        <f t="shared" si="238"/>
        <v/>
      </c>
      <c r="F5082" s="17" t="str">
        <f t="shared" si="239"/>
        <v/>
      </c>
    </row>
    <row r="5083" spans="2:6" x14ac:dyDescent="0.2">
      <c r="B5083" s="12"/>
      <c r="C5083" s="12"/>
      <c r="D5083" s="17" t="str">
        <f t="shared" si="240"/>
        <v/>
      </c>
      <c r="E5083" s="18" t="str">
        <f t="shared" si="238"/>
        <v/>
      </c>
      <c r="F5083" s="17" t="str">
        <f t="shared" si="239"/>
        <v/>
      </c>
    </row>
    <row r="5084" spans="2:6" x14ac:dyDescent="0.2">
      <c r="B5084" s="12"/>
      <c r="C5084" s="12"/>
      <c r="D5084" s="17" t="str">
        <f t="shared" si="240"/>
        <v/>
      </c>
      <c r="E5084" s="18" t="str">
        <f t="shared" si="238"/>
        <v/>
      </c>
      <c r="F5084" s="17" t="str">
        <f t="shared" si="239"/>
        <v/>
      </c>
    </row>
    <row r="5085" spans="2:6" x14ac:dyDescent="0.2">
      <c r="B5085" s="12"/>
      <c r="C5085" s="12"/>
      <c r="D5085" s="17" t="str">
        <f t="shared" si="240"/>
        <v/>
      </c>
      <c r="E5085" s="18" t="str">
        <f t="shared" si="238"/>
        <v/>
      </c>
      <c r="F5085" s="17" t="str">
        <f t="shared" si="239"/>
        <v/>
      </c>
    </row>
    <row r="5086" spans="2:6" x14ac:dyDescent="0.2">
      <c r="B5086" s="12"/>
      <c r="C5086" s="12"/>
      <c r="D5086" s="17" t="str">
        <f t="shared" si="240"/>
        <v/>
      </c>
      <c r="E5086" s="18" t="str">
        <f t="shared" si="238"/>
        <v/>
      </c>
      <c r="F5086" s="17" t="str">
        <f t="shared" si="239"/>
        <v/>
      </c>
    </row>
    <row r="5087" spans="2:6" x14ac:dyDescent="0.2">
      <c r="B5087" s="12"/>
      <c r="C5087" s="12"/>
      <c r="D5087" s="17" t="str">
        <f t="shared" si="240"/>
        <v/>
      </c>
      <c r="E5087" s="18" t="str">
        <f t="shared" si="238"/>
        <v/>
      </c>
      <c r="F5087" s="17" t="str">
        <f t="shared" si="239"/>
        <v/>
      </c>
    </row>
    <row r="5088" spans="2:6" x14ac:dyDescent="0.2">
      <c r="B5088" s="12"/>
      <c r="C5088" s="12"/>
      <c r="D5088" s="17" t="str">
        <f t="shared" si="240"/>
        <v/>
      </c>
      <c r="E5088" s="18" t="str">
        <f t="shared" si="238"/>
        <v/>
      </c>
      <c r="F5088" s="17" t="str">
        <f t="shared" si="239"/>
        <v/>
      </c>
    </row>
    <row r="5089" spans="2:6" x14ac:dyDescent="0.2">
      <c r="B5089" s="12"/>
      <c r="C5089" s="12"/>
      <c r="D5089" s="17" t="str">
        <f t="shared" si="240"/>
        <v/>
      </c>
      <c r="E5089" s="18" t="str">
        <f t="shared" si="238"/>
        <v/>
      </c>
      <c r="F5089" s="17" t="str">
        <f t="shared" si="239"/>
        <v/>
      </c>
    </row>
    <row r="5090" spans="2:6" x14ac:dyDescent="0.2">
      <c r="B5090" s="12"/>
      <c r="C5090" s="12"/>
      <c r="D5090" s="17" t="str">
        <f t="shared" si="240"/>
        <v/>
      </c>
      <c r="E5090" s="18" t="str">
        <f t="shared" si="238"/>
        <v/>
      </c>
      <c r="F5090" s="17" t="str">
        <f t="shared" si="239"/>
        <v/>
      </c>
    </row>
    <row r="5091" spans="2:6" x14ac:dyDescent="0.2">
      <c r="B5091" s="12"/>
      <c r="C5091" s="12"/>
      <c r="D5091" s="17" t="str">
        <f t="shared" si="240"/>
        <v/>
      </c>
      <c r="E5091" s="18" t="str">
        <f t="shared" si="238"/>
        <v/>
      </c>
      <c r="F5091" s="17" t="str">
        <f t="shared" si="239"/>
        <v/>
      </c>
    </row>
    <row r="5092" spans="2:6" x14ac:dyDescent="0.2">
      <c r="B5092" s="12"/>
      <c r="C5092" s="12"/>
      <c r="D5092" s="17" t="str">
        <f t="shared" si="240"/>
        <v/>
      </c>
      <c r="E5092" s="18" t="str">
        <f t="shared" si="238"/>
        <v/>
      </c>
      <c r="F5092" s="17" t="str">
        <f t="shared" si="239"/>
        <v/>
      </c>
    </row>
    <row r="5093" spans="2:6" x14ac:dyDescent="0.2">
      <c r="B5093" s="12"/>
      <c r="C5093" s="12"/>
      <c r="D5093" s="17" t="str">
        <f t="shared" si="240"/>
        <v/>
      </c>
      <c r="E5093" s="18" t="str">
        <f t="shared" si="238"/>
        <v/>
      </c>
      <c r="F5093" s="17" t="str">
        <f t="shared" si="239"/>
        <v/>
      </c>
    </row>
    <row r="5094" spans="2:6" x14ac:dyDescent="0.2">
      <c r="B5094" s="12"/>
      <c r="C5094" s="12"/>
      <c r="D5094" s="17" t="str">
        <f t="shared" si="240"/>
        <v/>
      </c>
      <c r="E5094" s="18" t="str">
        <f t="shared" si="238"/>
        <v/>
      </c>
      <c r="F5094" s="17" t="str">
        <f t="shared" si="239"/>
        <v/>
      </c>
    </row>
    <row r="5095" spans="2:6" x14ac:dyDescent="0.2">
      <c r="B5095" s="12"/>
      <c r="C5095" s="12"/>
      <c r="D5095" s="17" t="str">
        <f t="shared" si="240"/>
        <v/>
      </c>
      <c r="E5095" s="18" t="str">
        <f t="shared" si="238"/>
        <v/>
      </c>
      <c r="F5095" s="17" t="str">
        <f t="shared" si="239"/>
        <v/>
      </c>
    </row>
    <row r="5096" spans="2:6" x14ac:dyDescent="0.2">
      <c r="B5096" s="12"/>
      <c r="C5096" s="12"/>
      <c r="D5096" s="17" t="str">
        <f t="shared" si="240"/>
        <v/>
      </c>
      <c r="E5096" s="18" t="str">
        <f t="shared" si="238"/>
        <v/>
      </c>
      <c r="F5096" s="17" t="str">
        <f t="shared" si="239"/>
        <v/>
      </c>
    </row>
    <row r="5097" spans="2:6" x14ac:dyDescent="0.2">
      <c r="B5097" s="12"/>
      <c r="C5097" s="12"/>
      <c r="D5097" s="17" t="str">
        <f t="shared" si="240"/>
        <v/>
      </c>
      <c r="E5097" s="18" t="str">
        <f t="shared" si="238"/>
        <v/>
      </c>
      <c r="F5097" s="17" t="str">
        <f t="shared" si="239"/>
        <v/>
      </c>
    </row>
    <row r="5098" spans="2:6" x14ac:dyDescent="0.2">
      <c r="B5098" s="12"/>
      <c r="C5098" s="12"/>
      <c r="D5098" s="17" t="str">
        <f t="shared" si="240"/>
        <v/>
      </c>
      <c r="E5098" s="18" t="str">
        <f t="shared" si="238"/>
        <v/>
      </c>
      <c r="F5098" s="17" t="str">
        <f t="shared" si="239"/>
        <v/>
      </c>
    </row>
    <row r="5099" spans="2:6" x14ac:dyDescent="0.2">
      <c r="B5099" s="12"/>
      <c r="C5099" s="12"/>
      <c r="D5099" s="17" t="str">
        <f t="shared" si="240"/>
        <v/>
      </c>
      <c r="E5099" s="18" t="str">
        <f t="shared" si="238"/>
        <v/>
      </c>
      <c r="F5099" s="17" t="str">
        <f t="shared" si="239"/>
        <v/>
      </c>
    </row>
    <row r="5100" spans="2:6" x14ac:dyDescent="0.2">
      <c r="B5100" s="12"/>
      <c r="C5100" s="12"/>
      <c r="D5100" s="17" t="str">
        <f t="shared" si="240"/>
        <v/>
      </c>
      <c r="E5100" s="18" t="str">
        <f t="shared" si="238"/>
        <v/>
      </c>
      <c r="F5100" s="17" t="str">
        <f t="shared" si="239"/>
        <v/>
      </c>
    </row>
    <row r="5101" spans="2:6" x14ac:dyDescent="0.2">
      <c r="B5101" s="12"/>
      <c r="C5101" s="12"/>
      <c r="D5101" s="17" t="str">
        <f t="shared" si="240"/>
        <v/>
      </c>
      <c r="E5101" s="18" t="str">
        <f t="shared" si="238"/>
        <v/>
      </c>
      <c r="F5101" s="17" t="str">
        <f t="shared" si="239"/>
        <v/>
      </c>
    </row>
    <row r="5102" spans="2:6" x14ac:dyDescent="0.2">
      <c r="B5102" s="12"/>
      <c r="C5102" s="12"/>
      <c r="D5102" s="17" t="str">
        <f t="shared" si="240"/>
        <v/>
      </c>
      <c r="E5102" s="18" t="str">
        <f t="shared" si="238"/>
        <v/>
      </c>
      <c r="F5102" s="17" t="str">
        <f t="shared" si="239"/>
        <v/>
      </c>
    </row>
    <row r="5103" spans="2:6" x14ac:dyDescent="0.2">
      <c r="B5103" s="12"/>
      <c r="C5103" s="12"/>
      <c r="D5103" s="17" t="str">
        <f t="shared" si="240"/>
        <v/>
      </c>
      <c r="E5103" s="18" t="str">
        <f t="shared" si="238"/>
        <v/>
      </c>
      <c r="F5103" s="17" t="str">
        <f t="shared" si="239"/>
        <v/>
      </c>
    </row>
    <row r="5104" spans="2:6" x14ac:dyDescent="0.2">
      <c r="B5104" s="12"/>
      <c r="C5104" s="12"/>
      <c r="D5104" s="17" t="str">
        <f t="shared" si="240"/>
        <v/>
      </c>
      <c r="E5104" s="18" t="str">
        <f t="shared" si="238"/>
        <v/>
      </c>
      <c r="F5104" s="17" t="str">
        <f t="shared" si="239"/>
        <v/>
      </c>
    </row>
    <row r="5105" spans="2:6" x14ac:dyDescent="0.2">
      <c r="B5105" s="12"/>
      <c r="C5105" s="12"/>
      <c r="D5105" s="17" t="str">
        <f t="shared" si="240"/>
        <v/>
      </c>
      <c r="E5105" s="18" t="str">
        <f t="shared" si="238"/>
        <v/>
      </c>
      <c r="F5105" s="17" t="str">
        <f t="shared" si="239"/>
        <v/>
      </c>
    </row>
    <row r="5106" spans="2:6" x14ac:dyDescent="0.2">
      <c r="B5106" s="12"/>
      <c r="C5106" s="12"/>
      <c r="D5106" s="17" t="str">
        <f t="shared" si="240"/>
        <v/>
      </c>
      <c r="E5106" s="18" t="str">
        <f t="shared" si="238"/>
        <v/>
      </c>
      <c r="F5106" s="17" t="str">
        <f t="shared" si="239"/>
        <v/>
      </c>
    </row>
    <row r="5107" spans="2:6" x14ac:dyDescent="0.2">
      <c r="B5107" s="12"/>
      <c r="C5107" s="12"/>
      <c r="D5107" s="17" t="str">
        <f t="shared" si="240"/>
        <v/>
      </c>
      <c r="E5107" s="18" t="str">
        <f t="shared" si="238"/>
        <v/>
      </c>
      <c r="F5107" s="17" t="str">
        <f t="shared" si="239"/>
        <v/>
      </c>
    </row>
    <row r="5108" spans="2:6" x14ac:dyDescent="0.2">
      <c r="B5108" s="12"/>
      <c r="C5108" s="12"/>
      <c r="D5108" s="17" t="str">
        <f t="shared" si="240"/>
        <v/>
      </c>
      <c r="E5108" s="18" t="str">
        <f t="shared" si="238"/>
        <v/>
      </c>
      <c r="F5108" s="17" t="str">
        <f t="shared" si="239"/>
        <v/>
      </c>
    </row>
    <row r="5109" spans="2:6" x14ac:dyDescent="0.2">
      <c r="B5109" s="12"/>
      <c r="C5109" s="12"/>
      <c r="D5109" s="17" t="str">
        <f t="shared" si="240"/>
        <v/>
      </c>
      <c r="E5109" s="18" t="str">
        <f t="shared" si="238"/>
        <v/>
      </c>
      <c r="F5109" s="17" t="str">
        <f t="shared" si="239"/>
        <v/>
      </c>
    </row>
    <row r="5110" spans="2:6" x14ac:dyDescent="0.2">
      <c r="B5110" s="12"/>
      <c r="C5110" s="12"/>
      <c r="D5110" s="17" t="str">
        <f t="shared" si="240"/>
        <v/>
      </c>
      <c r="E5110" s="18" t="str">
        <f t="shared" si="238"/>
        <v/>
      </c>
      <c r="F5110" s="17" t="str">
        <f t="shared" si="239"/>
        <v/>
      </c>
    </row>
    <row r="5111" spans="2:6" x14ac:dyDescent="0.2">
      <c r="B5111" s="12"/>
      <c r="C5111" s="12"/>
      <c r="D5111" s="17" t="str">
        <f t="shared" si="240"/>
        <v/>
      </c>
      <c r="E5111" s="18" t="str">
        <f t="shared" si="238"/>
        <v/>
      </c>
      <c r="F5111" s="17" t="str">
        <f t="shared" si="239"/>
        <v/>
      </c>
    </row>
    <row r="5112" spans="2:6" x14ac:dyDescent="0.2">
      <c r="B5112" s="12"/>
      <c r="C5112" s="12"/>
      <c r="D5112" s="17" t="str">
        <f t="shared" si="240"/>
        <v/>
      </c>
      <c r="E5112" s="18" t="str">
        <f t="shared" si="238"/>
        <v/>
      </c>
      <c r="F5112" s="17" t="str">
        <f t="shared" si="239"/>
        <v/>
      </c>
    </row>
    <row r="5113" spans="2:6" x14ac:dyDescent="0.2">
      <c r="B5113" s="12"/>
      <c r="C5113" s="12"/>
      <c r="D5113" s="17" t="str">
        <f t="shared" si="240"/>
        <v/>
      </c>
      <c r="E5113" s="18" t="str">
        <f t="shared" si="238"/>
        <v/>
      </c>
      <c r="F5113" s="17" t="str">
        <f t="shared" si="239"/>
        <v/>
      </c>
    </row>
    <row r="5114" spans="2:6" x14ac:dyDescent="0.2">
      <c r="B5114" s="12"/>
      <c r="C5114" s="12"/>
      <c r="D5114" s="17" t="str">
        <f t="shared" si="240"/>
        <v/>
      </c>
      <c r="E5114" s="18" t="str">
        <f t="shared" si="238"/>
        <v/>
      </c>
      <c r="F5114" s="17" t="str">
        <f t="shared" si="239"/>
        <v/>
      </c>
    </row>
    <row r="5115" spans="2:6" x14ac:dyDescent="0.2">
      <c r="B5115" s="12"/>
      <c r="C5115" s="12"/>
      <c r="D5115" s="17" t="str">
        <f t="shared" si="240"/>
        <v/>
      </c>
      <c r="E5115" s="18" t="str">
        <f t="shared" si="238"/>
        <v/>
      </c>
      <c r="F5115" s="17" t="str">
        <f t="shared" si="239"/>
        <v/>
      </c>
    </row>
    <row r="5116" spans="2:6" x14ac:dyDescent="0.2">
      <c r="B5116" s="12"/>
      <c r="C5116" s="12"/>
      <c r="D5116" s="17" t="str">
        <f t="shared" si="240"/>
        <v/>
      </c>
      <c r="E5116" s="18" t="str">
        <f t="shared" si="238"/>
        <v/>
      </c>
      <c r="F5116" s="17" t="str">
        <f t="shared" si="239"/>
        <v/>
      </c>
    </row>
    <row r="5117" spans="2:6" x14ac:dyDescent="0.2">
      <c r="B5117" s="12"/>
      <c r="C5117" s="12"/>
      <c r="D5117" s="17" t="str">
        <f t="shared" si="240"/>
        <v/>
      </c>
      <c r="E5117" s="18" t="str">
        <f t="shared" si="238"/>
        <v/>
      </c>
      <c r="F5117" s="17" t="str">
        <f t="shared" si="239"/>
        <v/>
      </c>
    </row>
    <row r="5118" spans="2:6" x14ac:dyDescent="0.2">
      <c r="B5118" s="12"/>
      <c r="C5118" s="12"/>
      <c r="D5118" s="17" t="str">
        <f t="shared" si="240"/>
        <v/>
      </c>
      <c r="E5118" s="18" t="str">
        <f t="shared" si="238"/>
        <v/>
      </c>
      <c r="F5118" s="17" t="str">
        <f t="shared" si="239"/>
        <v/>
      </c>
    </row>
    <row r="5119" spans="2:6" x14ac:dyDescent="0.2">
      <c r="B5119" s="12"/>
      <c r="C5119" s="12"/>
      <c r="D5119" s="17" t="str">
        <f t="shared" si="240"/>
        <v/>
      </c>
      <c r="E5119" s="18" t="str">
        <f t="shared" si="238"/>
        <v/>
      </c>
      <c r="F5119" s="17" t="str">
        <f t="shared" si="239"/>
        <v/>
      </c>
    </row>
    <row r="5120" spans="2:6" x14ac:dyDescent="0.2">
      <c r="B5120" s="12"/>
      <c r="C5120" s="12"/>
      <c r="D5120" s="17" t="str">
        <f t="shared" si="240"/>
        <v/>
      </c>
      <c r="E5120" s="18" t="str">
        <f t="shared" si="238"/>
        <v/>
      </c>
      <c r="F5120" s="17" t="str">
        <f t="shared" si="239"/>
        <v/>
      </c>
    </row>
    <row r="5121" spans="2:6" x14ac:dyDescent="0.2">
      <c r="B5121" s="12"/>
      <c r="C5121" s="12"/>
      <c r="D5121" s="17" t="str">
        <f t="shared" si="240"/>
        <v/>
      </c>
      <c r="E5121" s="18" t="str">
        <f t="shared" si="238"/>
        <v/>
      </c>
      <c r="F5121" s="17" t="str">
        <f t="shared" si="239"/>
        <v/>
      </c>
    </row>
    <row r="5122" spans="2:6" x14ac:dyDescent="0.2">
      <c r="B5122" s="12"/>
      <c r="C5122" s="12"/>
      <c r="D5122" s="17" t="str">
        <f t="shared" si="240"/>
        <v/>
      </c>
      <c r="E5122" s="18" t="str">
        <f t="shared" si="238"/>
        <v/>
      </c>
      <c r="F5122" s="17" t="str">
        <f t="shared" si="239"/>
        <v/>
      </c>
    </row>
    <row r="5123" spans="2:6" x14ac:dyDescent="0.2">
      <c r="B5123" s="12"/>
      <c r="C5123" s="12"/>
      <c r="D5123" s="17" t="str">
        <f t="shared" si="240"/>
        <v/>
      </c>
      <c r="E5123" s="18" t="str">
        <f t="shared" si="238"/>
        <v/>
      </c>
      <c r="F5123" s="17" t="str">
        <f t="shared" si="239"/>
        <v/>
      </c>
    </row>
    <row r="5124" spans="2:6" x14ac:dyDescent="0.2">
      <c r="B5124" s="12"/>
      <c r="C5124" s="12"/>
      <c r="D5124" s="17" t="str">
        <f t="shared" si="240"/>
        <v/>
      </c>
      <c r="E5124" s="18" t="str">
        <f t="shared" si="238"/>
        <v/>
      </c>
      <c r="F5124" s="17" t="str">
        <f t="shared" si="239"/>
        <v/>
      </c>
    </row>
    <row r="5125" spans="2:6" x14ac:dyDescent="0.2">
      <c r="B5125" s="12"/>
      <c r="C5125" s="12"/>
      <c r="D5125" s="17" t="str">
        <f t="shared" si="240"/>
        <v/>
      </c>
      <c r="E5125" s="18" t="str">
        <f t="shared" ref="E5125:E5188" si="241">IF(B5125="","",ABS(C5125-D5125))</f>
        <v/>
      </c>
      <c r="F5125" s="17" t="str">
        <f t="shared" ref="F5125:F5188" si="242">IF(B5125="","",E5125^2)</f>
        <v/>
      </c>
    </row>
    <row r="5126" spans="2:6" x14ac:dyDescent="0.2">
      <c r="B5126" s="12"/>
      <c r="C5126" s="12"/>
      <c r="D5126" s="17" t="str">
        <f t="shared" si="240"/>
        <v/>
      </c>
      <c r="E5126" s="18" t="str">
        <f t="shared" si="241"/>
        <v/>
      </c>
      <c r="F5126" s="17" t="str">
        <f t="shared" si="242"/>
        <v/>
      </c>
    </row>
    <row r="5127" spans="2:6" x14ac:dyDescent="0.2">
      <c r="B5127" s="12"/>
      <c r="C5127" s="12"/>
      <c r="D5127" s="17" t="str">
        <f t="shared" si="240"/>
        <v/>
      </c>
      <c r="E5127" s="18" t="str">
        <f t="shared" si="241"/>
        <v/>
      </c>
      <c r="F5127" s="17" t="str">
        <f t="shared" si="242"/>
        <v/>
      </c>
    </row>
    <row r="5128" spans="2:6" x14ac:dyDescent="0.2">
      <c r="B5128" s="12"/>
      <c r="C5128" s="12"/>
      <c r="D5128" s="17" t="str">
        <f t="shared" si="240"/>
        <v/>
      </c>
      <c r="E5128" s="18" t="str">
        <f t="shared" si="241"/>
        <v/>
      </c>
      <c r="F5128" s="17" t="str">
        <f t="shared" si="242"/>
        <v/>
      </c>
    </row>
    <row r="5129" spans="2:6" x14ac:dyDescent="0.2">
      <c r="B5129" s="12"/>
      <c r="C5129" s="12"/>
      <c r="D5129" s="17" t="str">
        <f t="shared" si="240"/>
        <v/>
      </c>
      <c r="E5129" s="18" t="str">
        <f t="shared" si="241"/>
        <v/>
      </c>
      <c r="F5129" s="17" t="str">
        <f t="shared" si="242"/>
        <v/>
      </c>
    </row>
    <row r="5130" spans="2:6" x14ac:dyDescent="0.2">
      <c r="B5130" s="12"/>
      <c r="C5130" s="12"/>
      <c r="D5130" s="17" t="str">
        <f t="shared" si="240"/>
        <v/>
      </c>
      <c r="E5130" s="18" t="str">
        <f t="shared" si="241"/>
        <v/>
      </c>
      <c r="F5130" s="17" t="str">
        <f t="shared" si="242"/>
        <v/>
      </c>
    </row>
    <row r="5131" spans="2:6" x14ac:dyDescent="0.2">
      <c r="B5131" s="12"/>
      <c r="C5131" s="12"/>
      <c r="D5131" s="17" t="str">
        <f t="shared" si="240"/>
        <v/>
      </c>
      <c r="E5131" s="18" t="str">
        <f t="shared" si="241"/>
        <v/>
      </c>
      <c r="F5131" s="17" t="str">
        <f t="shared" si="242"/>
        <v/>
      </c>
    </row>
    <row r="5132" spans="2:6" x14ac:dyDescent="0.2">
      <c r="B5132" s="12"/>
      <c r="C5132" s="12"/>
      <c r="D5132" s="17" t="str">
        <f t="shared" si="240"/>
        <v/>
      </c>
      <c r="E5132" s="18" t="str">
        <f t="shared" si="241"/>
        <v/>
      </c>
      <c r="F5132" s="17" t="str">
        <f t="shared" si="242"/>
        <v/>
      </c>
    </row>
    <row r="5133" spans="2:6" x14ac:dyDescent="0.2">
      <c r="B5133" s="12"/>
      <c r="C5133" s="12"/>
      <c r="D5133" s="17" t="str">
        <f t="shared" si="240"/>
        <v/>
      </c>
      <c r="E5133" s="18" t="str">
        <f t="shared" si="241"/>
        <v/>
      </c>
      <c r="F5133" s="17" t="str">
        <f t="shared" si="242"/>
        <v/>
      </c>
    </row>
    <row r="5134" spans="2:6" x14ac:dyDescent="0.2">
      <c r="B5134" s="12"/>
      <c r="C5134" s="12"/>
      <c r="D5134" s="17" t="str">
        <f t="shared" si="240"/>
        <v/>
      </c>
      <c r="E5134" s="18" t="str">
        <f t="shared" si="241"/>
        <v/>
      </c>
      <c r="F5134" s="17" t="str">
        <f t="shared" si="242"/>
        <v/>
      </c>
    </row>
    <row r="5135" spans="2:6" x14ac:dyDescent="0.2">
      <c r="B5135" s="12"/>
      <c r="C5135" s="12"/>
      <c r="D5135" s="17" t="str">
        <f t="shared" si="240"/>
        <v/>
      </c>
      <c r="E5135" s="18" t="str">
        <f t="shared" si="241"/>
        <v/>
      </c>
      <c r="F5135" s="17" t="str">
        <f t="shared" si="242"/>
        <v/>
      </c>
    </row>
    <row r="5136" spans="2:6" x14ac:dyDescent="0.2">
      <c r="B5136" s="12"/>
      <c r="C5136" s="12"/>
      <c r="D5136" s="17" t="str">
        <f t="shared" si="240"/>
        <v/>
      </c>
      <c r="E5136" s="18" t="str">
        <f t="shared" si="241"/>
        <v/>
      </c>
      <c r="F5136" s="17" t="str">
        <f t="shared" si="242"/>
        <v/>
      </c>
    </row>
    <row r="5137" spans="2:6" x14ac:dyDescent="0.2">
      <c r="B5137" s="12"/>
      <c r="C5137" s="12"/>
      <c r="D5137" s="17" t="str">
        <f t="shared" si="240"/>
        <v/>
      </c>
      <c r="E5137" s="18" t="str">
        <f t="shared" si="241"/>
        <v/>
      </c>
      <c r="F5137" s="17" t="str">
        <f t="shared" si="242"/>
        <v/>
      </c>
    </row>
    <row r="5138" spans="2:6" x14ac:dyDescent="0.2">
      <c r="B5138" s="12"/>
      <c r="C5138" s="12"/>
      <c r="D5138" s="17" t="str">
        <f t="shared" ref="D5138:D5201" si="243">IF(B5138="","",a+b*B5138)</f>
        <v/>
      </c>
      <c r="E5138" s="18" t="str">
        <f t="shared" si="241"/>
        <v/>
      </c>
      <c r="F5138" s="17" t="str">
        <f t="shared" si="242"/>
        <v/>
      </c>
    </row>
    <row r="5139" spans="2:6" x14ac:dyDescent="0.2">
      <c r="B5139" s="12"/>
      <c r="C5139" s="12"/>
      <c r="D5139" s="17" t="str">
        <f t="shared" si="243"/>
        <v/>
      </c>
      <c r="E5139" s="18" t="str">
        <f t="shared" si="241"/>
        <v/>
      </c>
      <c r="F5139" s="17" t="str">
        <f t="shared" si="242"/>
        <v/>
      </c>
    </row>
    <row r="5140" spans="2:6" x14ac:dyDescent="0.2">
      <c r="B5140" s="12"/>
      <c r="C5140" s="12"/>
      <c r="D5140" s="17" t="str">
        <f t="shared" si="243"/>
        <v/>
      </c>
      <c r="E5140" s="18" t="str">
        <f t="shared" si="241"/>
        <v/>
      </c>
      <c r="F5140" s="17" t="str">
        <f t="shared" si="242"/>
        <v/>
      </c>
    </row>
    <row r="5141" spans="2:6" x14ac:dyDescent="0.2">
      <c r="B5141" s="12"/>
      <c r="C5141" s="12"/>
      <c r="D5141" s="17" t="str">
        <f t="shared" si="243"/>
        <v/>
      </c>
      <c r="E5141" s="18" t="str">
        <f t="shared" si="241"/>
        <v/>
      </c>
      <c r="F5141" s="17" t="str">
        <f t="shared" si="242"/>
        <v/>
      </c>
    </row>
    <row r="5142" spans="2:6" x14ac:dyDescent="0.2">
      <c r="B5142" s="12"/>
      <c r="C5142" s="12"/>
      <c r="D5142" s="17" t="str">
        <f t="shared" si="243"/>
        <v/>
      </c>
      <c r="E5142" s="18" t="str">
        <f t="shared" si="241"/>
        <v/>
      </c>
      <c r="F5142" s="17" t="str">
        <f t="shared" si="242"/>
        <v/>
      </c>
    </row>
    <row r="5143" spans="2:6" x14ac:dyDescent="0.2">
      <c r="B5143" s="12"/>
      <c r="C5143" s="12"/>
      <c r="D5143" s="17" t="str">
        <f t="shared" si="243"/>
        <v/>
      </c>
      <c r="E5143" s="18" t="str">
        <f t="shared" si="241"/>
        <v/>
      </c>
      <c r="F5143" s="17" t="str">
        <f t="shared" si="242"/>
        <v/>
      </c>
    </row>
    <row r="5144" spans="2:6" x14ac:dyDescent="0.2">
      <c r="B5144" s="12"/>
      <c r="C5144" s="12"/>
      <c r="D5144" s="17" t="str">
        <f t="shared" si="243"/>
        <v/>
      </c>
      <c r="E5144" s="18" t="str">
        <f t="shared" si="241"/>
        <v/>
      </c>
      <c r="F5144" s="17" t="str">
        <f t="shared" si="242"/>
        <v/>
      </c>
    </row>
    <row r="5145" spans="2:6" x14ac:dyDescent="0.2">
      <c r="B5145" s="12"/>
      <c r="C5145" s="12"/>
      <c r="D5145" s="17" t="str">
        <f t="shared" si="243"/>
        <v/>
      </c>
      <c r="E5145" s="18" t="str">
        <f t="shared" si="241"/>
        <v/>
      </c>
      <c r="F5145" s="17" t="str">
        <f t="shared" si="242"/>
        <v/>
      </c>
    </row>
    <row r="5146" spans="2:6" x14ac:dyDescent="0.2">
      <c r="B5146" s="12"/>
      <c r="C5146" s="12"/>
      <c r="D5146" s="17" t="str">
        <f t="shared" si="243"/>
        <v/>
      </c>
      <c r="E5146" s="18" t="str">
        <f t="shared" si="241"/>
        <v/>
      </c>
      <c r="F5146" s="17" t="str">
        <f t="shared" si="242"/>
        <v/>
      </c>
    </row>
    <row r="5147" spans="2:6" x14ac:dyDescent="0.2">
      <c r="B5147" s="12"/>
      <c r="C5147" s="12"/>
      <c r="D5147" s="17" t="str">
        <f t="shared" si="243"/>
        <v/>
      </c>
      <c r="E5147" s="18" t="str">
        <f t="shared" si="241"/>
        <v/>
      </c>
      <c r="F5147" s="17" t="str">
        <f t="shared" si="242"/>
        <v/>
      </c>
    </row>
    <row r="5148" spans="2:6" x14ac:dyDescent="0.2">
      <c r="B5148" s="12"/>
      <c r="C5148" s="12"/>
      <c r="D5148" s="17" t="str">
        <f t="shared" si="243"/>
        <v/>
      </c>
      <c r="E5148" s="18" t="str">
        <f t="shared" si="241"/>
        <v/>
      </c>
      <c r="F5148" s="17" t="str">
        <f t="shared" si="242"/>
        <v/>
      </c>
    </row>
    <row r="5149" spans="2:6" x14ac:dyDescent="0.2">
      <c r="B5149" s="12"/>
      <c r="C5149" s="12"/>
      <c r="D5149" s="17" t="str">
        <f t="shared" si="243"/>
        <v/>
      </c>
      <c r="E5149" s="18" t="str">
        <f t="shared" si="241"/>
        <v/>
      </c>
      <c r="F5149" s="17" t="str">
        <f t="shared" si="242"/>
        <v/>
      </c>
    </row>
    <row r="5150" spans="2:6" x14ac:dyDescent="0.2">
      <c r="B5150" s="12"/>
      <c r="C5150" s="12"/>
      <c r="D5150" s="17" t="str">
        <f t="shared" si="243"/>
        <v/>
      </c>
      <c r="E5150" s="18" t="str">
        <f t="shared" si="241"/>
        <v/>
      </c>
      <c r="F5150" s="17" t="str">
        <f t="shared" si="242"/>
        <v/>
      </c>
    </row>
    <row r="5151" spans="2:6" x14ac:dyDescent="0.2">
      <c r="B5151" s="12"/>
      <c r="C5151" s="12"/>
      <c r="D5151" s="17" t="str">
        <f t="shared" si="243"/>
        <v/>
      </c>
      <c r="E5151" s="18" t="str">
        <f t="shared" si="241"/>
        <v/>
      </c>
      <c r="F5151" s="17" t="str">
        <f t="shared" si="242"/>
        <v/>
      </c>
    </row>
    <row r="5152" spans="2:6" x14ac:dyDescent="0.2">
      <c r="B5152" s="12"/>
      <c r="C5152" s="12"/>
      <c r="D5152" s="17" t="str">
        <f t="shared" si="243"/>
        <v/>
      </c>
      <c r="E5152" s="18" t="str">
        <f t="shared" si="241"/>
        <v/>
      </c>
      <c r="F5152" s="17" t="str">
        <f t="shared" si="242"/>
        <v/>
      </c>
    </row>
    <row r="5153" spans="2:6" x14ac:dyDescent="0.2">
      <c r="B5153" s="12"/>
      <c r="C5153" s="12"/>
      <c r="D5153" s="17" t="str">
        <f t="shared" si="243"/>
        <v/>
      </c>
      <c r="E5153" s="18" t="str">
        <f t="shared" si="241"/>
        <v/>
      </c>
      <c r="F5153" s="17" t="str">
        <f t="shared" si="242"/>
        <v/>
      </c>
    </row>
    <row r="5154" spans="2:6" x14ac:dyDescent="0.2">
      <c r="B5154" s="12"/>
      <c r="C5154" s="12"/>
      <c r="D5154" s="17" t="str">
        <f t="shared" si="243"/>
        <v/>
      </c>
      <c r="E5154" s="18" t="str">
        <f t="shared" si="241"/>
        <v/>
      </c>
      <c r="F5154" s="17" t="str">
        <f t="shared" si="242"/>
        <v/>
      </c>
    </row>
    <row r="5155" spans="2:6" x14ac:dyDescent="0.2">
      <c r="B5155" s="12"/>
      <c r="C5155" s="12"/>
      <c r="D5155" s="17" t="str">
        <f t="shared" si="243"/>
        <v/>
      </c>
      <c r="E5155" s="18" t="str">
        <f t="shared" si="241"/>
        <v/>
      </c>
      <c r="F5155" s="17" t="str">
        <f t="shared" si="242"/>
        <v/>
      </c>
    </row>
    <row r="5156" spans="2:6" x14ac:dyDescent="0.2">
      <c r="B5156" s="12"/>
      <c r="C5156" s="12"/>
      <c r="D5156" s="17" t="str">
        <f t="shared" si="243"/>
        <v/>
      </c>
      <c r="E5156" s="18" t="str">
        <f t="shared" si="241"/>
        <v/>
      </c>
      <c r="F5156" s="17" t="str">
        <f t="shared" si="242"/>
        <v/>
      </c>
    </row>
    <row r="5157" spans="2:6" x14ac:dyDescent="0.2">
      <c r="B5157" s="12"/>
      <c r="C5157" s="12"/>
      <c r="D5157" s="17" t="str">
        <f t="shared" si="243"/>
        <v/>
      </c>
      <c r="E5157" s="18" t="str">
        <f t="shared" si="241"/>
        <v/>
      </c>
      <c r="F5157" s="17" t="str">
        <f t="shared" si="242"/>
        <v/>
      </c>
    </row>
    <row r="5158" spans="2:6" x14ac:dyDescent="0.2">
      <c r="B5158" s="12"/>
      <c r="C5158" s="12"/>
      <c r="D5158" s="17" t="str">
        <f t="shared" si="243"/>
        <v/>
      </c>
      <c r="E5158" s="18" t="str">
        <f t="shared" si="241"/>
        <v/>
      </c>
      <c r="F5158" s="17" t="str">
        <f t="shared" si="242"/>
        <v/>
      </c>
    </row>
    <row r="5159" spans="2:6" x14ac:dyDescent="0.2">
      <c r="B5159" s="12"/>
      <c r="C5159" s="12"/>
      <c r="D5159" s="17" t="str">
        <f t="shared" si="243"/>
        <v/>
      </c>
      <c r="E5159" s="18" t="str">
        <f t="shared" si="241"/>
        <v/>
      </c>
      <c r="F5159" s="17" t="str">
        <f t="shared" si="242"/>
        <v/>
      </c>
    </row>
    <row r="5160" spans="2:6" x14ac:dyDescent="0.2">
      <c r="B5160" s="12"/>
      <c r="C5160" s="12"/>
      <c r="D5160" s="17" t="str">
        <f t="shared" si="243"/>
        <v/>
      </c>
      <c r="E5160" s="18" t="str">
        <f t="shared" si="241"/>
        <v/>
      </c>
      <c r="F5160" s="17" t="str">
        <f t="shared" si="242"/>
        <v/>
      </c>
    </row>
    <row r="5161" spans="2:6" x14ac:dyDescent="0.2">
      <c r="B5161" s="12"/>
      <c r="C5161" s="12"/>
      <c r="D5161" s="17" t="str">
        <f t="shared" si="243"/>
        <v/>
      </c>
      <c r="E5161" s="18" t="str">
        <f t="shared" si="241"/>
        <v/>
      </c>
      <c r="F5161" s="17" t="str">
        <f t="shared" si="242"/>
        <v/>
      </c>
    </row>
    <row r="5162" spans="2:6" x14ac:dyDescent="0.2">
      <c r="B5162" s="12"/>
      <c r="C5162" s="12"/>
      <c r="D5162" s="17" t="str">
        <f t="shared" si="243"/>
        <v/>
      </c>
      <c r="E5162" s="18" t="str">
        <f t="shared" si="241"/>
        <v/>
      </c>
      <c r="F5162" s="17" t="str">
        <f t="shared" si="242"/>
        <v/>
      </c>
    </row>
    <row r="5163" spans="2:6" x14ac:dyDescent="0.2">
      <c r="B5163" s="12"/>
      <c r="C5163" s="12"/>
      <c r="D5163" s="17" t="str">
        <f t="shared" si="243"/>
        <v/>
      </c>
      <c r="E5163" s="18" t="str">
        <f t="shared" si="241"/>
        <v/>
      </c>
      <c r="F5163" s="17" t="str">
        <f t="shared" si="242"/>
        <v/>
      </c>
    </row>
    <row r="5164" spans="2:6" x14ac:dyDescent="0.2">
      <c r="B5164" s="12"/>
      <c r="C5164" s="12"/>
      <c r="D5164" s="17" t="str">
        <f t="shared" si="243"/>
        <v/>
      </c>
      <c r="E5164" s="18" t="str">
        <f t="shared" si="241"/>
        <v/>
      </c>
      <c r="F5164" s="17" t="str">
        <f t="shared" si="242"/>
        <v/>
      </c>
    </row>
    <row r="5165" spans="2:6" x14ac:dyDescent="0.2">
      <c r="B5165" s="12"/>
      <c r="C5165" s="12"/>
      <c r="D5165" s="17" t="str">
        <f t="shared" si="243"/>
        <v/>
      </c>
      <c r="E5165" s="18" t="str">
        <f t="shared" si="241"/>
        <v/>
      </c>
      <c r="F5165" s="17" t="str">
        <f t="shared" si="242"/>
        <v/>
      </c>
    </row>
    <row r="5166" spans="2:6" x14ac:dyDescent="0.2">
      <c r="B5166" s="12"/>
      <c r="C5166" s="12"/>
      <c r="D5166" s="17" t="str">
        <f t="shared" si="243"/>
        <v/>
      </c>
      <c r="E5166" s="18" t="str">
        <f t="shared" si="241"/>
        <v/>
      </c>
      <c r="F5166" s="17" t="str">
        <f t="shared" si="242"/>
        <v/>
      </c>
    </row>
    <row r="5167" spans="2:6" x14ac:dyDescent="0.2">
      <c r="B5167" s="12"/>
      <c r="C5167" s="12"/>
      <c r="D5167" s="17" t="str">
        <f t="shared" si="243"/>
        <v/>
      </c>
      <c r="E5167" s="18" t="str">
        <f t="shared" si="241"/>
        <v/>
      </c>
      <c r="F5167" s="17" t="str">
        <f t="shared" si="242"/>
        <v/>
      </c>
    </row>
    <row r="5168" spans="2:6" x14ac:dyDescent="0.2">
      <c r="B5168" s="12"/>
      <c r="C5168" s="12"/>
      <c r="D5168" s="17" t="str">
        <f t="shared" si="243"/>
        <v/>
      </c>
      <c r="E5168" s="18" t="str">
        <f t="shared" si="241"/>
        <v/>
      </c>
      <c r="F5168" s="17" t="str">
        <f t="shared" si="242"/>
        <v/>
      </c>
    </row>
    <row r="5169" spans="2:6" x14ac:dyDescent="0.2">
      <c r="B5169" s="12"/>
      <c r="C5169" s="12"/>
      <c r="D5169" s="17" t="str">
        <f t="shared" si="243"/>
        <v/>
      </c>
      <c r="E5169" s="18" t="str">
        <f t="shared" si="241"/>
        <v/>
      </c>
      <c r="F5169" s="17" t="str">
        <f t="shared" si="242"/>
        <v/>
      </c>
    </row>
    <row r="5170" spans="2:6" x14ac:dyDescent="0.2">
      <c r="B5170" s="12"/>
      <c r="C5170" s="12"/>
      <c r="D5170" s="17" t="str">
        <f t="shared" si="243"/>
        <v/>
      </c>
      <c r="E5170" s="18" t="str">
        <f t="shared" si="241"/>
        <v/>
      </c>
      <c r="F5170" s="17" t="str">
        <f t="shared" si="242"/>
        <v/>
      </c>
    </row>
    <row r="5171" spans="2:6" x14ac:dyDescent="0.2">
      <c r="B5171" s="12"/>
      <c r="C5171" s="12"/>
      <c r="D5171" s="17" t="str">
        <f t="shared" si="243"/>
        <v/>
      </c>
      <c r="E5171" s="18" t="str">
        <f t="shared" si="241"/>
        <v/>
      </c>
      <c r="F5171" s="17" t="str">
        <f t="shared" si="242"/>
        <v/>
      </c>
    </row>
    <row r="5172" spans="2:6" x14ac:dyDescent="0.2">
      <c r="B5172" s="12"/>
      <c r="C5172" s="12"/>
      <c r="D5172" s="17" t="str">
        <f t="shared" si="243"/>
        <v/>
      </c>
      <c r="E5172" s="18" t="str">
        <f t="shared" si="241"/>
        <v/>
      </c>
      <c r="F5172" s="17" t="str">
        <f t="shared" si="242"/>
        <v/>
      </c>
    </row>
    <row r="5173" spans="2:6" x14ac:dyDescent="0.2">
      <c r="B5173" s="12"/>
      <c r="C5173" s="12"/>
      <c r="D5173" s="17" t="str">
        <f t="shared" si="243"/>
        <v/>
      </c>
      <c r="E5173" s="18" t="str">
        <f t="shared" si="241"/>
        <v/>
      </c>
      <c r="F5173" s="17" t="str">
        <f t="shared" si="242"/>
        <v/>
      </c>
    </row>
    <row r="5174" spans="2:6" x14ac:dyDescent="0.2">
      <c r="B5174" s="12"/>
      <c r="C5174" s="12"/>
      <c r="D5174" s="17" t="str">
        <f t="shared" si="243"/>
        <v/>
      </c>
      <c r="E5174" s="18" t="str">
        <f t="shared" si="241"/>
        <v/>
      </c>
      <c r="F5174" s="17" t="str">
        <f t="shared" si="242"/>
        <v/>
      </c>
    </row>
    <row r="5175" spans="2:6" x14ac:dyDescent="0.2">
      <c r="B5175" s="12"/>
      <c r="C5175" s="12"/>
      <c r="D5175" s="17" t="str">
        <f t="shared" si="243"/>
        <v/>
      </c>
      <c r="E5175" s="18" t="str">
        <f t="shared" si="241"/>
        <v/>
      </c>
      <c r="F5175" s="17" t="str">
        <f t="shared" si="242"/>
        <v/>
      </c>
    </row>
    <row r="5176" spans="2:6" x14ac:dyDescent="0.2">
      <c r="B5176" s="12"/>
      <c r="C5176" s="12"/>
      <c r="D5176" s="17" t="str">
        <f t="shared" si="243"/>
        <v/>
      </c>
      <c r="E5176" s="18" t="str">
        <f t="shared" si="241"/>
        <v/>
      </c>
      <c r="F5176" s="17" t="str">
        <f t="shared" si="242"/>
        <v/>
      </c>
    </row>
    <row r="5177" spans="2:6" x14ac:dyDescent="0.2">
      <c r="B5177" s="12"/>
      <c r="C5177" s="12"/>
      <c r="D5177" s="17" t="str">
        <f t="shared" si="243"/>
        <v/>
      </c>
      <c r="E5177" s="18" t="str">
        <f t="shared" si="241"/>
        <v/>
      </c>
      <c r="F5177" s="17" t="str">
        <f t="shared" si="242"/>
        <v/>
      </c>
    </row>
    <row r="5178" spans="2:6" x14ac:dyDescent="0.2">
      <c r="B5178" s="12"/>
      <c r="C5178" s="12"/>
      <c r="D5178" s="17" t="str">
        <f t="shared" si="243"/>
        <v/>
      </c>
      <c r="E5178" s="18" t="str">
        <f t="shared" si="241"/>
        <v/>
      </c>
      <c r="F5178" s="17" t="str">
        <f t="shared" si="242"/>
        <v/>
      </c>
    </row>
    <row r="5179" spans="2:6" x14ac:dyDescent="0.2">
      <c r="B5179" s="12"/>
      <c r="C5179" s="12"/>
      <c r="D5179" s="17" t="str">
        <f t="shared" si="243"/>
        <v/>
      </c>
      <c r="E5179" s="18" t="str">
        <f t="shared" si="241"/>
        <v/>
      </c>
      <c r="F5179" s="17" t="str">
        <f t="shared" si="242"/>
        <v/>
      </c>
    </row>
    <row r="5180" spans="2:6" x14ac:dyDescent="0.2">
      <c r="B5180" s="12"/>
      <c r="C5180" s="12"/>
      <c r="D5180" s="17" t="str">
        <f t="shared" si="243"/>
        <v/>
      </c>
      <c r="E5180" s="18" t="str">
        <f t="shared" si="241"/>
        <v/>
      </c>
      <c r="F5180" s="17" t="str">
        <f t="shared" si="242"/>
        <v/>
      </c>
    </row>
    <row r="5181" spans="2:6" x14ac:dyDescent="0.2">
      <c r="B5181" s="12"/>
      <c r="C5181" s="12"/>
      <c r="D5181" s="17" t="str">
        <f t="shared" si="243"/>
        <v/>
      </c>
      <c r="E5181" s="18" t="str">
        <f t="shared" si="241"/>
        <v/>
      </c>
      <c r="F5181" s="17" t="str">
        <f t="shared" si="242"/>
        <v/>
      </c>
    </row>
    <row r="5182" spans="2:6" x14ac:dyDescent="0.2">
      <c r="B5182" s="12"/>
      <c r="C5182" s="12"/>
      <c r="D5182" s="17" t="str">
        <f t="shared" si="243"/>
        <v/>
      </c>
      <c r="E5182" s="18" t="str">
        <f t="shared" si="241"/>
        <v/>
      </c>
      <c r="F5182" s="17" t="str">
        <f t="shared" si="242"/>
        <v/>
      </c>
    </row>
    <row r="5183" spans="2:6" x14ac:dyDescent="0.2">
      <c r="B5183" s="12"/>
      <c r="C5183" s="12"/>
      <c r="D5183" s="17" t="str">
        <f t="shared" si="243"/>
        <v/>
      </c>
      <c r="E5183" s="18" t="str">
        <f t="shared" si="241"/>
        <v/>
      </c>
      <c r="F5183" s="17" t="str">
        <f t="shared" si="242"/>
        <v/>
      </c>
    </row>
    <row r="5184" spans="2:6" x14ac:dyDescent="0.2">
      <c r="B5184" s="12"/>
      <c r="C5184" s="12"/>
      <c r="D5184" s="17" t="str">
        <f t="shared" si="243"/>
        <v/>
      </c>
      <c r="E5184" s="18" t="str">
        <f t="shared" si="241"/>
        <v/>
      </c>
      <c r="F5184" s="17" t="str">
        <f t="shared" si="242"/>
        <v/>
      </c>
    </row>
    <row r="5185" spans="2:6" x14ac:dyDescent="0.2">
      <c r="B5185" s="12"/>
      <c r="C5185" s="12"/>
      <c r="D5185" s="17" t="str">
        <f t="shared" si="243"/>
        <v/>
      </c>
      <c r="E5185" s="18" t="str">
        <f t="shared" si="241"/>
        <v/>
      </c>
      <c r="F5185" s="17" t="str">
        <f t="shared" si="242"/>
        <v/>
      </c>
    </row>
    <row r="5186" spans="2:6" x14ac:dyDescent="0.2">
      <c r="B5186" s="12"/>
      <c r="C5186" s="12"/>
      <c r="D5186" s="17" t="str">
        <f t="shared" si="243"/>
        <v/>
      </c>
      <c r="E5186" s="18" t="str">
        <f t="shared" si="241"/>
        <v/>
      </c>
      <c r="F5186" s="17" t="str">
        <f t="shared" si="242"/>
        <v/>
      </c>
    </row>
    <row r="5187" spans="2:6" x14ac:dyDescent="0.2">
      <c r="B5187" s="12"/>
      <c r="C5187" s="12"/>
      <c r="D5187" s="17" t="str">
        <f t="shared" si="243"/>
        <v/>
      </c>
      <c r="E5187" s="18" t="str">
        <f t="shared" si="241"/>
        <v/>
      </c>
      <c r="F5187" s="17" t="str">
        <f t="shared" si="242"/>
        <v/>
      </c>
    </row>
    <row r="5188" spans="2:6" x14ac:dyDescent="0.2">
      <c r="B5188" s="12"/>
      <c r="C5188" s="12"/>
      <c r="D5188" s="17" t="str">
        <f t="shared" si="243"/>
        <v/>
      </c>
      <c r="E5188" s="18" t="str">
        <f t="shared" si="241"/>
        <v/>
      </c>
      <c r="F5188" s="17" t="str">
        <f t="shared" si="242"/>
        <v/>
      </c>
    </row>
    <row r="5189" spans="2:6" x14ac:dyDescent="0.2">
      <c r="B5189" s="12"/>
      <c r="C5189" s="12"/>
      <c r="D5189" s="17" t="str">
        <f t="shared" si="243"/>
        <v/>
      </c>
      <c r="E5189" s="18" t="str">
        <f t="shared" ref="E5189:E5252" si="244">IF(B5189="","",ABS(C5189-D5189))</f>
        <v/>
      </c>
      <c r="F5189" s="17" t="str">
        <f t="shared" ref="F5189:F5252" si="245">IF(B5189="","",E5189^2)</f>
        <v/>
      </c>
    </row>
    <row r="5190" spans="2:6" x14ac:dyDescent="0.2">
      <c r="B5190" s="12"/>
      <c r="C5190" s="12"/>
      <c r="D5190" s="17" t="str">
        <f t="shared" si="243"/>
        <v/>
      </c>
      <c r="E5190" s="18" t="str">
        <f t="shared" si="244"/>
        <v/>
      </c>
      <c r="F5190" s="17" t="str">
        <f t="shared" si="245"/>
        <v/>
      </c>
    </row>
    <row r="5191" spans="2:6" x14ac:dyDescent="0.2">
      <c r="B5191" s="12"/>
      <c r="C5191" s="12"/>
      <c r="D5191" s="17" t="str">
        <f t="shared" si="243"/>
        <v/>
      </c>
      <c r="E5191" s="18" t="str">
        <f t="shared" si="244"/>
        <v/>
      </c>
      <c r="F5191" s="17" t="str">
        <f t="shared" si="245"/>
        <v/>
      </c>
    </row>
    <row r="5192" spans="2:6" x14ac:dyDescent="0.2">
      <c r="B5192" s="12"/>
      <c r="C5192" s="12"/>
      <c r="D5192" s="17" t="str">
        <f t="shared" si="243"/>
        <v/>
      </c>
      <c r="E5192" s="18" t="str">
        <f t="shared" si="244"/>
        <v/>
      </c>
      <c r="F5192" s="17" t="str">
        <f t="shared" si="245"/>
        <v/>
      </c>
    </row>
    <row r="5193" spans="2:6" x14ac:dyDescent="0.2">
      <c r="B5193" s="12"/>
      <c r="C5193" s="12"/>
      <c r="D5193" s="17" t="str">
        <f t="shared" si="243"/>
        <v/>
      </c>
      <c r="E5193" s="18" t="str">
        <f t="shared" si="244"/>
        <v/>
      </c>
      <c r="F5193" s="17" t="str">
        <f t="shared" si="245"/>
        <v/>
      </c>
    </row>
    <row r="5194" spans="2:6" x14ac:dyDescent="0.2">
      <c r="B5194" s="12"/>
      <c r="C5194" s="12"/>
      <c r="D5194" s="17" t="str">
        <f t="shared" si="243"/>
        <v/>
      </c>
      <c r="E5194" s="18" t="str">
        <f t="shared" si="244"/>
        <v/>
      </c>
      <c r="F5194" s="17" t="str">
        <f t="shared" si="245"/>
        <v/>
      </c>
    </row>
    <row r="5195" spans="2:6" x14ac:dyDescent="0.2">
      <c r="B5195" s="12"/>
      <c r="C5195" s="12"/>
      <c r="D5195" s="17" t="str">
        <f t="shared" si="243"/>
        <v/>
      </c>
      <c r="E5195" s="18" t="str">
        <f t="shared" si="244"/>
        <v/>
      </c>
      <c r="F5195" s="17" t="str">
        <f t="shared" si="245"/>
        <v/>
      </c>
    </row>
    <row r="5196" spans="2:6" x14ac:dyDescent="0.2">
      <c r="B5196" s="12"/>
      <c r="C5196" s="12"/>
      <c r="D5196" s="17" t="str">
        <f t="shared" si="243"/>
        <v/>
      </c>
      <c r="E5196" s="18" t="str">
        <f t="shared" si="244"/>
        <v/>
      </c>
      <c r="F5196" s="17" t="str">
        <f t="shared" si="245"/>
        <v/>
      </c>
    </row>
    <row r="5197" spans="2:6" x14ac:dyDescent="0.2">
      <c r="B5197" s="12"/>
      <c r="C5197" s="12"/>
      <c r="D5197" s="17" t="str">
        <f t="shared" si="243"/>
        <v/>
      </c>
      <c r="E5197" s="18" t="str">
        <f t="shared" si="244"/>
        <v/>
      </c>
      <c r="F5197" s="17" t="str">
        <f t="shared" si="245"/>
        <v/>
      </c>
    </row>
    <row r="5198" spans="2:6" x14ac:dyDescent="0.2">
      <c r="B5198" s="12"/>
      <c r="C5198" s="12"/>
      <c r="D5198" s="17" t="str">
        <f t="shared" si="243"/>
        <v/>
      </c>
      <c r="E5198" s="18" t="str">
        <f t="shared" si="244"/>
        <v/>
      </c>
      <c r="F5198" s="17" t="str">
        <f t="shared" si="245"/>
        <v/>
      </c>
    </row>
    <row r="5199" spans="2:6" x14ac:dyDescent="0.2">
      <c r="B5199" s="12"/>
      <c r="C5199" s="12"/>
      <c r="D5199" s="17" t="str">
        <f t="shared" si="243"/>
        <v/>
      </c>
      <c r="E5199" s="18" t="str">
        <f t="shared" si="244"/>
        <v/>
      </c>
      <c r="F5199" s="17" t="str">
        <f t="shared" si="245"/>
        <v/>
      </c>
    </row>
    <row r="5200" spans="2:6" x14ac:dyDescent="0.2">
      <c r="B5200" s="12"/>
      <c r="C5200" s="12"/>
      <c r="D5200" s="17" t="str">
        <f t="shared" si="243"/>
        <v/>
      </c>
      <c r="E5200" s="18" t="str">
        <f t="shared" si="244"/>
        <v/>
      </c>
      <c r="F5200" s="17" t="str">
        <f t="shared" si="245"/>
        <v/>
      </c>
    </row>
    <row r="5201" spans="2:6" x14ac:dyDescent="0.2">
      <c r="B5201" s="12"/>
      <c r="C5201" s="12"/>
      <c r="D5201" s="17" t="str">
        <f t="shared" si="243"/>
        <v/>
      </c>
      <c r="E5201" s="18" t="str">
        <f t="shared" si="244"/>
        <v/>
      </c>
      <c r="F5201" s="17" t="str">
        <f t="shared" si="245"/>
        <v/>
      </c>
    </row>
    <row r="5202" spans="2:6" x14ac:dyDescent="0.2">
      <c r="B5202" s="12"/>
      <c r="C5202" s="12"/>
      <c r="D5202" s="17" t="str">
        <f t="shared" ref="D5202:D5265" si="246">IF(B5202="","",a+b*B5202)</f>
        <v/>
      </c>
      <c r="E5202" s="18" t="str">
        <f t="shared" si="244"/>
        <v/>
      </c>
      <c r="F5202" s="17" t="str">
        <f t="shared" si="245"/>
        <v/>
      </c>
    </row>
    <row r="5203" spans="2:6" x14ac:dyDescent="0.2">
      <c r="B5203" s="12"/>
      <c r="C5203" s="12"/>
      <c r="D5203" s="17" t="str">
        <f t="shared" si="246"/>
        <v/>
      </c>
      <c r="E5203" s="18" t="str">
        <f t="shared" si="244"/>
        <v/>
      </c>
      <c r="F5203" s="17" t="str">
        <f t="shared" si="245"/>
        <v/>
      </c>
    </row>
    <row r="5204" spans="2:6" x14ac:dyDescent="0.2">
      <c r="B5204" s="12"/>
      <c r="C5204" s="12"/>
      <c r="D5204" s="17" t="str">
        <f t="shared" si="246"/>
        <v/>
      </c>
      <c r="E5204" s="18" t="str">
        <f t="shared" si="244"/>
        <v/>
      </c>
      <c r="F5204" s="17" t="str">
        <f t="shared" si="245"/>
        <v/>
      </c>
    </row>
    <row r="5205" spans="2:6" x14ac:dyDescent="0.2">
      <c r="B5205" s="12"/>
      <c r="C5205" s="12"/>
      <c r="D5205" s="17" t="str">
        <f t="shared" si="246"/>
        <v/>
      </c>
      <c r="E5205" s="18" t="str">
        <f t="shared" si="244"/>
        <v/>
      </c>
      <c r="F5205" s="17" t="str">
        <f t="shared" si="245"/>
        <v/>
      </c>
    </row>
    <row r="5206" spans="2:6" x14ac:dyDescent="0.2">
      <c r="B5206" s="12"/>
      <c r="C5206" s="12"/>
      <c r="D5206" s="17" t="str">
        <f t="shared" si="246"/>
        <v/>
      </c>
      <c r="E5206" s="18" t="str">
        <f t="shared" si="244"/>
        <v/>
      </c>
      <c r="F5206" s="17" t="str">
        <f t="shared" si="245"/>
        <v/>
      </c>
    </row>
    <row r="5207" spans="2:6" x14ac:dyDescent="0.2">
      <c r="B5207" s="12"/>
      <c r="C5207" s="12"/>
      <c r="D5207" s="17" t="str">
        <f t="shared" si="246"/>
        <v/>
      </c>
      <c r="E5207" s="18" t="str">
        <f t="shared" si="244"/>
        <v/>
      </c>
      <c r="F5207" s="17" t="str">
        <f t="shared" si="245"/>
        <v/>
      </c>
    </row>
    <row r="5208" spans="2:6" x14ac:dyDescent="0.2">
      <c r="B5208" s="12"/>
      <c r="C5208" s="12"/>
      <c r="D5208" s="17" t="str">
        <f t="shared" si="246"/>
        <v/>
      </c>
      <c r="E5208" s="18" t="str">
        <f t="shared" si="244"/>
        <v/>
      </c>
      <c r="F5208" s="17" t="str">
        <f t="shared" si="245"/>
        <v/>
      </c>
    </row>
    <row r="5209" spans="2:6" x14ac:dyDescent="0.2">
      <c r="B5209" s="12"/>
      <c r="C5209" s="12"/>
      <c r="D5209" s="17" t="str">
        <f t="shared" si="246"/>
        <v/>
      </c>
      <c r="E5209" s="18" t="str">
        <f t="shared" si="244"/>
        <v/>
      </c>
      <c r="F5209" s="17" t="str">
        <f t="shared" si="245"/>
        <v/>
      </c>
    </row>
    <row r="5210" spans="2:6" x14ac:dyDescent="0.2">
      <c r="B5210" s="12"/>
      <c r="C5210" s="12"/>
      <c r="D5210" s="17" t="str">
        <f t="shared" si="246"/>
        <v/>
      </c>
      <c r="E5210" s="18" t="str">
        <f t="shared" si="244"/>
        <v/>
      </c>
      <c r="F5210" s="17" t="str">
        <f t="shared" si="245"/>
        <v/>
      </c>
    </row>
    <row r="5211" spans="2:6" x14ac:dyDescent="0.2">
      <c r="B5211" s="12"/>
      <c r="C5211" s="12"/>
      <c r="D5211" s="17" t="str">
        <f t="shared" si="246"/>
        <v/>
      </c>
      <c r="E5211" s="18" t="str">
        <f t="shared" si="244"/>
        <v/>
      </c>
      <c r="F5211" s="17" t="str">
        <f t="shared" si="245"/>
        <v/>
      </c>
    </row>
    <row r="5212" spans="2:6" x14ac:dyDescent="0.2">
      <c r="B5212" s="12"/>
      <c r="C5212" s="12"/>
      <c r="D5212" s="17" t="str">
        <f t="shared" si="246"/>
        <v/>
      </c>
      <c r="E5212" s="18" t="str">
        <f t="shared" si="244"/>
        <v/>
      </c>
      <c r="F5212" s="17" t="str">
        <f t="shared" si="245"/>
        <v/>
      </c>
    </row>
    <row r="5213" spans="2:6" x14ac:dyDescent="0.2">
      <c r="B5213" s="12"/>
      <c r="C5213" s="12"/>
      <c r="D5213" s="17" t="str">
        <f t="shared" si="246"/>
        <v/>
      </c>
      <c r="E5213" s="18" t="str">
        <f t="shared" si="244"/>
        <v/>
      </c>
      <c r="F5213" s="17" t="str">
        <f t="shared" si="245"/>
        <v/>
      </c>
    </row>
    <row r="5214" spans="2:6" x14ac:dyDescent="0.2">
      <c r="B5214" s="12"/>
      <c r="C5214" s="12"/>
      <c r="D5214" s="17" t="str">
        <f t="shared" si="246"/>
        <v/>
      </c>
      <c r="E5214" s="18" t="str">
        <f t="shared" si="244"/>
        <v/>
      </c>
      <c r="F5214" s="17" t="str">
        <f t="shared" si="245"/>
        <v/>
      </c>
    </row>
    <row r="5215" spans="2:6" x14ac:dyDescent="0.2">
      <c r="B5215" s="12"/>
      <c r="C5215" s="12"/>
      <c r="D5215" s="17" t="str">
        <f t="shared" si="246"/>
        <v/>
      </c>
      <c r="E5215" s="18" t="str">
        <f t="shared" si="244"/>
        <v/>
      </c>
      <c r="F5215" s="17" t="str">
        <f t="shared" si="245"/>
        <v/>
      </c>
    </row>
    <row r="5216" spans="2:6" x14ac:dyDescent="0.2">
      <c r="B5216" s="12"/>
      <c r="C5216" s="12"/>
      <c r="D5216" s="17" t="str">
        <f t="shared" si="246"/>
        <v/>
      </c>
      <c r="E5216" s="18" t="str">
        <f t="shared" si="244"/>
        <v/>
      </c>
      <c r="F5216" s="17" t="str">
        <f t="shared" si="245"/>
        <v/>
      </c>
    </row>
    <row r="5217" spans="2:6" x14ac:dyDescent="0.2">
      <c r="B5217" s="12"/>
      <c r="C5217" s="12"/>
      <c r="D5217" s="17" t="str">
        <f t="shared" si="246"/>
        <v/>
      </c>
      <c r="E5217" s="18" t="str">
        <f t="shared" si="244"/>
        <v/>
      </c>
      <c r="F5217" s="17" t="str">
        <f t="shared" si="245"/>
        <v/>
      </c>
    </row>
    <row r="5218" spans="2:6" x14ac:dyDescent="0.2">
      <c r="B5218" s="12"/>
      <c r="C5218" s="12"/>
      <c r="D5218" s="17" t="str">
        <f t="shared" si="246"/>
        <v/>
      </c>
      <c r="E5218" s="18" t="str">
        <f t="shared" si="244"/>
        <v/>
      </c>
      <c r="F5218" s="17" t="str">
        <f t="shared" si="245"/>
        <v/>
      </c>
    </row>
    <row r="5219" spans="2:6" x14ac:dyDescent="0.2">
      <c r="B5219" s="12"/>
      <c r="C5219" s="12"/>
      <c r="D5219" s="17" t="str">
        <f t="shared" si="246"/>
        <v/>
      </c>
      <c r="E5219" s="18" t="str">
        <f t="shared" si="244"/>
        <v/>
      </c>
      <c r="F5219" s="17" t="str">
        <f t="shared" si="245"/>
        <v/>
      </c>
    </row>
    <row r="5220" spans="2:6" x14ac:dyDescent="0.2">
      <c r="B5220" s="12"/>
      <c r="C5220" s="12"/>
      <c r="D5220" s="17" t="str">
        <f t="shared" si="246"/>
        <v/>
      </c>
      <c r="E5220" s="18" t="str">
        <f t="shared" si="244"/>
        <v/>
      </c>
      <c r="F5220" s="17" t="str">
        <f t="shared" si="245"/>
        <v/>
      </c>
    </row>
    <row r="5221" spans="2:6" x14ac:dyDescent="0.2">
      <c r="B5221" s="12"/>
      <c r="C5221" s="12"/>
      <c r="D5221" s="17" t="str">
        <f t="shared" si="246"/>
        <v/>
      </c>
      <c r="E5221" s="18" t="str">
        <f t="shared" si="244"/>
        <v/>
      </c>
      <c r="F5221" s="17" t="str">
        <f t="shared" si="245"/>
        <v/>
      </c>
    </row>
    <row r="5222" spans="2:6" x14ac:dyDescent="0.2">
      <c r="B5222" s="12"/>
      <c r="C5222" s="12"/>
      <c r="D5222" s="17" t="str">
        <f t="shared" si="246"/>
        <v/>
      </c>
      <c r="E5222" s="18" t="str">
        <f t="shared" si="244"/>
        <v/>
      </c>
      <c r="F5222" s="17" t="str">
        <f t="shared" si="245"/>
        <v/>
      </c>
    </row>
    <row r="5223" spans="2:6" x14ac:dyDescent="0.2">
      <c r="B5223" s="12"/>
      <c r="C5223" s="12"/>
      <c r="D5223" s="17" t="str">
        <f t="shared" si="246"/>
        <v/>
      </c>
      <c r="E5223" s="18" t="str">
        <f t="shared" si="244"/>
        <v/>
      </c>
      <c r="F5223" s="17" t="str">
        <f t="shared" si="245"/>
        <v/>
      </c>
    </row>
    <row r="5224" spans="2:6" x14ac:dyDescent="0.2">
      <c r="B5224" s="12"/>
      <c r="C5224" s="12"/>
      <c r="D5224" s="17" t="str">
        <f t="shared" si="246"/>
        <v/>
      </c>
      <c r="E5224" s="18" t="str">
        <f t="shared" si="244"/>
        <v/>
      </c>
      <c r="F5224" s="17" t="str">
        <f t="shared" si="245"/>
        <v/>
      </c>
    </row>
    <row r="5225" spans="2:6" x14ac:dyDescent="0.2">
      <c r="B5225" s="12"/>
      <c r="C5225" s="12"/>
      <c r="D5225" s="17" t="str">
        <f t="shared" si="246"/>
        <v/>
      </c>
      <c r="E5225" s="18" t="str">
        <f t="shared" si="244"/>
        <v/>
      </c>
      <c r="F5225" s="17" t="str">
        <f t="shared" si="245"/>
        <v/>
      </c>
    </row>
    <row r="5226" spans="2:6" x14ac:dyDescent="0.2">
      <c r="B5226" s="12"/>
      <c r="C5226" s="12"/>
      <c r="D5226" s="17" t="str">
        <f t="shared" si="246"/>
        <v/>
      </c>
      <c r="E5226" s="18" t="str">
        <f t="shared" si="244"/>
        <v/>
      </c>
      <c r="F5226" s="17" t="str">
        <f t="shared" si="245"/>
        <v/>
      </c>
    </row>
    <row r="5227" spans="2:6" x14ac:dyDescent="0.2">
      <c r="B5227" s="12"/>
      <c r="C5227" s="12"/>
      <c r="D5227" s="17" t="str">
        <f t="shared" si="246"/>
        <v/>
      </c>
      <c r="E5227" s="18" t="str">
        <f t="shared" si="244"/>
        <v/>
      </c>
      <c r="F5227" s="17" t="str">
        <f t="shared" si="245"/>
        <v/>
      </c>
    </row>
    <row r="5228" spans="2:6" x14ac:dyDescent="0.2">
      <c r="B5228" s="12"/>
      <c r="C5228" s="12"/>
      <c r="D5228" s="17" t="str">
        <f t="shared" si="246"/>
        <v/>
      </c>
      <c r="E5228" s="18" t="str">
        <f t="shared" si="244"/>
        <v/>
      </c>
      <c r="F5228" s="17" t="str">
        <f t="shared" si="245"/>
        <v/>
      </c>
    </row>
    <row r="5229" spans="2:6" x14ac:dyDescent="0.2">
      <c r="B5229" s="12"/>
      <c r="C5229" s="12"/>
      <c r="D5229" s="17" t="str">
        <f t="shared" si="246"/>
        <v/>
      </c>
      <c r="E5229" s="18" t="str">
        <f t="shared" si="244"/>
        <v/>
      </c>
      <c r="F5229" s="17" t="str">
        <f t="shared" si="245"/>
        <v/>
      </c>
    </row>
    <row r="5230" spans="2:6" x14ac:dyDescent="0.2">
      <c r="B5230" s="12"/>
      <c r="C5230" s="12"/>
      <c r="D5230" s="17" t="str">
        <f t="shared" si="246"/>
        <v/>
      </c>
      <c r="E5230" s="18" t="str">
        <f t="shared" si="244"/>
        <v/>
      </c>
      <c r="F5230" s="17" t="str">
        <f t="shared" si="245"/>
        <v/>
      </c>
    </row>
    <row r="5231" spans="2:6" x14ac:dyDescent="0.2">
      <c r="B5231" s="12"/>
      <c r="C5231" s="12"/>
      <c r="D5231" s="17" t="str">
        <f t="shared" si="246"/>
        <v/>
      </c>
      <c r="E5231" s="18" t="str">
        <f t="shared" si="244"/>
        <v/>
      </c>
      <c r="F5231" s="17" t="str">
        <f t="shared" si="245"/>
        <v/>
      </c>
    </row>
    <row r="5232" spans="2:6" x14ac:dyDescent="0.2">
      <c r="B5232" s="12"/>
      <c r="C5232" s="12"/>
      <c r="D5232" s="17" t="str">
        <f t="shared" si="246"/>
        <v/>
      </c>
      <c r="E5232" s="18" t="str">
        <f t="shared" si="244"/>
        <v/>
      </c>
      <c r="F5232" s="17" t="str">
        <f t="shared" si="245"/>
        <v/>
      </c>
    </row>
    <row r="5233" spans="2:6" x14ac:dyDescent="0.2">
      <c r="B5233" s="12"/>
      <c r="C5233" s="12"/>
      <c r="D5233" s="17" t="str">
        <f t="shared" si="246"/>
        <v/>
      </c>
      <c r="E5233" s="18" t="str">
        <f t="shared" si="244"/>
        <v/>
      </c>
      <c r="F5233" s="17" t="str">
        <f t="shared" si="245"/>
        <v/>
      </c>
    </row>
    <row r="5234" spans="2:6" x14ac:dyDescent="0.2">
      <c r="B5234" s="12"/>
      <c r="C5234" s="12"/>
      <c r="D5234" s="17" t="str">
        <f t="shared" si="246"/>
        <v/>
      </c>
      <c r="E5234" s="18" t="str">
        <f t="shared" si="244"/>
        <v/>
      </c>
      <c r="F5234" s="17" t="str">
        <f t="shared" si="245"/>
        <v/>
      </c>
    </row>
    <row r="5235" spans="2:6" x14ac:dyDescent="0.2">
      <c r="B5235" s="12"/>
      <c r="C5235" s="12"/>
      <c r="D5235" s="17" t="str">
        <f t="shared" si="246"/>
        <v/>
      </c>
      <c r="E5235" s="18" t="str">
        <f t="shared" si="244"/>
        <v/>
      </c>
      <c r="F5235" s="17" t="str">
        <f t="shared" si="245"/>
        <v/>
      </c>
    </row>
    <row r="5236" spans="2:6" x14ac:dyDescent="0.2">
      <c r="B5236" s="12"/>
      <c r="C5236" s="12"/>
      <c r="D5236" s="17" t="str">
        <f t="shared" si="246"/>
        <v/>
      </c>
      <c r="E5236" s="18" t="str">
        <f t="shared" si="244"/>
        <v/>
      </c>
      <c r="F5236" s="17" t="str">
        <f t="shared" si="245"/>
        <v/>
      </c>
    </row>
    <row r="5237" spans="2:6" x14ac:dyDescent="0.2">
      <c r="B5237" s="12"/>
      <c r="C5237" s="12"/>
      <c r="D5237" s="17" t="str">
        <f t="shared" si="246"/>
        <v/>
      </c>
      <c r="E5237" s="18" t="str">
        <f t="shared" si="244"/>
        <v/>
      </c>
      <c r="F5237" s="17" t="str">
        <f t="shared" si="245"/>
        <v/>
      </c>
    </row>
    <row r="5238" spans="2:6" x14ac:dyDescent="0.2">
      <c r="B5238" s="12"/>
      <c r="C5238" s="12"/>
      <c r="D5238" s="17" t="str">
        <f t="shared" si="246"/>
        <v/>
      </c>
      <c r="E5238" s="18" t="str">
        <f t="shared" si="244"/>
        <v/>
      </c>
      <c r="F5238" s="17" t="str">
        <f t="shared" si="245"/>
        <v/>
      </c>
    </row>
    <row r="5239" spans="2:6" x14ac:dyDescent="0.2">
      <c r="B5239" s="12"/>
      <c r="C5239" s="12"/>
      <c r="D5239" s="17" t="str">
        <f t="shared" si="246"/>
        <v/>
      </c>
      <c r="E5239" s="18" t="str">
        <f t="shared" si="244"/>
        <v/>
      </c>
      <c r="F5239" s="17" t="str">
        <f t="shared" si="245"/>
        <v/>
      </c>
    </row>
    <row r="5240" spans="2:6" x14ac:dyDescent="0.2">
      <c r="B5240" s="12"/>
      <c r="C5240" s="12"/>
      <c r="D5240" s="17" t="str">
        <f t="shared" si="246"/>
        <v/>
      </c>
      <c r="E5240" s="18" t="str">
        <f t="shared" si="244"/>
        <v/>
      </c>
      <c r="F5240" s="17" t="str">
        <f t="shared" si="245"/>
        <v/>
      </c>
    </row>
    <row r="5241" spans="2:6" x14ac:dyDescent="0.2">
      <c r="B5241" s="12"/>
      <c r="C5241" s="12"/>
      <c r="D5241" s="17" t="str">
        <f t="shared" si="246"/>
        <v/>
      </c>
      <c r="E5241" s="18" t="str">
        <f t="shared" si="244"/>
        <v/>
      </c>
      <c r="F5241" s="17" t="str">
        <f t="shared" si="245"/>
        <v/>
      </c>
    </row>
    <row r="5242" spans="2:6" x14ac:dyDescent="0.2">
      <c r="B5242" s="12"/>
      <c r="C5242" s="12"/>
      <c r="D5242" s="17" t="str">
        <f t="shared" si="246"/>
        <v/>
      </c>
      <c r="E5242" s="18" t="str">
        <f t="shared" si="244"/>
        <v/>
      </c>
      <c r="F5242" s="17" t="str">
        <f t="shared" si="245"/>
        <v/>
      </c>
    </row>
    <row r="5243" spans="2:6" x14ac:dyDescent="0.2">
      <c r="B5243" s="12"/>
      <c r="C5243" s="12"/>
      <c r="D5243" s="17" t="str">
        <f t="shared" si="246"/>
        <v/>
      </c>
      <c r="E5243" s="18" t="str">
        <f t="shared" si="244"/>
        <v/>
      </c>
      <c r="F5243" s="17" t="str">
        <f t="shared" si="245"/>
        <v/>
      </c>
    </row>
    <row r="5244" spans="2:6" x14ac:dyDescent="0.2">
      <c r="B5244" s="12"/>
      <c r="C5244" s="12"/>
      <c r="D5244" s="17" t="str">
        <f t="shared" si="246"/>
        <v/>
      </c>
      <c r="E5244" s="18" t="str">
        <f t="shared" si="244"/>
        <v/>
      </c>
      <c r="F5244" s="17" t="str">
        <f t="shared" si="245"/>
        <v/>
      </c>
    </row>
    <row r="5245" spans="2:6" x14ac:dyDescent="0.2">
      <c r="B5245" s="12"/>
      <c r="C5245" s="12"/>
      <c r="D5245" s="17" t="str">
        <f t="shared" si="246"/>
        <v/>
      </c>
      <c r="E5245" s="18" t="str">
        <f t="shared" si="244"/>
        <v/>
      </c>
      <c r="F5245" s="17" t="str">
        <f t="shared" si="245"/>
        <v/>
      </c>
    </row>
    <row r="5246" spans="2:6" x14ac:dyDescent="0.2">
      <c r="B5246" s="12"/>
      <c r="C5246" s="12"/>
      <c r="D5246" s="17" t="str">
        <f t="shared" si="246"/>
        <v/>
      </c>
      <c r="E5246" s="18" t="str">
        <f t="shared" si="244"/>
        <v/>
      </c>
      <c r="F5246" s="17" t="str">
        <f t="shared" si="245"/>
        <v/>
      </c>
    </row>
    <row r="5247" spans="2:6" x14ac:dyDescent="0.2">
      <c r="B5247" s="12"/>
      <c r="C5247" s="12"/>
      <c r="D5247" s="17" t="str">
        <f t="shared" si="246"/>
        <v/>
      </c>
      <c r="E5247" s="18" t="str">
        <f t="shared" si="244"/>
        <v/>
      </c>
      <c r="F5247" s="17" t="str">
        <f t="shared" si="245"/>
        <v/>
      </c>
    </row>
    <row r="5248" spans="2:6" x14ac:dyDescent="0.2">
      <c r="B5248" s="12"/>
      <c r="C5248" s="12"/>
      <c r="D5248" s="17" t="str">
        <f t="shared" si="246"/>
        <v/>
      </c>
      <c r="E5248" s="18" t="str">
        <f t="shared" si="244"/>
        <v/>
      </c>
      <c r="F5248" s="17" t="str">
        <f t="shared" si="245"/>
        <v/>
      </c>
    </row>
    <row r="5249" spans="2:6" x14ac:dyDescent="0.2">
      <c r="B5249" s="12"/>
      <c r="C5249" s="12"/>
      <c r="D5249" s="17" t="str">
        <f t="shared" si="246"/>
        <v/>
      </c>
      <c r="E5249" s="18" t="str">
        <f t="shared" si="244"/>
        <v/>
      </c>
      <c r="F5249" s="17" t="str">
        <f t="shared" si="245"/>
        <v/>
      </c>
    </row>
    <row r="5250" spans="2:6" x14ac:dyDescent="0.2">
      <c r="B5250" s="12"/>
      <c r="C5250" s="12"/>
      <c r="D5250" s="17" t="str">
        <f t="shared" si="246"/>
        <v/>
      </c>
      <c r="E5250" s="18" t="str">
        <f t="shared" si="244"/>
        <v/>
      </c>
      <c r="F5250" s="17" t="str">
        <f t="shared" si="245"/>
        <v/>
      </c>
    </row>
    <row r="5251" spans="2:6" x14ac:dyDescent="0.2">
      <c r="B5251" s="12"/>
      <c r="C5251" s="12"/>
      <c r="D5251" s="17" t="str">
        <f t="shared" si="246"/>
        <v/>
      </c>
      <c r="E5251" s="18" t="str">
        <f t="shared" si="244"/>
        <v/>
      </c>
      <c r="F5251" s="17" t="str">
        <f t="shared" si="245"/>
        <v/>
      </c>
    </row>
    <row r="5252" spans="2:6" x14ac:dyDescent="0.2">
      <c r="B5252" s="12"/>
      <c r="C5252" s="12"/>
      <c r="D5252" s="17" t="str">
        <f t="shared" si="246"/>
        <v/>
      </c>
      <c r="E5252" s="18" t="str">
        <f t="shared" si="244"/>
        <v/>
      </c>
      <c r="F5252" s="17" t="str">
        <f t="shared" si="245"/>
        <v/>
      </c>
    </row>
    <row r="5253" spans="2:6" x14ac:dyDescent="0.2">
      <c r="B5253" s="12"/>
      <c r="C5253" s="12"/>
      <c r="D5253" s="17" t="str">
        <f t="shared" si="246"/>
        <v/>
      </c>
      <c r="E5253" s="18" t="str">
        <f t="shared" ref="E5253:E5285" si="247">IF(B5253="","",ABS(C5253-D5253))</f>
        <v/>
      </c>
      <c r="F5253" s="17" t="str">
        <f t="shared" ref="F5253:F5285" si="248">IF(B5253="","",E5253^2)</f>
        <v/>
      </c>
    </row>
    <row r="5254" spans="2:6" x14ac:dyDescent="0.2">
      <c r="B5254" s="12"/>
      <c r="C5254" s="12"/>
      <c r="D5254" s="17" t="str">
        <f t="shared" si="246"/>
        <v/>
      </c>
      <c r="E5254" s="18" t="str">
        <f t="shared" si="247"/>
        <v/>
      </c>
      <c r="F5254" s="17" t="str">
        <f t="shared" si="248"/>
        <v/>
      </c>
    </row>
    <row r="5255" spans="2:6" x14ac:dyDescent="0.2">
      <c r="B5255" s="12"/>
      <c r="C5255" s="12"/>
      <c r="D5255" s="17" t="str">
        <f t="shared" si="246"/>
        <v/>
      </c>
      <c r="E5255" s="18" t="str">
        <f t="shared" si="247"/>
        <v/>
      </c>
      <c r="F5255" s="17" t="str">
        <f t="shared" si="248"/>
        <v/>
      </c>
    </row>
    <row r="5256" spans="2:6" x14ac:dyDescent="0.2">
      <c r="B5256" s="12"/>
      <c r="C5256" s="12"/>
      <c r="D5256" s="17" t="str">
        <f t="shared" si="246"/>
        <v/>
      </c>
      <c r="E5256" s="18" t="str">
        <f t="shared" si="247"/>
        <v/>
      </c>
      <c r="F5256" s="17" t="str">
        <f t="shared" si="248"/>
        <v/>
      </c>
    </row>
    <row r="5257" spans="2:6" x14ac:dyDescent="0.2">
      <c r="B5257" s="12"/>
      <c r="C5257" s="12"/>
      <c r="D5257" s="17" t="str">
        <f t="shared" si="246"/>
        <v/>
      </c>
      <c r="E5257" s="18" t="str">
        <f t="shared" si="247"/>
        <v/>
      </c>
      <c r="F5257" s="17" t="str">
        <f t="shared" si="248"/>
        <v/>
      </c>
    </row>
    <row r="5258" spans="2:6" x14ac:dyDescent="0.2">
      <c r="B5258" s="12"/>
      <c r="C5258" s="12"/>
      <c r="D5258" s="17" t="str">
        <f t="shared" si="246"/>
        <v/>
      </c>
      <c r="E5258" s="18" t="str">
        <f t="shared" si="247"/>
        <v/>
      </c>
      <c r="F5258" s="17" t="str">
        <f t="shared" si="248"/>
        <v/>
      </c>
    </row>
    <row r="5259" spans="2:6" x14ac:dyDescent="0.2">
      <c r="B5259" s="12"/>
      <c r="C5259" s="12"/>
      <c r="D5259" s="17" t="str">
        <f t="shared" si="246"/>
        <v/>
      </c>
      <c r="E5259" s="18" t="str">
        <f t="shared" si="247"/>
        <v/>
      </c>
      <c r="F5259" s="17" t="str">
        <f t="shared" si="248"/>
        <v/>
      </c>
    </row>
    <row r="5260" spans="2:6" x14ac:dyDescent="0.2">
      <c r="B5260" s="12"/>
      <c r="C5260" s="12"/>
      <c r="D5260" s="17" t="str">
        <f t="shared" si="246"/>
        <v/>
      </c>
      <c r="E5260" s="18" t="str">
        <f t="shared" si="247"/>
        <v/>
      </c>
      <c r="F5260" s="17" t="str">
        <f t="shared" si="248"/>
        <v/>
      </c>
    </row>
    <row r="5261" spans="2:6" x14ac:dyDescent="0.2">
      <c r="B5261" s="12"/>
      <c r="C5261" s="12"/>
      <c r="D5261" s="17" t="str">
        <f t="shared" si="246"/>
        <v/>
      </c>
      <c r="E5261" s="18" t="str">
        <f t="shared" si="247"/>
        <v/>
      </c>
      <c r="F5261" s="17" t="str">
        <f t="shared" si="248"/>
        <v/>
      </c>
    </row>
    <row r="5262" spans="2:6" x14ac:dyDescent="0.2">
      <c r="B5262" s="12"/>
      <c r="C5262" s="12"/>
      <c r="D5262" s="17" t="str">
        <f t="shared" si="246"/>
        <v/>
      </c>
      <c r="E5262" s="18" t="str">
        <f t="shared" si="247"/>
        <v/>
      </c>
      <c r="F5262" s="17" t="str">
        <f t="shared" si="248"/>
        <v/>
      </c>
    </row>
    <row r="5263" spans="2:6" x14ac:dyDescent="0.2">
      <c r="B5263" s="12"/>
      <c r="C5263" s="12"/>
      <c r="D5263" s="17" t="str">
        <f t="shared" si="246"/>
        <v/>
      </c>
      <c r="E5263" s="18" t="str">
        <f t="shared" si="247"/>
        <v/>
      </c>
      <c r="F5263" s="17" t="str">
        <f t="shared" si="248"/>
        <v/>
      </c>
    </row>
    <row r="5264" spans="2:6" x14ac:dyDescent="0.2">
      <c r="B5264" s="12"/>
      <c r="C5264" s="12"/>
      <c r="D5264" s="17" t="str">
        <f t="shared" si="246"/>
        <v/>
      </c>
      <c r="E5264" s="18" t="str">
        <f t="shared" si="247"/>
        <v/>
      </c>
      <c r="F5264" s="17" t="str">
        <f t="shared" si="248"/>
        <v/>
      </c>
    </row>
    <row r="5265" spans="2:6" x14ac:dyDescent="0.2">
      <c r="B5265" s="12"/>
      <c r="C5265" s="12"/>
      <c r="D5265" s="17" t="str">
        <f t="shared" si="246"/>
        <v/>
      </c>
      <c r="E5265" s="18" t="str">
        <f t="shared" si="247"/>
        <v/>
      </c>
      <c r="F5265" s="17" t="str">
        <f t="shared" si="248"/>
        <v/>
      </c>
    </row>
    <row r="5266" spans="2:6" x14ac:dyDescent="0.2">
      <c r="B5266" s="12"/>
      <c r="C5266" s="12"/>
      <c r="D5266" s="17" t="str">
        <f t="shared" ref="D5266:D5285" si="249">IF(B5266="","",a+b*B5266)</f>
        <v/>
      </c>
      <c r="E5266" s="18" t="str">
        <f t="shared" si="247"/>
        <v/>
      </c>
      <c r="F5266" s="17" t="str">
        <f t="shared" si="248"/>
        <v/>
      </c>
    </row>
    <row r="5267" spans="2:6" x14ac:dyDescent="0.2">
      <c r="B5267" s="12"/>
      <c r="C5267" s="12"/>
      <c r="D5267" s="17" t="str">
        <f t="shared" si="249"/>
        <v/>
      </c>
      <c r="E5267" s="18" t="str">
        <f t="shared" si="247"/>
        <v/>
      </c>
      <c r="F5267" s="17" t="str">
        <f t="shared" si="248"/>
        <v/>
      </c>
    </row>
    <row r="5268" spans="2:6" x14ac:dyDescent="0.2">
      <c r="B5268" s="12"/>
      <c r="C5268" s="12"/>
      <c r="D5268" s="17" t="str">
        <f t="shared" si="249"/>
        <v/>
      </c>
      <c r="E5268" s="18" t="str">
        <f t="shared" si="247"/>
        <v/>
      </c>
      <c r="F5268" s="17" t="str">
        <f t="shared" si="248"/>
        <v/>
      </c>
    </row>
    <row r="5269" spans="2:6" x14ac:dyDescent="0.2">
      <c r="B5269" s="12"/>
      <c r="C5269" s="12"/>
      <c r="D5269" s="17" t="str">
        <f t="shared" si="249"/>
        <v/>
      </c>
      <c r="E5269" s="18" t="str">
        <f t="shared" si="247"/>
        <v/>
      </c>
      <c r="F5269" s="17" t="str">
        <f t="shared" si="248"/>
        <v/>
      </c>
    </row>
    <row r="5270" spans="2:6" x14ac:dyDescent="0.2">
      <c r="B5270" s="12"/>
      <c r="C5270" s="12"/>
      <c r="D5270" s="17" t="str">
        <f t="shared" si="249"/>
        <v/>
      </c>
      <c r="E5270" s="18" t="str">
        <f t="shared" si="247"/>
        <v/>
      </c>
      <c r="F5270" s="17" t="str">
        <f t="shared" si="248"/>
        <v/>
      </c>
    </row>
    <row r="5271" spans="2:6" x14ac:dyDescent="0.2">
      <c r="B5271" s="12"/>
      <c r="C5271" s="12"/>
      <c r="D5271" s="17" t="str">
        <f t="shared" si="249"/>
        <v/>
      </c>
      <c r="E5271" s="18" t="str">
        <f t="shared" si="247"/>
        <v/>
      </c>
      <c r="F5271" s="17" t="str">
        <f t="shared" si="248"/>
        <v/>
      </c>
    </row>
    <row r="5272" spans="2:6" x14ac:dyDescent="0.2">
      <c r="B5272" s="12"/>
      <c r="C5272" s="12"/>
      <c r="D5272" s="17" t="str">
        <f t="shared" si="249"/>
        <v/>
      </c>
      <c r="E5272" s="18" t="str">
        <f t="shared" si="247"/>
        <v/>
      </c>
      <c r="F5272" s="17" t="str">
        <f t="shared" si="248"/>
        <v/>
      </c>
    </row>
    <row r="5273" spans="2:6" x14ac:dyDescent="0.2">
      <c r="B5273" s="12"/>
      <c r="C5273" s="12"/>
      <c r="D5273" s="17" t="str">
        <f t="shared" si="249"/>
        <v/>
      </c>
      <c r="E5273" s="18" t="str">
        <f t="shared" si="247"/>
        <v/>
      </c>
      <c r="F5273" s="17" t="str">
        <f t="shared" si="248"/>
        <v/>
      </c>
    </row>
    <row r="5274" spans="2:6" x14ac:dyDescent="0.2">
      <c r="B5274" s="12"/>
      <c r="C5274" s="12"/>
      <c r="D5274" s="17" t="str">
        <f t="shared" si="249"/>
        <v/>
      </c>
      <c r="E5274" s="18" t="str">
        <f t="shared" si="247"/>
        <v/>
      </c>
      <c r="F5274" s="17" t="str">
        <f t="shared" si="248"/>
        <v/>
      </c>
    </row>
    <row r="5275" spans="2:6" x14ac:dyDescent="0.2">
      <c r="B5275" s="12"/>
      <c r="C5275" s="12"/>
      <c r="D5275" s="17" t="str">
        <f t="shared" si="249"/>
        <v/>
      </c>
      <c r="E5275" s="18" t="str">
        <f t="shared" si="247"/>
        <v/>
      </c>
      <c r="F5275" s="17" t="str">
        <f t="shared" si="248"/>
        <v/>
      </c>
    </row>
    <row r="5276" spans="2:6" x14ac:dyDescent="0.2">
      <c r="B5276" s="12"/>
      <c r="C5276" s="12"/>
      <c r="D5276" s="17" t="str">
        <f t="shared" si="249"/>
        <v/>
      </c>
      <c r="E5276" s="18" t="str">
        <f t="shared" si="247"/>
        <v/>
      </c>
      <c r="F5276" s="17" t="str">
        <f t="shared" si="248"/>
        <v/>
      </c>
    </row>
    <row r="5277" spans="2:6" x14ac:dyDescent="0.2">
      <c r="B5277" s="12"/>
      <c r="C5277" s="12"/>
      <c r="D5277" s="17" t="str">
        <f t="shared" si="249"/>
        <v/>
      </c>
      <c r="E5277" s="18" t="str">
        <f t="shared" si="247"/>
        <v/>
      </c>
      <c r="F5277" s="17" t="str">
        <f t="shared" si="248"/>
        <v/>
      </c>
    </row>
    <row r="5278" spans="2:6" x14ac:dyDescent="0.2">
      <c r="B5278" s="12"/>
      <c r="C5278" s="12"/>
      <c r="D5278" s="17" t="str">
        <f t="shared" si="249"/>
        <v/>
      </c>
      <c r="E5278" s="18" t="str">
        <f t="shared" si="247"/>
        <v/>
      </c>
      <c r="F5278" s="17" t="str">
        <f t="shared" si="248"/>
        <v/>
      </c>
    </row>
    <row r="5279" spans="2:6" x14ac:dyDescent="0.2">
      <c r="B5279" s="12"/>
      <c r="C5279" s="12"/>
      <c r="D5279" s="17" t="str">
        <f t="shared" si="249"/>
        <v/>
      </c>
      <c r="E5279" s="18" t="str">
        <f t="shared" si="247"/>
        <v/>
      </c>
      <c r="F5279" s="17" t="str">
        <f t="shared" si="248"/>
        <v/>
      </c>
    </row>
    <row r="5280" spans="2:6" x14ac:dyDescent="0.2">
      <c r="B5280" s="12"/>
      <c r="C5280" s="12"/>
      <c r="D5280" s="17" t="str">
        <f t="shared" si="249"/>
        <v/>
      </c>
      <c r="E5280" s="18" t="str">
        <f t="shared" si="247"/>
        <v/>
      </c>
      <c r="F5280" s="17" t="str">
        <f t="shared" si="248"/>
        <v/>
      </c>
    </row>
    <row r="5281" spans="2:6" x14ac:dyDescent="0.2">
      <c r="B5281" s="12"/>
      <c r="C5281" s="12"/>
      <c r="D5281" s="17" t="str">
        <f t="shared" si="249"/>
        <v/>
      </c>
      <c r="E5281" s="18" t="str">
        <f t="shared" si="247"/>
        <v/>
      </c>
      <c r="F5281" s="17" t="str">
        <f t="shared" si="248"/>
        <v/>
      </c>
    </row>
    <row r="5282" spans="2:6" x14ac:dyDescent="0.2">
      <c r="B5282" s="12"/>
      <c r="C5282" s="12"/>
      <c r="D5282" s="17" t="str">
        <f t="shared" si="249"/>
        <v/>
      </c>
      <c r="E5282" s="18" t="str">
        <f t="shared" si="247"/>
        <v/>
      </c>
      <c r="F5282" s="17" t="str">
        <f t="shared" si="248"/>
        <v/>
      </c>
    </row>
    <row r="5283" spans="2:6" x14ac:dyDescent="0.2">
      <c r="B5283" s="12"/>
      <c r="C5283" s="12"/>
      <c r="D5283" s="17" t="str">
        <f t="shared" si="249"/>
        <v/>
      </c>
      <c r="E5283" s="18" t="str">
        <f t="shared" si="247"/>
        <v/>
      </c>
      <c r="F5283" s="17" t="str">
        <f t="shared" si="248"/>
        <v/>
      </c>
    </row>
    <row r="5284" spans="2:6" x14ac:dyDescent="0.2">
      <c r="B5284" s="12"/>
      <c r="C5284" s="12"/>
      <c r="D5284" s="17" t="str">
        <f t="shared" si="249"/>
        <v/>
      </c>
      <c r="E5284" s="18" t="str">
        <f t="shared" si="247"/>
        <v/>
      </c>
      <c r="F5284" s="17" t="str">
        <f t="shared" si="248"/>
        <v/>
      </c>
    </row>
    <row r="5285" spans="2:6" x14ac:dyDescent="0.2">
      <c r="B5285" s="12"/>
      <c r="C5285" s="12"/>
      <c r="D5285" s="17" t="str">
        <f t="shared" si="249"/>
        <v/>
      </c>
      <c r="E5285" s="18" t="str">
        <f t="shared" si="247"/>
        <v/>
      </c>
      <c r="F5285" s="17" t="str">
        <f t="shared" si="248"/>
        <v/>
      </c>
    </row>
  </sheetData>
  <mergeCells count="7">
    <mergeCell ref="H4:I4"/>
    <mergeCell ref="A1:R1"/>
    <mergeCell ref="B3:B4"/>
    <mergeCell ref="C3:C4"/>
    <mergeCell ref="D3:D4"/>
    <mergeCell ref="E3:E4"/>
    <mergeCell ref="F3:F4"/>
  </mergeCells>
  <printOptions headings="1" gridLines="1"/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776"/>
  <sheetViews>
    <sheetView showGridLines="0" tabSelected="1" zoomScale="85" zoomScaleNormal="85" workbookViewId="0">
      <pane ySplit="9" topLeftCell="A10" activePane="bottomLeft" state="frozen"/>
      <selection pane="bottomLeft" activeCell="B11" sqref="B11"/>
    </sheetView>
  </sheetViews>
  <sheetFormatPr defaultRowHeight="12.75" x14ac:dyDescent="0.2"/>
  <cols>
    <col min="1" max="1" width="1.28515625" style="16" customWidth="1"/>
    <col min="2" max="2" width="9" style="1" customWidth="1"/>
    <col min="3" max="3" width="12.85546875" style="70" customWidth="1"/>
    <col min="4" max="4" width="12.85546875" style="19" customWidth="1"/>
    <col min="5" max="5" width="9.140625" style="1" customWidth="1"/>
    <col min="6" max="6" width="5" style="1" hidden="1" customWidth="1"/>
    <col min="7" max="7" width="10" style="1" customWidth="1"/>
    <col min="8" max="9" width="12.85546875" style="1" customWidth="1"/>
    <col min="10" max="11" width="9.140625" style="1"/>
    <col min="12" max="12" width="10.7109375" style="2" bestFit="1" customWidth="1"/>
    <col min="13" max="13" width="13.140625" style="64" customWidth="1"/>
    <col min="14" max="14" width="11.5703125" style="64" customWidth="1"/>
    <col min="15" max="15" width="13.7109375" style="64" customWidth="1"/>
    <col min="16" max="16" width="11.5703125" style="64" customWidth="1"/>
    <col min="17" max="17" width="11.85546875" style="34" customWidth="1"/>
    <col min="18" max="18" width="11" style="64" customWidth="1"/>
    <col min="19" max="19" width="11.140625" style="64" customWidth="1"/>
    <col min="20" max="20" width="13.85546875" style="64" customWidth="1"/>
    <col min="21" max="21" width="9.5703125" style="34" customWidth="1"/>
    <col min="22" max="23" width="11.85546875" style="38" customWidth="1"/>
    <col min="24" max="25" width="9.140625" style="19"/>
    <col min="34" max="16384" width="9.140625" style="19"/>
  </cols>
  <sheetData>
    <row r="1" spans="1:23" s="16" customFormat="1" ht="1.5" hidden="1" customHeight="1" x14ac:dyDescent="0.2">
      <c r="B1" s="20"/>
      <c r="C1" s="24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44"/>
      <c r="R1" s="20"/>
      <c r="S1" s="20"/>
      <c r="T1" s="20"/>
      <c r="U1" s="20"/>
      <c r="V1" s="36"/>
      <c r="W1" s="36"/>
    </row>
    <row r="2" spans="1:23" s="16" customFormat="1" ht="31.5" customHeight="1" x14ac:dyDescent="0.2">
      <c r="A2" s="82" t="s">
        <v>78</v>
      </c>
      <c r="B2" s="82"/>
      <c r="C2" s="82"/>
      <c r="D2" s="82"/>
      <c r="E2" s="82"/>
      <c r="F2" s="82"/>
      <c r="G2" s="82"/>
      <c r="H2" s="82"/>
      <c r="I2" s="21"/>
      <c r="J2" s="21"/>
      <c r="K2" s="21"/>
      <c r="L2" s="21"/>
      <c r="M2" s="21"/>
      <c r="N2" s="21"/>
      <c r="O2" s="21"/>
      <c r="P2" s="21"/>
      <c r="Q2" s="45"/>
      <c r="R2" s="21"/>
      <c r="S2" s="67"/>
      <c r="T2" s="67"/>
      <c r="U2" s="67"/>
      <c r="V2" s="36"/>
      <c r="W2" s="36"/>
    </row>
    <row r="3" spans="1:23" s="16" customFormat="1" ht="2.25" customHeight="1" x14ac:dyDescent="0.2">
      <c r="B3" s="32"/>
      <c r="C3" s="33"/>
      <c r="D3" s="31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5"/>
      <c r="R3" s="32"/>
      <c r="S3" s="20"/>
      <c r="T3" s="20"/>
      <c r="U3" s="20"/>
      <c r="V3" s="36"/>
      <c r="W3" s="36"/>
    </row>
    <row r="4" spans="1:23" s="16" customFormat="1" ht="9.75" customHeight="1" x14ac:dyDescent="0.2">
      <c r="B4" s="39"/>
      <c r="C4" s="214" t="s">
        <v>77</v>
      </c>
      <c r="D4" s="214"/>
      <c r="E4" s="40"/>
      <c r="F4" s="216" t="s">
        <v>64</v>
      </c>
      <c r="G4" s="217"/>
      <c r="H4" s="217"/>
      <c r="I4" s="218"/>
      <c r="J4" s="40"/>
      <c r="K4" s="40"/>
      <c r="L4" s="40"/>
      <c r="M4" s="40"/>
      <c r="N4" s="214" t="s">
        <v>49</v>
      </c>
      <c r="O4" s="214"/>
      <c r="P4" s="214"/>
      <c r="Q4" s="214"/>
      <c r="R4" s="214" t="s">
        <v>56</v>
      </c>
      <c r="S4" s="214"/>
      <c r="T4" s="214"/>
      <c r="U4" s="214"/>
      <c r="V4" s="36"/>
      <c r="W4" s="36"/>
    </row>
    <row r="5" spans="1:23" s="16" customFormat="1" ht="15" customHeight="1" x14ac:dyDescent="0.2">
      <c r="B5" s="41"/>
      <c r="C5" s="215"/>
      <c r="D5" s="215"/>
      <c r="E5" s="68"/>
      <c r="F5" s="219"/>
      <c r="G5" s="220"/>
      <c r="H5" s="220"/>
      <c r="I5" s="221"/>
      <c r="J5" s="20"/>
      <c r="K5" s="20"/>
      <c r="L5" s="20"/>
      <c r="M5" s="68"/>
      <c r="N5" s="215"/>
      <c r="O5" s="215"/>
      <c r="P5" s="215"/>
      <c r="Q5" s="215"/>
      <c r="R5" s="215"/>
      <c r="S5" s="215"/>
      <c r="T5" s="215"/>
      <c r="U5" s="215"/>
      <c r="V5" s="36"/>
      <c r="W5" s="36"/>
    </row>
    <row r="6" spans="1:23" s="16" customFormat="1" ht="18" customHeight="1" x14ac:dyDescent="0.2">
      <c r="B6" s="41"/>
      <c r="C6" s="224" t="s">
        <v>62</v>
      </c>
      <c r="D6" s="226" t="s">
        <v>63</v>
      </c>
      <c r="E6" s="42"/>
      <c r="F6" s="226"/>
      <c r="G6" s="166"/>
      <c r="H6" s="169">
        <v>100</v>
      </c>
      <c r="I6" s="222">
        <f>$H$6/100</f>
        <v>1</v>
      </c>
      <c r="J6" s="20"/>
      <c r="K6" s="20"/>
      <c r="L6" s="20"/>
      <c r="M6" s="68"/>
      <c r="N6" s="63" t="s">
        <v>47</v>
      </c>
      <c r="O6" s="53">
        <f>IF(ISERROR(a),"",a)</f>
        <v>390.52311612062323</v>
      </c>
      <c r="P6" s="63" t="s">
        <v>50</v>
      </c>
      <c r="Q6" s="53">
        <f>IF(ISERROR(AVERAGE($G$10:$G$1048576)),0,AVERAGE($G$10:$G$1048576))</f>
        <v>0</v>
      </c>
      <c r="R6" s="210"/>
      <c r="S6" s="63" t="s">
        <v>58</v>
      </c>
      <c r="T6" s="61">
        <f>IF(ISERROR(SQRT(VAR(S10:S1048576)+AVERAGE(S10:S1048576)^2)),0,SQRT(VAR(S10:S1048576)+AVERAGE(S10:S1048576)^2))</f>
        <v>0</v>
      </c>
      <c r="U6" s="210"/>
      <c r="V6" s="36"/>
      <c r="W6" s="36"/>
    </row>
    <row r="7" spans="1:23" s="16" customFormat="1" ht="18" customHeight="1" x14ac:dyDescent="0.2">
      <c r="B7" s="41"/>
      <c r="C7" s="225"/>
      <c r="D7" s="227"/>
      <c r="E7" s="42"/>
      <c r="F7" s="227"/>
      <c r="G7" s="167"/>
      <c r="H7" s="168"/>
      <c r="I7" s="223"/>
      <c r="J7" s="20"/>
      <c r="K7" s="20"/>
      <c r="L7" s="20"/>
      <c r="M7" s="68"/>
      <c r="N7" s="210" t="s">
        <v>48</v>
      </c>
      <c r="O7" s="212">
        <f>IF(ISERROR(b),"",b)</f>
        <v>-0.17790038072260778</v>
      </c>
      <c r="P7" s="63" t="s">
        <v>61</v>
      </c>
      <c r="Q7" s="53">
        <f>IF(ISERROR(STDEV($G$10:$G$1048576)),0,STDEV($G$10:$G$1048576))</f>
        <v>0</v>
      </c>
      <c r="R7" s="210"/>
      <c r="S7" s="63" t="s">
        <v>59</v>
      </c>
      <c r="T7" s="59">
        <v>1.4174527825594387</v>
      </c>
      <c r="U7" s="210"/>
      <c r="V7" s="36"/>
      <c r="W7" s="36"/>
    </row>
    <row r="8" spans="1:23" s="16" customFormat="1" ht="18" customHeight="1" x14ac:dyDescent="0.2">
      <c r="B8" s="41"/>
      <c r="C8" s="24"/>
      <c r="E8" s="42"/>
      <c r="F8" s="42"/>
      <c r="G8" s="43"/>
      <c r="H8" s="43"/>
      <c r="I8" s="43"/>
      <c r="J8" s="20"/>
      <c r="K8" s="20"/>
      <c r="L8" s="20"/>
      <c r="M8" s="68"/>
      <c r="N8" s="211"/>
      <c r="O8" s="213"/>
      <c r="P8" s="60" t="s">
        <v>60</v>
      </c>
      <c r="Q8" s="60">
        <f>IF(ISERROR(AVERAGE(Q10:Q1048576)),0,AVERAGE(Q10:Q1048576))</f>
        <v>0</v>
      </c>
      <c r="R8" s="211"/>
      <c r="S8" s="60" t="s">
        <v>60</v>
      </c>
      <c r="T8" s="80">
        <f>IF(ISERROR(AVERAGE(U10:U1048576)),0,AVERAGE(U10:U1048576))</f>
        <v>0</v>
      </c>
      <c r="U8" s="211"/>
      <c r="V8" s="36"/>
      <c r="W8" s="36"/>
    </row>
    <row r="9" spans="1:23" s="16" customFormat="1" ht="37.5" customHeight="1" x14ac:dyDescent="0.2">
      <c r="B9" s="62" t="s">
        <v>54</v>
      </c>
      <c r="C9" s="62" t="s">
        <v>28</v>
      </c>
      <c r="D9" s="47" t="s">
        <v>66</v>
      </c>
      <c r="E9" s="62" t="s">
        <v>35</v>
      </c>
      <c r="F9" s="62" t="s">
        <v>44</v>
      </c>
      <c r="G9" s="62" t="s">
        <v>30</v>
      </c>
      <c r="H9" s="62" t="s">
        <v>51</v>
      </c>
      <c r="I9" s="62" t="s">
        <v>30</v>
      </c>
      <c r="J9" s="62" t="s">
        <v>31</v>
      </c>
      <c r="K9" s="62" t="s">
        <v>32</v>
      </c>
      <c r="L9" s="62" t="s">
        <v>34</v>
      </c>
      <c r="M9" s="48" t="s">
        <v>55</v>
      </c>
      <c r="N9" s="58" t="s">
        <v>33</v>
      </c>
      <c r="O9" s="58" t="s">
        <v>57</v>
      </c>
      <c r="P9" s="58" t="s">
        <v>52</v>
      </c>
      <c r="Q9" s="58" t="s">
        <v>53</v>
      </c>
      <c r="R9" s="58" t="s">
        <v>56</v>
      </c>
      <c r="S9" s="58" t="s">
        <v>52</v>
      </c>
      <c r="T9" s="58" t="s">
        <v>57</v>
      </c>
      <c r="U9" s="58" t="s">
        <v>53</v>
      </c>
      <c r="V9" s="37"/>
      <c r="W9" s="37"/>
    </row>
    <row r="10" spans="1:23" x14ac:dyDescent="0.2">
      <c r="B10" s="49"/>
      <c r="C10" s="50"/>
      <c r="D10" s="72"/>
      <c r="E10" s="49"/>
      <c r="F10" s="49"/>
      <c r="G10" s="51"/>
      <c r="H10" s="49"/>
      <c r="I10" s="51"/>
      <c r="J10" s="52"/>
      <c r="K10" s="66"/>
      <c r="L10" s="66"/>
      <c r="M10" s="57"/>
      <c r="N10" s="54"/>
      <c r="O10" s="57"/>
      <c r="P10" s="54"/>
      <c r="Q10" s="55"/>
      <c r="R10" s="56"/>
      <c r="S10" s="56"/>
      <c r="T10" s="69"/>
      <c r="U10" s="56"/>
      <c r="V10" s="46"/>
      <c r="W10" s="46"/>
    </row>
    <row r="11" spans="1:23" x14ac:dyDescent="0.2">
      <c r="B11" s="49"/>
      <c r="C11" s="50"/>
      <c r="D11" s="72"/>
      <c r="E11" s="49"/>
      <c r="F11" s="49"/>
      <c r="G11" s="51"/>
      <c r="H11" s="49"/>
      <c r="I11" s="51"/>
      <c r="J11" s="52"/>
      <c r="K11" s="66"/>
      <c r="L11" s="66"/>
      <c r="M11" s="57"/>
      <c r="N11" s="54"/>
      <c r="O11" s="57"/>
      <c r="P11" s="54"/>
      <c r="Q11" s="55"/>
      <c r="R11" s="56"/>
      <c r="S11" s="56"/>
      <c r="T11" s="69"/>
      <c r="U11" s="56"/>
      <c r="V11" s="46"/>
      <c r="W11" s="46"/>
    </row>
    <row r="12" spans="1:23" x14ac:dyDescent="0.2">
      <c r="B12" s="49"/>
      <c r="C12" s="50"/>
      <c r="D12" s="72"/>
      <c r="E12" s="49"/>
      <c r="F12" s="49"/>
      <c r="G12" s="51"/>
      <c r="H12" s="49"/>
      <c r="I12" s="51"/>
      <c r="J12" s="52"/>
      <c r="K12" s="66"/>
      <c r="L12" s="66"/>
      <c r="M12" s="57"/>
      <c r="N12" s="54"/>
      <c r="O12" s="57"/>
      <c r="P12" s="54"/>
      <c r="Q12" s="55"/>
      <c r="R12" s="54"/>
      <c r="S12" s="54"/>
      <c r="T12" s="57"/>
      <c r="U12" s="55"/>
      <c r="V12" s="46"/>
      <c r="W12" s="46"/>
    </row>
    <row r="13" spans="1:23" x14ac:dyDescent="0.2">
      <c r="B13" s="49"/>
      <c r="C13" s="50"/>
      <c r="D13" s="72"/>
      <c r="E13" s="49"/>
      <c r="F13" s="49"/>
      <c r="G13" s="51"/>
      <c r="H13" s="49"/>
      <c r="I13" s="51"/>
      <c r="J13" s="52"/>
      <c r="K13" s="66"/>
      <c r="L13" s="66"/>
      <c r="M13" s="57"/>
      <c r="N13" s="54"/>
      <c r="O13" s="57"/>
      <c r="P13" s="54"/>
      <c r="Q13" s="55"/>
      <c r="R13" s="54"/>
      <c r="S13" s="54"/>
      <c r="T13" s="57"/>
      <c r="U13" s="55"/>
      <c r="V13" s="46"/>
      <c r="W13" s="46"/>
    </row>
    <row r="14" spans="1:23" x14ac:dyDescent="0.2">
      <c r="B14" s="49"/>
      <c r="C14" s="50"/>
      <c r="D14" s="72"/>
      <c r="E14" s="49"/>
      <c r="F14" s="49"/>
      <c r="G14" s="51"/>
      <c r="H14" s="49"/>
      <c r="I14" s="51"/>
      <c r="J14" s="52"/>
      <c r="K14" s="66"/>
      <c r="L14" s="66"/>
      <c r="M14" s="57"/>
      <c r="N14" s="54"/>
      <c r="O14" s="57"/>
      <c r="P14" s="54"/>
      <c r="Q14" s="55"/>
      <c r="R14" s="54"/>
      <c r="S14" s="54"/>
      <c r="T14" s="57"/>
      <c r="U14" s="55"/>
      <c r="V14" s="46"/>
      <c r="W14" s="46"/>
    </row>
    <row r="15" spans="1:23" x14ac:dyDescent="0.2">
      <c r="B15" s="49"/>
      <c r="C15" s="50"/>
      <c r="D15" s="72"/>
      <c r="E15" s="49"/>
      <c r="F15" s="49"/>
      <c r="G15" s="51"/>
      <c r="H15" s="49"/>
      <c r="I15" s="51"/>
      <c r="J15" s="52"/>
      <c r="K15" s="66"/>
      <c r="L15" s="66"/>
      <c r="M15" s="57"/>
      <c r="N15" s="54"/>
      <c r="O15" s="57"/>
      <c r="P15" s="54"/>
      <c r="Q15" s="55"/>
      <c r="R15" s="54"/>
      <c r="S15" s="54"/>
      <c r="T15" s="57"/>
      <c r="U15" s="55"/>
      <c r="V15" s="46"/>
      <c r="W15" s="46"/>
    </row>
    <row r="16" spans="1:23" x14ac:dyDescent="0.2">
      <c r="B16" s="49"/>
      <c r="C16" s="50"/>
      <c r="D16" s="72"/>
      <c r="E16" s="49"/>
      <c r="F16" s="49"/>
      <c r="G16" s="51"/>
      <c r="H16" s="49"/>
      <c r="I16" s="51"/>
      <c r="J16" s="52"/>
      <c r="K16" s="66"/>
      <c r="L16" s="66"/>
      <c r="M16" s="57"/>
      <c r="N16" s="54"/>
      <c r="O16" s="57"/>
      <c r="P16" s="54"/>
      <c r="Q16" s="55"/>
      <c r="R16" s="54"/>
      <c r="S16" s="54"/>
      <c r="T16" s="57"/>
      <c r="U16" s="55"/>
      <c r="V16" s="46"/>
      <c r="W16" s="46"/>
    </row>
    <row r="17" spans="2:23" x14ac:dyDescent="0.2">
      <c r="B17" s="49"/>
      <c r="C17" s="50"/>
      <c r="D17" s="72"/>
      <c r="E17" s="49"/>
      <c r="F17" s="49"/>
      <c r="G17" s="51"/>
      <c r="H17" s="49"/>
      <c r="I17" s="51"/>
      <c r="J17" s="52"/>
      <c r="K17" s="66"/>
      <c r="L17" s="66"/>
      <c r="M17" s="57"/>
      <c r="N17" s="54"/>
      <c r="O17" s="57"/>
      <c r="P17" s="54"/>
      <c r="Q17" s="55"/>
      <c r="R17" s="54"/>
      <c r="S17" s="54"/>
      <c r="T17" s="57"/>
      <c r="U17" s="55"/>
      <c r="V17" s="46"/>
      <c r="W17" s="46"/>
    </row>
    <row r="18" spans="2:23" x14ac:dyDescent="0.2">
      <c r="B18" s="49"/>
      <c r="C18" s="50"/>
      <c r="D18" s="72"/>
      <c r="E18" s="49"/>
      <c r="F18" s="49"/>
      <c r="G18" s="51"/>
      <c r="H18" s="49"/>
      <c r="I18" s="51"/>
      <c r="J18" s="52"/>
      <c r="K18" s="66"/>
      <c r="L18" s="66"/>
      <c r="M18" s="57"/>
      <c r="N18" s="54"/>
      <c r="O18" s="57"/>
      <c r="P18" s="54"/>
      <c r="Q18" s="55"/>
      <c r="R18" s="54"/>
      <c r="S18" s="54"/>
      <c r="T18" s="57"/>
      <c r="U18" s="55"/>
      <c r="V18" s="46"/>
      <c r="W18" s="46"/>
    </row>
    <row r="19" spans="2:23" x14ac:dyDescent="0.2">
      <c r="B19" s="49"/>
      <c r="C19" s="50"/>
      <c r="D19" s="72"/>
      <c r="E19" s="49"/>
      <c r="F19" s="49"/>
      <c r="G19" s="51"/>
      <c r="H19" s="49"/>
      <c r="I19" s="51"/>
      <c r="J19" s="52"/>
      <c r="K19" s="66"/>
      <c r="L19" s="66"/>
      <c r="M19" s="57"/>
      <c r="N19" s="54"/>
      <c r="O19" s="57"/>
      <c r="P19" s="54"/>
      <c r="Q19" s="55"/>
      <c r="R19" s="54"/>
      <c r="S19" s="54"/>
      <c r="T19" s="57"/>
      <c r="U19" s="55"/>
      <c r="V19" s="46"/>
      <c r="W19" s="46"/>
    </row>
    <row r="20" spans="2:23" x14ac:dyDescent="0.2">
      <c r="B20" s="49"/>
      <c r="C20" s="50"/>
      <c r="D20" s="72"/>
      <c r="E20" s="49"/>
      <c r="F20" s="49"/>
      <c r="G20" s="51"/>
      <c r="H20" s="49"/>
      <c r="I20" s="51"/>
      <c r="J20" s="52"/>
      <c r="K20" s="66"/>
      <c r="L20" s="66"/>
      <c r="M20" s="57"/>
      <c r="N20" s="54"/>
      <c r="O20" s="57"/>
      <c r="P20" s="54"/>
      <c r="Q20" s="55"/>
      <c r="R20" s="54"/>
      <c r="S20" s="54"/>
      <c r="T20" s="57"/>
      <c r="U20" s="55"/>
      <c r="V20" s="46"/>
      <c r="W20" s="46"/>
    </row>
    <row r="21" spans="2:23" x14ac:dyDescent="0.2">
      <c r="B21" s="49"/>
      <c r="C21" s="50"/>
      <c r="D21" s="72"/>
      <c r="E21" s="49"/>
      <c r="F21" s="49"/>
      <c r="G21" s="51"/>
      <c r="H21" s="49"/>
      <c r="I21" s="51"/>
      <c r="J21" s="52"/>
      <c r="K21" s="66"/>
      <c r="L21" s="66"/>
      <c r="M21" s="57"/>
      <c r="N21" s="54"/>
      <c r="O21" s="57"/>
      <c r="P21" s="54"/>
      <c r="Q21" s="55"/>
      <c r="R21" s="54"/>
      <c r="S21" s="54"/>
      <c r="T21" s="57"/>
      <c r="U21" s="55"/>
      <c r="V21" s="46"/>
      <c r="W21" s="46"/>
    </row>
    <row r="22" spans="2:23" x14ac:dyDescent="0.2">
      <c r="B22" s="49"/>
      <c r="C22" s="50"/>
      <c r="D22" s="72"/>
      <c r="E22" s="49"/>
      <c r="F22" s="49"/>
      <c r="G22" s="51"/>
      <c r="H22" s="49"/>
      <c r="I22" s="51"/>
      <c r="J22" s="52"/>
      <c r="K22" s="66"/>
      <c r="L22" s="66"/>
      <c r="M22" s="57"/>
      <c r="N22" s="54"/>
      <c r="O22" s="57"/>
      <c r="P22" s="54"/>
      <c r="Q22" s="55"/>
      <c r="R22" s="54"/>
      <c r="S22" s="54"/>
      <c r="T22" s="57"/>
      <c r="U22" s="55"/>
      <c r="V22" s="46"/>
      <c r="W22" s="46"/>
    </row>
    <row r="23" spans="2:23" x14ac:dyDescent="0.2">
      <c r="B23" s="49"/>
      <c r="C23" s="50"/>
      <c r="D23" s="72"/>
      <c r="E23" s="49"/>
      <c r="F23" s="49"/>
      <c r="G23" s="51"/>
      <c r="H23" s="49"/>
      <c r="I23" s="51"/>
      <c r="J23" s="52"/>
      <c r="K23" s="66"/>
      <c r="L23" s="66"/>
      <c r="M23" s="57"/>
      <c r="N23" s="54"/>
      <c r="O23" s="57"/>
      <c r="P23" s="54"/>
      <c r="Q23" s="55"/>
      <c r="R23" s="54"/>
      <c r="S23" s="54"/>
      <c r="T23" s="57"/>
      <c r="U23" s="55"/>
      <c r="V23" s="46"/>
      <c r="W23" s="46"/>
    </row>
    <row r="24" spans="2:23" x14ac:dyDescent="0.2">
      <c r="B24" s="49"/>
      <c r="C24" s="50"/>
      <c r="D24" s="72"/>
      <c r="E24" s="49"/>
      <c r="F24" s="49"/>
      <c r="G24" s="51"/>
      <c r="H24" s="49"/>
      <c r="I24" s="51"/>
      <c r="J24" s="52"/>
      <c r="K24" s="66"/>
      <c r="L24" s="66"/>
      <c r="M24" s="57"/>
      <c r="N24" s="54"/>
      <c r="O24" s="57"/>
      <c r="P24" s="54"/>
      <c r="Q24" s="55"/>
      <c r="R24" s="54"/>
      <c r="S24" s="54"/>
      <c r="T24" s="57"/>
      <c r="U24" s="55"/>
      <c r="V24" s="46"/>
      <c r="W24" s="46"/>
    </row>
    <row r="25" spans="2:23" x14ac:dyDescent="0.2">
      <c r="B25" s="49"/>
      <c r="C25" s="50"/>
      <c r="D25" s="72"/>
      <c r="E25" s="49"/>
      <c r="F25" s="49"/>
      <c r="G25" s="51"/>
      <c r="H25" s="49"/>
      <c r="I25" s="51"/>
      <c r="J25" s="52"/>
      <c r="K25" s="66"/>
      <c r="L25" s="66"/>
      <c r="M25" s="57"/>
      <c r="N25" s="54"/>
      <c r="O25" s="57"/>
      <c r="P25" s="54"/>
      <c r="Q25" s="55"/>
      <c r="R25" s="54"/>
      <c r="S25" s="54"/>
      <c r="T25" s="57"/>
      <c r="U25" s="55"/>
      <c r="V25" s="46"/>
      <c r="W25" s="46"/>
    </row>
    <row r="26" spans="2:23" x14ac:dyDescent="0.2">
      <c r="B26" s="49"/>
      <c r="C26" s="50"/>
      <c r="D26" s="72"/>
      <c r="E26" s="49"/>
      <c r="F26" s="49"/>
      <c r="G26" s="51"/>
      <c r="H26" s="49"/>
      <c r="I26" s="51"/>
      <c r="J26" s="52"/>
      <c r="K26" s="66"/>
      <c r="L26" s="66"/>
      <c r="M26" s="57"/>
      <c r="N26" s="54"/>
      <c r="O26" s="57"/>
      <c r="P26" s="54"/>
      <c r="Q26" s="55"/>
      <c r="R26" s="54"/>
      <c r="S26" s="54"/>
      <c r="T26" s="57"/>
      <c r="U26" s="55"/>
      <c r="V26" s="46"/>
      <c r="W26" s="46"/>
    </row>
    <row r="27" spans="2:23" x14ac:dyDescent="0.2">
      <c r="B27" s="49"/>
      <c r="C27" s="50"/>
      <c r="D27" s="72"/>
      <c r="E27" s="49"/>
      <c r="F27" s="49"/>
      <c r="G27" s="51"/>
      <c r="H27" s="49"/>
      <c r="I27" s="51"/>
      <c r="J27" s="52"/>
      <c r="K27" s="66"/>
      <c r="L27" s="66"/>
      <c r="M27" s="57"/>
      <c r="N27" s="54"/>
      <c r="O27" s="57"/>
      <c r="P27" s="54"/>
      <c r="Q27" s="55"/>
      <c r="R27" s="54"/>
      <c r="S27" s="54"/>
      <c r="T27" s="57"/>
      <c r="U27" s="55"/>
      <c r="V27" s="46"/>
      <c r="W27" s="46"/>
    </row>
    <row r="28" spans="2:23" x14ac:dyDescent="0.2">
      <c r="B28" s="49"/>
      <c r="C28" s="50"/>
      <c r="D28" s="72"/>
      <c r="E28" s="49"/>
      <c r="F28" s="49"/>
      <c r="G28" s="51"/>
      <c r="H28" s="49"/>
      <c r="I28" s="51"/>
      <c r="J28" s="52"/>
      <c r="K28" s="66"/>
      <c r="L28" s="66"/>
      <c r="M28" s="57"/>
      <c r="N28" s="54"/>
      <c r="O28" s="57"/>
      <c r="P28" s="54"/>
      <c r="Q28" s="55"/>
      <c r="R28" s="54"/>
      <c r="S28" s="54"/>
      <c r="T28" s="57"/>
      <c r="U28" s="55"/>
      <c r="V28" s="46"/>
      <c r="W28" s="46"/>
    </row>
    <row r="29" spans="2:23" x14ac:dyDescent="0.2">
      <c r="B29" s="49"/>
      <c r="C29" s="50"/>
      <c r="D29" s="72"/>
      <c r="E29" s="49"/>
      <c r="F29" s="49"/>
      <c r="G29" s="51"/>
      <c r="H29" s="49"/>
      <c r="I29" s="51"/>
      <c r="J29" s="52"/>
      <c r="K29" s="66"/>
      <c r="L29" s="66"/>
      <c r="M29" s="57"/>
      <c r="N29" s="54"/>
      <c r="O29" s="57"/>
      <c r="P29" s="54"/>
      <c r="Q29" s="55"/>
      <c r="R29" s="54"/>
      <c r="S29" s="54"/>
      <c r="T29" s="57"/>
      <c r="U29" s="55"/>
      <c r="V29" s="46"/>
      <c r="W29" s="46"/>
    </row>
    <row r="30" spans="2:23" x14ac:dyDescent="0.2">
      <c r="B30" s="49"/>
      <c r="C30" s="50"/>
      <c r="D30" s="72"/>
      <c r="E30" s="49"/>
      <c r="F30" s="49"/>
      <c r="G30" s="51"/>
      <c r="H30" s="49"/>
      <c r="I30" s="51"/>
      <c r="J30" s="52"/>
      <c r="K30" s="66"/>
      <c r="L30" s="66"/>
      <c r="M30" s="57"/>
      <c r="N30" s="54"/>
      <c r="O30" s="57"/>
      <c r="P30" s="54"/>
      <c r="Q30" s="55"/>
      <c r="R30" s="54"/>
      <c r="S30" s="54"/>
      <c r="T30" s="57"/>
      <c r="U30" s="55"/>
      <c r="V30" s="46"/>
      <c r="W30" s="46"/>
    </row>
    <row r="31" spans="2:23" x14ac:dyDescent="0.2">
      <c r="B31" s="49"/>
      <c r="C31" s="50"/>
      <c r="D31" s="72"/>
      <c r="E31" s="49"/>
      <c r="F31" s="49"/>
      <c r="G31" s="51"/>
      <c r="H31" s="49"/>
      <c r="I31" s="51"/>
      <c r="J31" s="52"/>
      <c r="K31" s="66"/>
      <c r="L31" s="66"/>
      <c r="M31" s="57"/>
      <c r="N31" s="54"/>
      <c r="O31" s="57"/>
      <c r="P31" s="54"/>
      <c r="Q31" s="55"/>
      <c r="R31" s="54"/>
      <c r="S31" s="54"/>
      <c r="T31" s="57"/>
      <c r="U31" s="55"/>
      <c r="V31" s="46"/>
      <c r="W31" s="46"/>
    </row>
    <row r="32" spans="2:23" x14ac:dyDescent="0.2">
      <c r="B32" s="49"/>
      <c r="C32" s="50"/>
      <c r="D32" s="72"/>
      <c r="E32" s="49"/>
      <c r="F32" s="49"/>
      <c r="G32" s="51"/>
      <c r="H32" s="49"/>
      <c r="I32" s="51"/>
      <c r="J32" s="52"/>
      <c r="K32" s="66"/>
      <c r="L32" s="66"/>
      <c r="M32" s="57"/>
      <c r="N32" s="54"/>
      <c r="O32" s="57"/>
      <c r="P32" s="54"/>
      <c r="Q32" s="55"/>
      <c r="R32" s="54"/>
      <c r="S32" s="54"/>
      <c r="T32" s="57"/>
      <c r="U32" s="55"/>
      <c r="V32" s="46"/>
      <c r="W32" s="46"/>
    </row>
    <row r="33" spans="2:23" x14ac:dyDescent="0.2">
      <c r="B33" s="49"/>
      <c r="C33" s="50"/>
      <c r="D33" s="72"/>
      <c r="E33" s="49"/>
      <c r="F33" s="49"/>
      <c r="G33" s="51"/>
      <c r="H33" s="49"/>
      <c r="I33" s="51"/>
      <c r="J33" s="52"/>
      <c r="K33" s="66"/>
      <c r="L33" s="66"/>
      <c r="M33" s="57"/>
      <c r="N33" s="54"/>
      <c r="O33" s="57"/>
      <c r="P33" s="54"/>
      <c r="Q33" s="55"/>
      <c r="R33" s="54"/>
      <c r="S33" s="54"/>
      <c r="T33" s="57"/>
      <c r="U33" s="55"/>
      <c r="V33" s="46"/>
      <c r="W33" s="46"/>
    </row>
    <row r="34" spans="2:23" x14ac:dyDescent="0.2">
      <c r="B34" s="49"/>
      <c r="C34" s="50"/>
      <c r="D34" s="72"/>
      <c r="E34" s="49"/>
      <c r="F34" s="49"/>
      <c r="G34" s="51"/>
      <c r="H34" s="49"/>
      <c r="I34" s="51"/>
      <c r="J34" s="52"/>
      <c r="K34" s="66"/>
      <c r="L34" s="66"/>
      <c r="M34" s="57"/>
      <c r="N34" s="54"/>
      <c r="O34" s="57"/>
      <c r="P34" s="54"/>
      <c r="Q34" s="55"/>
      <c r="R34" s="54"/>
      <c r="S34" s="54"/>
      <c r="T34" s="57"/>
      <c r="U34" s="55"/>
      <c r="V34" s="46"/>
      <c r="W34" s="46"/>
    </row>
    <row r="35" spans="2:23" x14ac:dyDescent="0.2">
      <c r="B35" s="49"/>
      <c r="C35" s="50"/>
      <c r="D35" s="72"/>
      <c r="E35" s="49"/>
      <c r="F35" s="49"/>
      <c r="G35" s="51"/>
      <c r="H35" s="49"/>
      <c r="I35" s="51"/>
      <c r="J35" s="52"/>
      <c r="K35" s="66"/>
      <c r="L35" s="66"/>
      <c r="M35" s="57"/>
      <c r="N35" s="54"/>
      <c r="O35" s="57"/>
      <c r="P35" s="54"/>
      <c r="Q35" s="55"/>
      <c r="R35" s="54"/>
      <c r="S35" s="54"/>
      <c r="T35" s="57"/>
      <c r="U35" s="55"/>
      <c r="V35" s="46"/>
      <c r="W35" s="46"/>
    </row>
    <row r="36" spans="2:23" x14ac:dyDescent="0.2">
      <c r="B36" s="49"/>
      <c r="C36" s="50"/>
      <c r="D36" s="72"/>
      <c r="E36" s="49"/>
      <c r="F36" s="49"/>
      <c r="G36" s="51"/>
      <c r="H36" s="49"/>
      <c r="I36" s="51"/>
      <c r="J36" s="52"/>
      <c r="K36" s="66"/>
      <c r="L36" s="66"/>
      <c r="M36" s="57"/>
      <c r="N36" s="54"/>
      <c r="O36" s="57"/>
      <c r="P36" s="54"/>
      <c r="Q36" s="55"/>
      <c r="R36" s="54"/>
      <c r="S36" s="54"/>
      <c r="T36" s="57"/>
      <c r="U36" s="55"/>
      <c r="V36" s="46"/>
      <c r="W36" s="46"/>
    </row>
    <row r="37" spans="2:23" x14ac:dyDescent="0.2">
      <c r="B37" s="49"/>
      <c r="C37" s="50"/>
      <c r="D37" s="72"/>
      <c r="E37" s="49"/>
      <c r="F37" s="49"/>
      <c r="G37" s="51"/>
      <c r="H37" s="49"/>
      <c r="I37" s="51"/>
      <c r="J37" s="52"/>
      <c r="K37" s="66"/>
      <c r="L37" s="66"/>
      <c r="M37" s="57"/>
      <c r="N37" s="54"/>
      <c r="O37" s="57"/>
      <c r="P37" s="54"/>
      <c r="Q37" s="55"/>
      <c r="R37" s="54"/>
      <c r="S37" s="54"/>
      <c r="T37" s="57"/>
      <c r="U37" s="55"/>
      <c r="V37" s="46"/>
      <c r="W37" s="46"/>
    </row>
    <row r="38" spans="2:23" x14ac:dyDescent="0.2">
      <c r="B38" s="49"/>
      <c r="C38" s="50"/>
      <c r="D38" s="72"/>
      <c r="E38" s="49"/>
      <c r="F38" s="49"/>
      <c r="G38" s="51"/>
      <c r="H38" s="49"/>
      <c r="I38" s="51"/>
      <c r="J38" s="52"/>
      <c r="K38" s="66"/>
      <c r="L38" s="66"/>
      <c r="M38" s="57"/>
      <c r="N38" s="54"/>
      <c r="O38" s="57"/>
      <c r="P38" s="54"/>
      <c r="Q38" s="55"/>
      <c r="R38" s="54"/>
      <c r="S38" s="54"/>
      <c r="T38" s="57"/>
      <c r="U38" s="55"/>
      <c r="V38" s="46"/>
      <c r="W38" s="46"/>
    </row>
    <row r="39" spans="2:23" x14ac:dyDescent="0.2">
      <c r="B39" s="49"/>
      <c r="C39" s="50"/>
      <c r="D39" s="72"/>
      <c r="E39" s="49"/>
      <c r="F39" s="49"/>
      <c r="G39" s="51"/>
      <c r="H39" s="49"/>
      <c r="I39" s="51"/>
      <c r="J39" s="52"/>
      <c r="K39" s="66"/>
      <c r="L39" s="66"/>
      <c r="M39" s="57"/>
      <c r="N39" s="54"/>
      <c r="O39" s="57"/>
      <c r="P39" s="54"/>
      <c r="Q39" s="55"/>
      <c r="R39" s="54"/>
      <c r="S39" s="54"/>
      <c r="T39" s="57"/>
      <c r="U39" s="55"/>
      <c r="V39" s="46"/>
      <c r="W39" s="46"/>
    </row>
    <row r="40" spans="2:23" x14ac:dyDescent="0.2">
      <c r="B40" s="49"/>
      <c r="C40" s="50"/>
      <c r="D40" s="72"/>
      <c r="E40" s="49"/>
      <c r="F40" s="49"/>
      <c r="G40" s="51"/>
      <c r="H40" s="49"/>
      <c r="I40" s="51"/>
      <c r="J40" s="52"/>
      <c r="K40" s="66"/>
      <c r="L40" s="66"/>
      <c r="M40" s="57"/>
      <c r="N40" s="54"/>
      <c r="O40" s="57"/>
      <c r="P40" s="54"/>
      <c r="Q40" s="55"/>
      <c r="R40" s="54"/>
      <c r="S40" s="54"/>
      <c r="T40" s="57"/>
      <c r="U40" s="55"/>
      <c r="V40" s="46"/>
      <c r="W40" s="46"/>
    </row>
    <row r="41" spans="2:23" x14ac:dyDescent="0.2">
      <c r="B41" s="49"/>
      <c r="C41" s="50"/>
      <c r="D41" s="72"/>
      <c r="E41" s="49"/>
      <c r="F41" s="49"/>
      <c r="G41" s="51"/>
      <c r="H41" s="49"/>
      <c r="I41" s="51"/>
      <c r="J41" s="52"/>
      <c r="K41" s="66"/>
      <c r="L41" s="66"/>
      <c r="M41" s="57"/>
      <c r="N41" s="54"/>
      <c r="O41" s="57"/>
      <c r="P41" s="54"/>
      <c r="Q41" s="55"/>
      <c r="R41" s="54"/>
      <c r="S41" s="54"/>
      <c r="T41" s="57"/>
      <c r="U41" s="55"/>
      <c r="V41" s="46"/>
      <c r="W41" s="46"/>
    </row>
    <row r="42" spans="2:23" x14ac:dyDescent="0.2">
      <c r="B42" s="49"/>
      <c r="C42" s="50"/>
      <c r="D42" s="72"/>
      <c r="E42" s="49"/>
      <c r="F42" s="49"/>
      <c r="G42" s="51"/>
      <c r="H42" s="49"/>
      <c r="I42" s="51"/>
      <c r="J42" s="52"/>
      <c r="K42" s="66"/>
      <c r="L42" s="66"/>
      <c r="M42" s="57"/>
      <c r="N42" s="54"/>
      <c r="O42" s="57"/>
      <c r="P42" s="54"/>
      <c r="Q42" s="55"/>
      <c r="R42" s="54"/>
      <c r="S42" s="54"/>
      <c r="T42" s="57"/>
      <c r="U42" s="55"/>
      <c r="V42" s="46"/>
      <c r="W42" s="46"/>
    </row>
    <row r="43" spans="2:23" x14ac:dyDescent="0.2">
      <c r="B43" s="49"/>
      <c r="C43" s="50"/>
      <c r="D43" s="72"/>
      <c r="E43" s="49"/>
      <c r="F43" s="49"/>
      <c r="G43" s="51"/>
      <c r="H43" s="49"/>
      <c r="I43" s="51"/>
      <c r="J43" s="52"/>
      <c r="K43" s="66"/>
      <c r="L43" s="66"/>
      <c r="M43" s="57"/>
      <c r="N43" s="54"/>
      <c r="O43" s="57"/>
      <c r="P43" s="54"/>
      <c r="Q43" s="55"/>
      <c r="R43" s="54"/>
      <c r="S43" s="54"/>
      <c r="T43" s="57"/>
      <c r="U43" s="55"/>
      <c r="V43" s="46"/>
      <c r="W43" s="46"/>
    </row>
    <row r="44" spans="2:23" x14ac:dyDescent="0.2">
      <c r="B44" s="49"/>
      <c r="C44" s="50"/>
      <c r="D44" s="72"/>
      <c r="E44" s="49"/>
      <c r="F44" s="49"/>
      <c r="G44" s="51"/>
      <c r="H44" s="49"/>
      <c r="I44" s="51"/>
      <c r="J44" s="52"/>
      <c r="K44" s="66"/>
      <c r="L44" s="66"/>
      <c r="M44" s="57"/>
      <c r="N44" s="54"/>
      <c r="O44" s="57"/>
      <c r="P44" s="54"/>
      <c r="Q44" s="55"/>
      <c r="R44" s="54"/>
      <c r="S44" s="54"/>
      <c r="T44" s="57"/>
      <c r="U44" s="55"/>
      <c r="V44" s="46"/>
      <c r="W44" s="46"/>
    </row>
    <row r="45" spans="2:23" x14ac:dyDescent="0.2">
      <c r="B45" s="49"/>
      <c r="C45" s="50"/>
      <c r="D45" s="72"/>
      <c r="E45" s="49"/>
      <c r="F45" s="49"/>
      <c r="G45" s="51"/>
      <c r="H45" s="49"/>
      <c r="I45" s="51"/>
      <c r="J45" s="52"/>
      <c r="K45" s="66"/>
      <c r="L45" s="66"/>
      <c r="M45" s="57"/>
      <c r="N45" s="54"/>
      <c r="O45" s="57"/>
      <c r="P45" s="54"/>
      <c r="Q45" s="55"/>
      <c r="R45" s="54"/>
      <c r="S45" s="54"/>
      <c r="T45" s="57"/>
      <c r="U45" s="55"/>
      <c r="V45" s="46"/>
      <c r="W45" s="46"/>
    </row>
    <row r="46" spans="2:23" x14ac:dyDescent="0.2">
      <c r="B46" s="49"/>
      <c r="C46" s="50"/>
      <c r="D46" s="72"/>
      <c r="E46" s="49"/>
      <c r="F46" s="49"/>
      <c r="G46" s="51"/>
      <c r="H46" s="49"/>
      <c r="I46" s="51"/>
      <c r="J46" s="52"/>
      <c r="K46" s="66"/>
      <c r="L46" s="66"/>
      <c r="M46" s="57"/>
      <c r="N46" s="54"/>
      <c r="O46" s="57"/>
      <c r="P46" s="54"/>
      <c r="Q46" s="55"/>
      <c r="R46" s="54"/>
      <c r="S46" s="54"/>
      <c r="T46" s="57"/>
      <c r="U46" s="55"/>
      <c r="V46" s="46"/>
      <c r="W46" s="46"/>
    </row>
    <row r="47" spans="2:23" x14ac:dyDescent="0.2">
      <c r="B47" s="49"/>
      <c r="C47" s="50"/>
      <c r="D47" s="72"/>
      <c r="E47" s="49"/>
      <c r="F47" s="49"/>
      <c r="G47" s="51"/>
      <c r="H47" s="49"/>
      <c r="I47" s="51"/>
      <c r="J47" s="52"/>
      <c r="K47" s="66"/>
      <c r="L47" s="66"/>
      <c r="M47" s="57"/>
      <c r="N47" s="54"/>
      <c r="O47" s="57"/>
      <c r="P47" s="54"/>
      <c r="Q47" s="55"/>
      <c r="R47" s="54"/>
      <c r="S47" s="54"/>
      <c r="T47" s="57"/>
      <c r="U47" s="55"/>
      <c r="V47" s="46"/>
      <c r="W47" s="46"/>
    </row>
    <row r="48" spans="2:23" x14ac:dyDescent="0.2">
      <c r="B48" s="49"/>
      <c r="C48" s="50"/>
      <c r="D48" s="72"/>
      <c r="E48" s="49"/>
      <c r="F48" s="49"/>
      <c r="G48" s="51"/>
      <c r="H48" s="49"/>
      <c r="I48" s="51"/>
      <c r="J48" s="52"/>
      <c r="K48" s="66"/>
      <c r="L48" s="66"/>
      <c r="M48" s="57"/>
      <c r="N48" s="54"/>
      <c r="O48" s="57"/>
      <c r="P48" s="54"/>
      <c r="Q48" s="55"/>
      <c r="R48" s="54"/>
      <c r="S48" s="54"/>
      <c r="T48" s="57"/>
      <c r="U48" s="55"/>
      <c r="V48" s="46"/>
      <c r="W48" s="46"/>
    </row>
    <row r="49" spans="2:23" x14ac:dyDescent="0.2">
      <c r="B49" s="49"/>
      <c r="C49" s="50"/>
      <c r="D49" s="72"/>
      <c r="E49" s="49"/>
      <c r="F49" s="49"/>
      <c r="G49" s="51"/>
      <c r="H49" s="49"/>
      <c r="I49" s="51"/>
      <c r="J49" s="52"/>
      <c r="K49" s="66"/>
      <c r="L49" s="66"/>
      <c r="M49" s="57"/>
      <c r="N49" s="54"/>
      <c r="O49" s="57"/>
      <c r="P49" s="54"/>
      <c r="Q49" s="55"/>
      <c r="R49" s="54"/>
      <c r="S49" s="54"/>
      <c r="T49" s="57"/>
      <c r="U49" s="55"/>
      <c r="V49" s="46"/>
      <c r="W49" s="46"/>
    </row>
    <row r="50" spans="2:23" x14ac:dyDescent="0.2">
      <c r="B50" s="49"/>
      <c r="C50" s="50"/>
      <c r="D50" s="72"/>
      <c r="E50" s="49"/>
      <c r="F50" s="49"/>
      <c r="G50" s="51"/>
      <c r="H50" s="49"/>
      <c r="I50" s="51"/>
      <c r="J50" s="52"/>
      <c r="K50" s="66"/>
      <c r="L50" s="66"/>
      <c r="M50" s="57"/>
      <c r="N50" s="54"/>
      <c r="O50" s="57"/>
      <c r="P50" s="54"/>
      <c r="Q50" s="55"/>
      <c r="R50" s="54"/>
      <c r="S50" s="54"/>
      <c r="T50" s="57"/>
      <c r="U50" s="55"/>
      <c r="V50" s="46"/>
      <c r="W50" s="46"/>
    </row>
    <row r="51" spans="2:23" x14ac:dyDescent="0.2">
      <c r="B51" s="49"/>
      <c r="C51" s="50"/>
      <c r="D51" s="72"/>
      <c r="E51" s="49"/>
      <c r="F51" s="49"/>
      <c r="G51" s="51"/>
      <c r="H51" s="49"/>
      <c r="I51" s="51"/>
      <c r="J51" s="52"/>
      <c r="K51" s="66"/>
      <c r="L51" s="66"/>
      <c r="M51" s="57"/>
      <c r="N51" s="54"/>
      <c r="O51" s="57"/>
      <c r="P51" s="54"/>
      <c r="Q51" s="55"/>
      <c r="R51" s="54"/>
      <c r="S51" s="54"/>
      <c r="T51" s="57"/>
      <c r="U51" s="55"/>
      <c r="V51" s="46"/>
      <c r="W51" s="46"/>
    </row>
    <row r="52" spans="2:23" x14ac:dyDescent="0.2">
      <c r="B52" s="49"/>
      <c r="C52" s="50"/>
      <c r="D52" s="72"/>
      <c r="E52" s="49"/>
      <c r="F52" s="49"/>
      <c r="G52" s="51"/>
      <c r="H52" s="49"/>
      <c r="I52" s="51"/>
      <c r="J52" s="52"/>
      <c r="K52" s="66"/>
      <c r="L52" s="66"/>
      <c r="M52" s="57"/>
      <c r="N52" s="54"/>
      <c r="O52" s="57"/>
      <c r="P52" s="54"/>
      <c r="Q52" s="55"/>
      <c r="R52" s="54"/>
      <c r="S52" s="54"/>
      <c r="T52" s="57"/>
      <c r="U52" s="55"/>
      <c r="V52" s="46"/>
      <c r="W52" s="46"/>
    </row>
    <row r="53" spans="2:23" x14ac:dyDescent="0.2">
      <c r="B53" s="49"/>
      <c r="C53" s="50"/>
      <c r="D53" s="72"/>
      <c r="E53" s="49"/>
      <c r="F53" s="49"/>
      <c r="G53" s="51"/>
      <c r="H53" s="49"/>
      <c r="I53" s="51"/>
      <c r="J53" s="52"/>
      <c r="K53" s="66"/>
      <c r="L53" s="66"/>
      <c r="M53" s="57"/>
      <c r="N53" s="54"/>
      <c r="O53" s="57"/>
      <c r="P53" s="54"/>
      <c r="Q53" s="55"/>
      <c r="R53" s="54"/>
      <c r="S53" s="54"/>
      <c r="T53" s="57"/>
      <c r="U53" s="55"/>
      <c r="V53" s="46"/>
      <c r="W53" s="46"/>
    </row>
    <row r="54" spans="2:23" x14ac:dyDescent="0.2">
      <c r="B54" s="49"/>
      <c r="C54" s="50"/>
      <c r="D54" s="72"/>
      <c r="E54" s="49"/>
      <c r="F54" s="49"/>
      <c r="G54" s="51"/>
      <c r="H54" s="49"/>
      <c r="I54" s="51"/>
      <c r="J54" s="52"/>
      <c r="K54" s="66"/>
      <c r="L54" s="66"/>
      <c r="M54" s="57"/>
      <c r="N54" s="54"/>
      <c r="O54" s="57"/>
      <c r="P54" s="54"/>
      <c r="Q54" s="55"/>
      <c r="R54" s="54"/>
      <c r="S54" s="54"/>
      <c r="T54" s="57"/>
      <c r="U54" s="55"/>
      <c r="V54" s="46"/>
      <c r="W54" s="46"/>
    </row>
    <row r="55" spans="2:23" x14ac:dyDescent="0.2">
      <c r="B55" s="49"/>
      <c r="C55" s="50"/>
      <c r="D55" s="72"/>
      <c r="E55" s="49"/>
      <c r="F55" s="49"/>
      <c r="G55" s="51"/>
      <c r="H55" s="49"/>
      <c r="I55" s="51"/>
      <c r="J55" s="52"/>
      <c r="K55" s="66"/>
      <c r="L55" s="66"/>
      <c r="M55" s="57"/>
      <c r="N55" s="54"/>
      <c r="O55" s="57"/>
      <c r="P55" s="54"/>
      <c r="Q55" s="55"/>
      <c r="R55" s="54"/>
      <c r="S55" s="54"/>
      <c r="T55" s="57"/>
      <c r="U55" s="55"/>
      <c r="V55" s="46"/>
      <c r="W55" s="46"/>
    </row>
    <row r="56" spans="2:23" x14ac:dyDescent="0.2">
      <c r="B56" s="49"/>
      <c r="C56" s="50"/>
      <c r="D56" s="72"/>
      <c r="E56" s="49"/>
      <c r="F56" s="49"/>
      <c r="G56" s="51"/>
      <c r="H56" s="49"/>
      <c r="I56" s="51"/>
      <c r="J56" s="52"/>
      <c r="K56" s="66"/>
      <c r="L56" s="66"/>
      <c r="M56" s="57"/>
      <c r="N56" s="54"/>
      <c r="O56" s="57"/>
      <c r="P56" s="54"/>
      <c r="Q56" s="55"/>
      <c r="R56" s="54"/>
      <c r="S56" s="54"/>
      <c r="T56" s="57"/>
      <c r="U56" s="55"/>
      <c r="V56" s="46"/>
      <c r="W56" s="46"/>
    </row>
    <row r="57" spans="2:23" x14ac:dyDescent="0.2">
      <c r="B57" s="49"/>
      <c r="C57" s="50"/>
      <c r="D57" s="72"/>
      <c r="E57" s="49"/>
      <c r="F57" s="49"/>
      <c r="G57" s="51"/>
      <c r="H57" s="49"/>
      <c r="I57" s="51"/>
      <c r="J57" s="52"/>
      <c r="K57" s="66"/>
      <c r="L57" s="66"/>
      <c r="M57" s="57"/>
      <c r="N57" s="54"/>
      <c r="O57" s="57"/>
      <c r="P57" s="54"/>
      <c r="Q57" s="55"/>
      <c r="R57" s="54"/>
      <c r="S57" s="54"/>
      <c r="T57" s="57"/>
      <c r="U57" s="55"/>
      <c r="V57" s="46"/>
      <c r="W57" s="46"/>
    </row>
    <row r="58" spans="2:23" x14ac:dyDescent="0.2">
      <c r="B58" s="49"/>
      <c r="C58" s="50"/>
      <c r="D58" s="72"/>
      <c r="E58" s="49"/>
      <c r="F58" s="49"/>
      <c r="G58" s="51"/>
      <c r="H58" s="49"/>
      <c r="I58" s="51"/>
      <c r="J58" s="52"/>
      <c r="K58" s="66"/>
      <c r="L58" s="66"/>
      <c r="M58" s="57"/>
      <c r="N58" s="54"/>
      <c r="O58" s="57"/>
      <c r="P58" s="54"/>
      <c r="Q58" s="55"/>
      <c r="R58" s="54"/>
      <c r="S58" s="54"/>
      <c r="T58" s="57"/>
      <c r="U58" s="55"/>
      <c r="V58" s="46"/>
      <c r="W58" s="46"/>
    </row>
    <row r="59" spans="2:23" x14ac:dyDescent="0.2">
      <c r="B59" s="49"/>
      <c r="C59" s="50"/>
      <c r="D59" s="72"/>
      <c r="E59" s="49"/>
      <c r="F59" s="49"/>
      <c r="G59" s="51"/>
      <c r="H59" s="49"/>
      <c r="I59" s="51"/>
      <c r="J59" s="52"/>
      <c r="K59" s="66"/>
      <c r="L59" s="66"/>
      <c r="M59" s="57"/>
      <c r="N59" s="54"/>
      <c r="O59" s="57"/>
      <c r="P59" s="54"/>
      <c r="Q59" s="55"/>
      <c r="R59" s="54"/>
      <c r="S59" s="54"/>
      <c r="T59" s="57"/>
      <c r="U59" s="55"/>
      <c r="V59" s="46"/>
      <c r="W59" s="46"/>
    </row>
    <row r="60" spans="2:23" x14ac:dyDescent="0.2">
      <c r="B60" s="49"/>
      <c r="C60" s="50"/>
      <c r="D60" s="72"/>
      <c r="E60" s="49"/>
      <c r="F60" s="49"/>
      <c r="G60" s="51"/>
      <c r="H60" s="49"/>
      <c r="I60" s="51"/>
      <c r="J60" s="52"/>
      <c r="K60" s="66"/>
      <c r="L60" s="66"/>
      <c r="M60" s="57"/>
      <c r="N60" s="54"/>
      <c r="O60" s="57"/>
      <c r="P60" s="54"/>
      <c r="Q60" s="55"/>
      <c r="R60" s="54"/>
      <c r="S60" s="54"/>
      <c r="T60" s="57"/>
      <c r="U60" s="55"/>
      <c r="V60" s="46"/>
      <c r="W60" s="46"/>
    </row>
    <row r="61" spans="2:23" x14ac:dyDescent="0.2">
      <c r="B61" s="49"/>
      <c r="C61" s="50"/>
      <c r="D61" s="72"/>
      <c r="E61" s="49"/>
      <c r="F61" s="49"/>
      <c r="G61" s="51"/>
      <c r="H61" s="49"/>
      <c r="I61" s="51"/>
      <c r="J61" s="52"/>
      <c r="K61" s="66"/>
      <c r="L61" s="66"/>
      <c r="M61" s="57"/>
      <c r="N61" s="54"/>
      <c r="O61" s="57"/>
      <c r="P61" s="54"/>
      <c r="Q61" s="55"/>
      <c r="R61" s="54"/>
      <c r="S61" s="54"/>
      <c r="T61" s="57"/>
      <c r="U61" s="55"/>
      <c r="V61" s="46"/>
      <c r="W61" s="46"/>
    </row>
    <row r="62" spans="2:23" x14ac:dyDescent="0.2">
      <c r="B62" s="49"/>
      <c r="C62" s="50"/>
      <c r="D62" s="72"/>
      <c r="E62" s="49"/>
      <c r="F62" s="49"/>
      <c r="G62" s="51"/>
      <c r="H62" s="49"/>
      <c r="I62" s="51"/>
      <c r="J62" s="52"/>
      <c r="K62" s="66"/>
      <c r="L62" s="66"/>
      <c r="M62" s="57"/>
      <c r="N62" s="54"/>
      <c r="O62" s="57"/>
      <c r="P62" s="54"/>
      <c r="Q62" s="55"/>
      <c r="R62" s="54"/>
      <c r="S62" s="54"/>
      <c r="T62" s="57"/>
      <c r="U62" s="55"/>
      <c r="V62" s="46"/>
      <c r="W62" s="46"/>
    </row>
    <row r="63" spans="2:23" x14ac:dyDescent="0.2">
      <c r="B63" s="49"/>
      <c r="C63" s="50"/>
      <c r="D63" s="72"/>
      <c r="E63" s="49"/>
      <c r="F63" s="49"/>
      <c r="G63" s="51"/>
      <c r="H63" s="49"/>
      <c r="I63" s="51"/>
      <c r="J63" s="52"/>
      <c r="K63" s="66"/>
      <c r="L63" s="66"/>
      <c r="M63" s="57"/>
      <c r="N63" s="54"/>
      <c r="O63" s="57"/>
      <c r="P63" s="54"/>
      <c r="Q63" s="55"/>
      <c r="R63" s="54"/>
      <c r="S63" s="54"/>
      <c r="T63" s="57"/>
      <c r="U63" s="55"/>
      <c r="V63" s="46"/>
      <c r="W63" s="46"/>
    </row>
    <row r="64" spans="2:23" x14ac:dyDescent="0.2">
      <c r="B64" s="49"/>
      <c r="C64" s="50"/>
      <c r="D64" s="72"/>
      <c r="E64" s="49"/>
      <c r="F64" s="49"/>
      <c r="G64" s="51"/>
      <c r="H64" s="49"/>
      <c r="I64" s="51"/>
      <c r="J64" s="52"/>
      <c r="K64" s="66"/>
      <c r="L64" s="66"/>
      <c r="M64" s="57"/>
      <c r="N64" s="54"/>
      <c r="O64" s="57"/>
      <c r="P64" s="54"/>
      <c r="Q64" s="55"/>
      <c r="R64" s="54"/>
      <c r="S64" s="54"/>
      <c r="T64" s="57"/>
      <c r="U64" s="55"/>
      <c r="V64" s="46"/>
      <c r="W64" s="46"/>
    </row>
    <row r="65" spans="2:23" x14ac:dyDescent="0.2">
      <c r="B65" s="49"/>
      <c r="C65" s="50"/>
      <c r="D65" s="72"/>
      <c r="E65" s="49"/>
      <c r="F65" s="49"/>
      <c r="G65" s="51"/>
      <c r="H65" s="49"/>
      <c r="I65" s="51"/>
      <c r="J65" s="52"/>
      <c r="K65" s="66"/>
      <c r="L65" s="66"/>
      <c r="M65" s="57"/>
      <c r="N65" s="54"/>
      <c r="O65" s="57"/>
      <c r="P65" s="54"/>
      <c r="Q65" s="55"/>
      <c r="R65" s="54"/>
      <c r="S65" s="54"/>
      <c r="T65" s="57"/>
      <c r="U65" s="55"/>
      <c r="V65" s="46"/>
      <c r="W65" s="46"/>
    </row>
    <row r="66" spans="2:23" x14ac:dyDescent="0.2">
      <c r="B66" s="49"/>
      <c r="C66" s="50"/>
      <c r="D66" s="72"/>
      <c r="E66" s="49"/>
      <c r="F66" s="49"/>
      <c r="G66" s="51"/>
      <c r="H66" s="49"/>
      <c r="I66" s="51"/>
      <c r="J66" s="52"/>
      <c r="K66" s="66"/>
      <c r="L66" s="66"/>
      <c r="M66" s="57"/>
      <c r="N66" s="54"/>
      <c r="O66" s="57"/>
      <c r="P66" s="54"/>
      <c r="Q66" s="55"/>
      <c r="R66" s="54"/>
      <c r="S66" s="54"/>
      <c r="T66" s="57"/>
      <c r="U66" s="55"/>
      <c r="V66" s="46"/>
      <c r="W66" s="46"/>
    </row>
    <row r="67" spans="2:23" x14ac:dyDescent="0.2">
      <c r="B67" s="49"/>
      <c r="C67" s="50"/>
      <c r="D67" s="72"/>
      <c r="E67" s="49"/>
      <c r="F67" s="49"/>
      <c r="G67" s="51"/>
      <c r="H67" s="49"/>
      <c r="I67" s="51"/>
      <c r="J67" s="52"/>
      <c r="K67" s="66"/>
      <c r="L67" s="66"/>
      <c r="M67" s="57"/>
      <c r="N67" s="54"/>
      <c r="O67" s="57"/>
      <c r="P67" s="54"/>
      <c r="Q67" s="55"/>
      <c r="R67" s="54"/>
      <c r="S67" s="54"/>
      <c r="T67" s="57"/>
      <c r="U67" s="55"/>
      <c r="V67" s="46"/>
      <c r="W67" s="46"/>
    </row>
    <row r="68" spans="2:23" x14ac:dyDescent="0.2">
      <c r="B68" s="49"/>
      <c r="C68" s="50"/>
      <c r="D68" s="72"/>
      <c r="E68" s="49"/>
      <c r="F68" s="49"/>
      <c r="G68" s="51"/>
      <c r="H68" s="49"/>
      <c r="I68" s="51"/>
      <c r="J68" s="52"/>
      <c r="K68" s="66"/>
      <c r="L68" s="66"/>
      <c r="M68" s="57"/>
      <c r="N68" s="54"/>
      <c r="O68" s="57"/>
      <c r="P68" s="54"/>
      <c r="Q68" s="55"/>
      <c r="R68" s="54"/>
      <c r="S68" s="54"/>
      <c r="T68" s="57"/>
      <c r="U68" s="55"/>
      <c r="V68" s="46"/>
      <c r="W68" s="46"/>
    </row>
    <row r="69" spans="2:23" x14ac:dyDescent="0.2">
      <c r="B69" s="49"/>
      <c r="C69" s="50"/>
      <c r="D69" s="72"/>
      <c r="E69" s="49"/>
      <c r="F69" s="49"/>
      <c r="G69" s="51"/>
      <c r="H69" s="49"/>
      <c r="I69" s="51"/>
      <c r="J69" s="52"/>
      <c r="K69" s="66"/>
      <c r="L69" s="66"/>
      <c r="M69" s="57"/>
      <c r="N69" s="54"/>
      <c r="O69" s="57"/>
      <c r="P69" s="54"/>
      <c r="Q69" s="55"/>
      <c r="R69" s="54"/>
      <c r="S69" s="54"/>
      <c r="T69" s="57"/>
      <c r="U69" s="55"/>
      <c r="V69" s="46"/>
      <c r="W69" s="46"/>
    </row>
    <row r="70" spans="2:23" x14ac:dyDescent="0.2">
      <c r="B70" s="49"/>
      <c r="C70" s="50"/>
      <c r="D70" s="72"/>
      <c r="E70" s="49"/>
      <c r="F70" s="49"/>
      <c r="G70" s="51"/>
      <c r="H70" s="49"/>
      <c r="I70" s="51"/>
      <c r="J70" s="52"/>
      <c r="K70" s="66"/>
      <c r="L70" s="66"/>
      <c r="M70" s="57"/>
      <c r="N70" s="54"/>
      <c r="O70" s="57"/>
      <c r="P70" s="54"/>
      <c r="Q70" s="55"/>
      <c r="R70" s="54"/>
      <c r="S70" s="54"/>
      <c r="T70" s="57"/>
      <c r="U70" s="55"/>
      <c r="V70" s="46"/>
      <c r="W70" s="46"/>
    </row>
    <row r="71" spans="2:23" x14ac:dyDescent="0.2">
      <c r="B71" s="49"/>
      <c r="C71" s="50"/>
      <c r="D71" s="72"/>
      <c r="E71" s="49"/>
      <c r="F71" s="49"/>
      <c r="G71" s="51"/>
      <c r="H71" s="49"/>
      <c r="I71" s="51"/>
      <c r="J71" s="52"/>
      <c r="K71" s="66"/>
      <c r="L71" s="66"/>
      <c r="M71" s="57"/>
      <c r="N71" s="54"/>
      <c r="O71" s="57"/>
      <c r="P71" s="54"/>
      <c r="Q71" s="55"/>
      <c r="R71" s="54"/>
      <c r="S71" s="54"/>
      <c r="T71" s="57"/>
      <c r="U71" s="55"/>
      <c r="V71" s="46"/>
      <c r="W71" s="46"/>
    </row>
    <row r="72" spans="2:23" x14ac:dyDescent="0.2">
      <c r="B72" s="49"/>
      <c r="C72" s="50"/>
      <c r="D72" s="72"/>
      <c r="E72" s="49"/>
      <c r="F72" s="49"/>
      <c r="G72" s="51"/>
      <c r="H72" s="49"/>
      <c r="I72" s="51"/>
      <c r="J72" s="52"/>
      <c r="K72" s="66"/>
      <c r="L72" s="66"/>
      <c r="M72" s="57"/>
      <c r="N72" s="54"/>
      <c r="O72" s="57"/>
      <c r="P72" s="54"/>
      <c r="Q72" s="55"/>
      <c r="R72" s="54"/>
      <c r="S72" s="54"/>
      <c r="T72" s="57"/>
      <c r="U72" s="55"/>
      <c r="V72" s="46"/>
      <c r="W72" s="46"/>
    </row>
    <row r="73" spans="2:23" x14ac:dyDescent="0.2">
      <c r="B73" s="49"/>
      <c r="C73" s="50"/>
      <c r="D73" s="72"/>
      <c r="E73" s="49"/>
      <c r="F73" s="49"/>
      <c r="G73" s="51"/>
      <c r="H73" s="49"/>
      <c r="I73" s="51"/>
      <c r="J73" s="52"/>
      <c r="K73" s="66"/>
      <c r="L73" s="66"/>
      <c r="M73" s="57"/>
      <c r="N73" s="54"/>
      <c r="O73" s="57"/>
      <c r="P73" s="54"/>
      <c r="Q73" s="55"/>
      <c r="R73" s="54"/>
      <c r="S73" s="54"/>
      <c r="T73" s="57"/>
      <c r="U73" s="55"/>
      <c r="V73" s="46"/>
      <c r="W73" s="46"/>
    </row>
    <row r="74" spans="2:23" x14ac:dyDescent="0.2">
      <c r="B74" s="49"/>
      <c r="C74" s="50"/>
      <c r="D74" s="72"/>
      <c r="E74" s="49"/>
      <c r="F74" s="49"/>
      <c r="G74" s="51"/>
      <c r="H74" s="49"/>
      <c r="I74" s="51"/>
      <c r="J74" s="52"/>
      <c r="K74" s="66"/>
      <c r="L74" s="66"/>
      <c r="M74" s="57"/>
      <c r="N74" s="54"/>
      <c r="O74" s="57"/>
      <c r="P74" s="54"/>
      <c r="Q74" s="55"/>
      <c r="R74" s="54"/>
      <c r="S74" s="54"/>
      <c r="T74" s="57"/>
      <c r="U74" s="55"/>
      <c r="V74" s="46"/>
      <c r="W74" s="46"/>
    </row>
    <row r="75" spans="2:23" x14ac:dyDescent="0.2">
      <c r="B75" s="49"/>
      <c r="C75" s="50"/>
      <c r="D75" s="72"/>
      <c r="E75" s="49"/>
      <c r="F75" s="49"/>
      <c r="G75" s="51"/>
      <c r="H75" s="49"/>
      <c r="I75" s="51"/>
      <c r="J75" s="52"/>
      <c r="K75" s="66"/>
      <c r="L75" s="66"/>
      <c r="M75" s="57"/>
      <c r="N75" s="54"/>
      <c r="O75" s="57"/>
      <c r="P75" s="54"/>
      <c r="Q75" s="55"/>
      <c r="R75" s="54"/>
      <c r="S75" s="54"/>
      <c r="T75" s="57"/>
      <c r="U75" s="55"/>
      <c r="V75" s="46"/>
      <c r="W75" s="46"/>
    </row>
    <row r="76" spans="2:23" x14ac:dyDescent="0.2">
      <c r="B76" s="49"/>
      <c r="C76" s="50"/>
      <c r="D76" s="72"/>
      <c r="E76" s="49"/>
      <c r="F76" s="49"/>
      <c r="G76" s="51"/>
      <c r="H76" s="49"/>
      <c r="I76" s="51"/>
      <c r="J76" s="52"/>
      <c r="K76" s="66"/>
      <c r="L76" s="66"/>
      <c r="M76" s="57"/>
      <c r="N76" s="54"/>
      <c r="O76" s="57"/>
      <c r="P76" s="54"/>
      <c r="Q76" s="55"/>
      <c r="R76" s="54"/>
      <c r="S76" s="54"/>
      <c r="T76" s="57"/>
      <c r="U76" s="55"/>
      <c r="V76" s="46"/>
      <c r="W76" s="46"/>
    </row>
    <row r="77" spans="2:23" x14ac:dyDescent="0.2">
      <c r="B77" s="49"/>
      <c r="C77" s="50"/>
      <c r="D77" s="72"/>
      <c r="E77" s="49"/>
      <c r="F77" s="49"/>
      <c r="G77" s="51"/>
      <c r="H77" s="49"/>
      <c r="I77" s="51"/>
      <c r="J77" s="52"/>
      <c r="K77" s="66"/>
      <c r="L77" s="66"/>
      <c r="M77" s="57"/>
      <c r="N77" s="54"/>
      <c r="O77" s="57"/>
      <c r="P77" s="54"/>
      <c r="Q77" s="55"/>
      <c r="R77" s="54"/>
      <c r="S77" s="54"/>
      <c r="T77" s="57"/>
      <c r="U77" s="55"/>
      <c r="V77" s="46"/>
      <c r="W77" s="46"/>
    </row>
    <row r="78" spans="2:23" x14ac:dyDescent="0.2">
      <c r="B78" s="49"/>
      <c r="C78" s="50"/>
      <c r="D78" s="72"/>
      <c r="E78" s="49"/>
      <c r="F78" s="49"/>
      <c r="G78" s="51"/>
      <c r="H78" s="49"/>
      <c r="I78" s="51"/>
      <c r="J78" s="52"/>
      <c r="K78" s="66"/>
      <c r="L78" s="66"/>
      <c r="M78" s="57"/>
      <c r="N78" s="54"/>
      <c r="O78" s="57"/>
      <c r="P78" s="54"/>
      <c r="Q78" s="55"/>
      <c r="R78" s="54"/>
      <c r="S78" s="54"/>
      <c r="T78" s="57"/>
      <c r="U78" s="55"/>
      <c r="V78" s="46"/>
      <c r="W78" s="46"/>
    </row>
    <row r="79" spans="2:23" x14ac:dyDescent="0.2">
      <c r="B79" s="49"/>
      <c r="C79" s="50"/>
      <c r="D79" s="72"/>
      <c r="E79" s="49"/>
      <c r="F79" s="49"/>
      <c r="G79" s="51"/>
      <c r="H79" s="49"/>
      <c r="I79" s="51"/>
      <c r="J79" s="52"/>
      <c r="K79" s="66"/>
      <c r="L79" s="66"/>
      <c r="M79" s="57"/>
      <c r="N79" s="54"/>
      <c r="O79" s="57"/>
      <c r="P79" s="54"/>
      <c r="Q79" s="55"/>
      <c r="R79" s="54"/>
      <c r="S79" s="54"/>
      <c r="T79" s="57"/>
      <c r="U79" s="55"/>
      <c r="V79" s="46"/>
      <c r="W79" s="46"/>
    </row>
    <row r="80" spans="2:23" x14ac:dyDescent="0.2">
      <c r="B80" s="49"/>
      <c r="C80" s="50"/>
      <c r="D80" s="72"/>
      <c r="E80" s="49"/>
      <c r="F80" s="49"/>
      <c r="G80" s="51"/>
      <c r="H80" s="49"/>
      <c r="I80" s="51"/>
      <c r="J80" s="52"/>
      <c r="K80" s="66"/>
      <c r="L80" s="66"/>
      <c r="M80" s="57"/>
      <c r="N80" s="54"/>
      <c r="O80" s="57"/>
      <c r="P80" s="54"/>
      <c r="Q80" s="55"/>
      <c r="R80" s="54"/>
      <c r="S80" s="54"/>
      <c r="T80" s="57"/>
      <c r="U80" s="55"/>
      <c r="V80" s="46"/>
      <c r="W80" s="46"/>
    </row>
    <row r="81" spans="2:23" x14ac:dyDescent="0.2">
      <c r="B81" s="49"/>
      <c r="C81" s="50"/>
      <c r="D81" s="72"/>
      <c r="E81" s="49"/>
      <c r="F81" s="49"/>
      <c r="G81" s="51"/>
      <c r="H81" s="49"/>
      <c r="I81" s="51"/>
      <c r="J81" s="52"/>
      <c r="K81" s="66"/>
      <c r="L81" s="66"/>
      <c r="M81" s="57"/>
      <c r="N81" s="54"/>
      <c r="O81" s="57"/>
      <c r="P81" s="54"/>
      <c r="Q81" s="55"/>
      <c r="R81" s="54"/>
      <c r="S81" s="54"/>
      <c r="T81" s="57"/>
      <c r="U81" s="55"/>
      <c r="V81" s="46"/>
      <c r="W81" s="46"/>
    </row>
    <row r="82" spans="2:23" x14ac:dyDescent="0.2">
      <c r="B82" s="49"/>
      <c r="C82" s="50"/>
      <c r="D82" s="72"/>
      <c r="E82" s="49"/>
      <c r="F82" s="49"/>
      <c r="G82" s="51"/>
      <c r="H82" s="49"/>
      <c r="I82" s="51"/>
      <c r="J82" s="52"/>
      <c r="K82" s="66"/>
      <c r="L82" s="66"/>
      <c r="M82" s="57"/>
      <c r="N82" s="54"/>
      <c r="O82" s="57"/>
      <c r="P82" s="54"/>
      <c r="Q82" s="55"/>
      <c r="R82" s="54"/>
      <c r="S82" s="54"/>
      <c r="T82" s="57"/>
      <c r="U82" s="55"/>
      <c r="V82" s="46"/>
      <c r="W82" s="46"/>
    </row>
    <row r="83" spans="2:23" x14ac:dyDescent="0.2">
      <c r="B83" s="49"/>
      <c r="C83" s="50"/>
      <c r="D83" s="72"/>
      <c r="E83" s="49"/>
      <c r="F83" s="49"/>
      <c r="G83" s="51"/>
      <c r="H83" s="49"/>
      <c r="I83" s="51"/>
      <c r="J83" s="52"/>
      <c r="K83" s="66"/>
      <c r="L83" s="66"/>
      <c r="M83" s="57"/>
      <c r="N83" s="54"/>
      <c r="O83" s="57"/>
      <c r="P83" s="54"/>
      <c r="Q83" s="55"/>
      <c r="R83" s="54"/>
      <c r="S83" s="54"/>
      <c r="T83" s="57"/>
      <c r="U83" s="55"/>
      <c r="V83" s="46"/>
      <c r="W83" s="46"/>
    </row>
    <row r="84" spans="2:23" x14ac:dyDescent="0.2">
      <c r="B84" s="49"/>
      <c r="C84" s="50"/>
      <c r="D84" s="72"/>
      <c r="E84" s="49"/>
      <c r="F84" s="49"/>
      <c r="G84" s="51"/>
      <c r="H84" s="49"/>
      <c r="I84" s="51"/>
      <c r="J84" s="52"/>
      <c r="K84" s="66"/>
      <c r="L84" s="66"/>
      <c r="M84" s="57"/>
      <c r="N84" s="54"/>
      <c r="O84" s="57"/>
      <c r="P84" s="54"/>
      <c r="Q84" s="55"/>
      <c r="R84" s="54"/>
      <c r="S84" s="54"/>
      <c r="T84" s="57"/>
      <c r="U84" s="55"/>
      <c r="V84" s="46"/>
      <c r="W84" s="46"/>
    </row>
    <row r="85" spans="2:23" x14ac:dyDescent="0.2">
      <c r="B85" s="49"/>
      <c r="C85" s="50"/>
      <c r="D85" s="72"/>
      <c r="E85" s="49"/>
      <c r="F85" s="49"/>
      <c r="G85" s="51"/>
      <c r="H85" s="49"/>
      <c r="I85" s="51"/>
      <c r="J85" s="52"/>
      <c r="K85" s="66"/>
      <c r="L85" s="66"/>
      <c r="M85" s="57"/>
      <c r="N85" s="54"/>
      <c r="O85" s="57"/>
      <c r="P85" s="54"/>
      <c r="Q85" s="55"/>
      <c r="R85" s="54"/>
      <c r="S85" s="54"/>
      <c r="T85" s="57"/>
      <c r="U85" s="55"/>
      <c r="V85" s="46"/>
      <c r="W85" s="46"/>
    </row>
    <row r="86" spans="2:23" x14ac:dyDescent="0.2">
      <c r="B86" s="49"/>
      <c r="C86" s="50"/>
      <c r="D86" s="72"/>
      <c r="E86" s="49"/>
      <c r="F86" s="49"/>
      <c r="G86" s="51"/>
      <c r="H86" s="49"/>
      <c r="I86" s="51"/>
      <c r="J86" s="52"/>
      <c r="K86" s="66"/>
      <c r="L86" s="66"/>
      <c r="M86" s="57"/>
      <c r="N86" s="54"/>
      <c r="O86" s="57"/>
      <c r="P86" s="54"/>
      <c r="Q86" s="55"/>
      <c r="R86" s="54"/>
      <c r="S86" s="54"/>
      <c r="T86" s="57"/>
      <c r="U86" s="55"/>
      <c r="V86" s="46"/>
      <c r="W86" s="46"/>
    </row>
    <row r="87" spans="2:23" x14ac:dyDescent="0.2">
      <c r="B87" s="49"/>
      <c r="C87" s="50"/>
      <c r="D87" s="72"/>
      <c r="E87" s="49"/>
      <c r="F87" s="49"/>
      <c r="G87" s="51"/>
      <c r="H87" s="49"/>
      <c r="I87" s="51"/>
      <c r="J87" s="52"/>
      <c r="K87" s="66"/>
      <c r="L87" s="66"/>
      <c r="M87" s="57"/>
      <c r="N87" s="54"/>
      <c r="O87" s="57"/>
      <c r="P87" s="54"/>
      <c r="Q87" s="55"/>
      <c r="R87" s="54"/>
      <c r="S87" s="54"/>
      <c r="T87" s="57"/>
      <c r="U87" s="55"/>
      <c r="V87" s="46"/>
      <c r="W87" s="46"/>
    </row>
    <row r="88" spans="2:23" x14ac:dyDescent="0.2">
      <c r="B88" s="49"/>
      <c r="C88" s="50"/>
      <c r="D88" s="72"/>
      <c r="E88" s="49"/>
      <c r="F88" s="49"/>
      <c r="G88" s="51"/>
      <c r="H88" s="49"/>
      <c r="I88" s="51"/>
      <c r="J88" s="52"/>
      <c r="K88" s="66"/>
      <c r="L88" s="66"/>
      <c r="M88" s="57"/>
      <c r="N88" s="54"/>
      <c r="O88" s="57"/>
      <c r="P88" s="54"/>
      <c r="Q88" s="55"/>
      <c r="R88" s="54"/>
      <c r="S88" s="54"/>
      <c r="T88" s="57"/>
      <c r="U88" s="55"/>
      <c r="V88" s="46"/>
      <c r="W88" s="46"/>
    </row>
    <row r="89" spans="2:23" x14ac:dyDescent="0.2">
      <c r="B89" s="49"/>
      <c r="C89" s="50"/>
      <c r="D89" s="72"/>
      <c r="E89" s="49"/>
      <c r="F89" s="49"/>
      <c r="G89" s="51"/>
      <c r="H89" s="49"/>
      <c r="I89" s="51"/>
      <c r="J89" s="52"/>
      <c r="K89" s="66"/>
      <c r="L89" s="66"/>
      <c r="M89" s="57"/>
      <c r="N89" s="54"/>
      <c r="O89" s="57"/>
      <c r="P89" s="54"/>
      <c r="Q89" s="55"/>
      <c r="R89" s="54"/>
      <c r="S89" s="54"/>
      <c r="T89" s="57"/>
      <c r="U89" s="55"/>
      <c r="V89" s="46"/>
      <c r="W89" s="46"/>
    </row>
    <row r="90" spans="2:23" x14ac:dyDescent="0.2">
      <c r="B90" s="49"/>
      <c r="C90" s="50"/>
      <c r="D90" s="72"/>
      <c r="E90" s="49"/>
      <c r="F90" s="49"/>
      <c r="G90" s="51"/>
      <c r="H90" s="49"/>
      <c r="I90" s="51"/>
      <c r="J90" s="52"/>
      <c r="K90" s="66"/>
      <c r="L90" s="66"/>
      <c r="M90" s="57"/>
      <c r="N90" s="54"/>
      <c r="O90" s="57"/>
      <c r="P90" s="54"/>
      <c r="Q90" s="55"/>
      <c r="R90" s="54"/>
      <c r="S90" s="54"/>
      <c r="T90" s="57"/>
      <c r="U90" s="55"/>
      <c r="V90" s="46"/>
      <c r="W90" s="46"/>
    </row>
    <row r="91" spans="2:23" x14ac:dyDescent="0.2">
      <c r="B91" s="49"/>
      <c r="C91" s="50"/>
      <c r="D91" s="72"/>
      <c r="E91" s="49"/>
      <c r="F91" s="49"/>
      <c r="G91" s="51"/>
      <c r="H91" s="49"/>
      <c r="I91" s="51"/>
      <c r="J91" s="52"/>
      <c r="K91" s="66"/>
      <c r="L91" s="66"/>
      <c r="M91" s="57"/>
      <c r="N91" s="54"/>
      <c r="O91" s="57"/>
      <c r="P91" s="54"/>
      <c r="Q91" s="55"/>
      <c r="R91" s="54"/>
      <c r="S91" s="54"/>
      <c r="T91" s="57"/>
      <c r="U91" s="55"/>
      <c r="V91" s="46"/>
      <c r="W91" s="46"/>
    </row>
    <row r="92" spans="2:23" x14ac:dyDescent="0.2">
      <c r="B92" s="49"/>
      <c r="C92" s="50"/>
      <c r="D92" s="72"/>
      <c r="E92" s="49"/>
      <c r="F92" s="49"/>
      <c r="G92" s="51"/>
      <c r="H92" s="49"/>
      <c r="I92" s="51"/>
      <c r="J92" s="52"/>
      <c r="K92" s="66"/>
      <c r="L92" s="66"/>
      <c r="M92" s="57"/>
      <c r="N92" s="54"/>
      <c r="O92" s="57"/>
      <c r="P92" s="54"/>
      <c r="Q92" s="55"/>
      <c r="R92" s="54"/>
      <c r="S92" s="54"/>
      <c r="T92" s="57"/>
      <c r="U92" s="55"/>
      <c r="V92" s="46"/>
      <c r="W92" s="46"/>
    </row>
    <row r="93" spans="2:23" x14ac:dyDescent="0.2">
      <c r="B93" s="49"/>
      <c r="C93" s="50"/>
      <c r="D93" s="72"/>
      <c r="E93" s="49"/>
      <c r="F93" s="49"/>
      <c r="G93" s="51"/>
      <c r="H93" s="49"/>
      <c r="I93" s="51"/>
      <c r="J93" s="52"/>
      <c r="K93" s="66"/>
      <c r="L93" s="66"/>
      <c r="M93" s="57"/>
      <c r="N93" s="54"/>
      <c r="O93" s="57"/>
      <c r="P93" s="54"/>
      <c r="Q93" s="55"/>
      <c r="R93" s="54"/>
      <c r="S93" s="54"/>
      <c r="T93" s="57"/>
      <c r="U93" s="55"/>
      <c r="V93" s="46"/>
      <c r="W93" s="46"/>
    </row>
    <row r="94" spans="2:23" x14ac:dyDescent="0.2">
      <c r="B94" s="49"/>
      <c r="C94" s="50"/>
      <c r="D94" s="72"/>
      <c r="E94" s="49"/>
      <c r="F94" s="49"/>
      <c r="G94" s="51"/>
      <c r="H94" s="49"/>
      <c r="I94" s="51"/>
      <c r="J94" s="52"/>
      <c r="K94" s="66"/>
      <c r="L94" s="66"/>
      <c r="M94" s="57"/>
      <c r="N94" s="54"/>
      <c r="O94" s="57"/>
      <c r="P94" s="54"/>
      <c r="Q94" s="55"/>
      <c r="R94" s="54"/>
      <c r="S94" s="54"/>
      <c r="T94" s="57"/>
      <c r="U94" s="55"/>
      <c r="V94" s="46"/>
      <c r="W94" s="46"/>
    </row>
    <row r="95" spans="2:23" x14ac:dyDescent="0.2">
      <c r="B95" s="49"/>
      <c r="C95" s="50"/>
      <c r="D95" s="72"/>
      <c r="E95" s="49"/>
      <c r="F95" s="49"/>
      <c r="G95" s="51"/>
      <c r="H95" s="49"/>
      <c r="I95" s="51"/>
      <c r="J95" s="52"/>
      <c r="K95" s="66"/>
      <c r="L95" s="66"/>
      <c r="M95" s="57"/>
      <c r="N95" s="54"/>
      <c r="O95" s="57"/>
      <c r="P95" s="54"/>
      <c r="Q95" s="55"/>
      <c r="R95" s="54"/>
      <c r="S95" s="54"/>
      <c r="T95" s="57"/>
      <c r="U95" s="55"/>
      <c r="V95" s="46"/>
      <c r="W95" s="46"/>
    </row>
    <row r="96" spans="2:23" x14ac:dyDescent="0.2">
      <c r="B96" s="49"/>
      <c r="C96" s="50"/>
      <c r="D96" s="72"/>
      <c r="E96" s="49"/>
      <c r="F96" s="49"/>
      <c r="G96" s="51"/>
      <c r="H96" s="49"/>
      <c r="I96" s="51"/>
      <c r="J96" s="52"/>
      <c r="K96" s="66"/>
      <c r="L96" s="66"/>
      <c r="M96" s="57"/>
      <c r="N96" s="54"/>
      <c r="O96" s="57"/>
      <c r="P96" s="54"/>
      <c r="Q96" s="55"/>
      <c r="R96" s="54"/>
      <c r="S96" s="54"/>
      <c r="T96" s="57"/>
      <c r="U96" s="55"/>
      <c r="V96" s="46"/>
      <c r="W96" s="46"/>
    </row>
    <row r="97" spans="2:23" x14ac:dyDescent="0.2">
      <c r="B97" s="49"/>
      <c r="C97" s="50"/>
      <c r="D97" s="72"/>
      <c r="E97" s="49"/>
      <c r="F97" s="49"/>
      <c r="G97" s="51"/>
      <c r="H97" s="49"/>
      <c r="I97" s="51"/>
      <c r="J97" s="52"/>
      <c r="K97" s="66"/>
      <c r="L97" s="66"/>
      <c r="M97" s="57"/>
      <c r="N97" s="54"/>
      <c r="O97" s="57"/>
      <c r="P97" s="54"/>
      <c r="Q97" s="55"/>
      <c r="R97" s="54"/>
      <c r="S97" s="54"/>
      <c r="T97" s="57"/>
      <c r="U97" s="55"/>
      <c r="V97" s="46"/>
      <c r="W97" s="46"/>
    </row>
    <row r="98" spans="2:23" x14ac:dyDescent="0.2">
      <c r="B98" s="49"/>
      <c r="C98" s="50"/>
      <c r="D98" s="72"/>
      <c r="E98" s="49"/>
      <c r="F98" s="49"/>
      <c r="G98" s="51"/>
      <c r="H98" s="49"/>
      <c r="I98" s="51"/>
      <c r="J98" s="52"/>
      <c r="K98" s="66"/>
      <c r="L98" s="66"/>
      <c r="M98" s="57"/>
      <c r="N98" s="54"/>
      <c r="O98" s="57"/>
      <c r="P98" s="54"/>
      <c r="Q98" s="55"/>
      <c r="R98" s="54"/>
      <c r="S98" s="54"/>
      <c r="T98" s="57"/>
      <c r="U98" s="55"/>
      <c r="V98" s="46"/>
      <c r="W98" s="46"/>
    </row>
    <row r="99" spans="2:23" x14ac:dyDescent="0.2">
      <c r="B99" s="49"/>
      <c r="C99" s="50"/>
      <c r="D99" s="72"/>
      <c r="E99" s="49"/>
      <c r="F99" s="49"/>
      <c r="G99" s="51"/>
      <c r="H99" s="49"/>
      <c r="I99" s="51"/>
      <c r="J99" s="52"/>
      <c r="K99" s="66"/>
      <c r="L99" s="66"/>
      <c r="M99" s="57"/>
      <c r="N99" s="54"/>
      <c r="O99" s="57"/>
      <c r="P99" s="54"/>
      <c r="Q99" s="55"/>
      <c r="R99" s="54"/>
      <c r="S99" s="54"/>
      <c r="T99" s="57"/>
      <c r="U99" s="55"/>
      <c r="V99" s="46"/>
      <c r="W99" s="46"/>
    </row>
    <row r="100" spans="2:23" x14ac:dyDescent="0.2">
      <c r="B100" s="49"/>
      <c r="C100" s="50"/>
      <c r="D100" s="72"/>
      <c r="E100" s="49"/>
      <c r="F100" s="49"/>
      <c r="G100" s="51"/>
      <c r="H100" s="49"/>
      <c r="I100" s="51"/>
      <c r="J100" s="52"/>
      <c r="K100" s="66"/>
      <c r="L100" s="66"/>
      <c r="M100" s="57"/>
      <c r="N100" s="54"/>
      <c r="O100" s="57"/>
      <c r="P100" s="54"/>
      <c r="Q100" s="55"/>
      <c r="R100" s="54"/>
      <c r="S100" s="54"/>
      <c r="T100" s="57"/>
      <c r="U100" s="55"/>
      <c r="V100" s="46"/>
      <c r="W100" s="46"/>
    </row>
    <row r="101" spans="2:23" x14ac:dyDescent="0.2">
      <c r="B101" s="49"/>
      <c r="C101" s="50"/>
      <c r="D101" s="72"/>
      <c r="E101" s="49"/>
      <c r="F101" s="49"/>
      <c r="G101" s="51"/>
      <c r="H101" s="49"/>
      <c r="I101" s="51"/>
      <c r="J101" s="52"/>
      <c r="K101" s="66"/>
      <c r="L101" s="66"/>
      <c r="M101" s="57"/>
      <c r="N101" s="54"/>
      <c r="O101" s="57"/>
      <c r="P101" s="54"/>
      <c r="Q101" s="55"/>
      <c r="R101" s="54"/>
      <c r="S101" s="54"/>
      <c r="T101" s="57"/>
      <c r="U101" s="55"/>
      <c r="V101" s="46"/>
      <c r="W101" s="46"/>
    </row>
    <row r="102" spans="2:23" x14ac:dyDescent="0.2">
      <c r="B102" s="49"/>
      <c r="C102" s="50"/>
      <c r="D102" s="72"/>
      <c r="E102" s="49"/>
      <c r="F102" s="49"/>
      <c r="G102" s="51"/>
      <c r="H102" s="49"/>
      <c r="I102" s="51"/>
      <c r="J102" s="52"/>
      <c r="K102" s="66"/>
      <c r="L102" s="66"/>
      <c r="M102" s="57"/>
      <c r="N102" s="54"/>
      <c r="O102" s="57"/>
      <c r="P102" s="54"/>
      <c r="Q102" s="55"/>
      <c r="R102" s="54"/>
      <c r="S102" s="54"/>
      <c r="T102" s="57"/>
      <c r="U102" s="55"/>
      <c r="V102" s="46"/>
      <c r="W102" s="46"/>
    </row>
    <row r="103" spans="2:23" x14ac:dyDescent="0.2">
      <c r="B103" s="49"/>
      <c r="C103" s="50"/>
      <c r="D103" s="72"/>
      <c r="E103" s="49"/>
      <c r="F103" s="49"/>
      <c r="G103" s="51"/>
      <c r="H103" s="49"/>
      <c r="I103" s="51"/>
      <c r="J103" s="52"/>
      <c r="K103" s="66"/>
      <c r="L103" s="66"/>
      <c r="M103" s="57"/>
      <c r="N103" s="54"/>
      <c r="O103" s="57"/>
      <c r="P103" s="54"/>
      <c r="Q103" s="55"/>
      <c r="R103" s="54"/>
      <c r="S103" s="54"/>
      <c r="T103" s="57"/>
      <c r="U103" s="55"/>
      <c r="V103" s="46"/>
      <c r="W103" s="46"/>
    </row>
    <row r="104" spans="2:23" x14ac:dyDescent="0.2">
      <c r="B104" s="49"/>
      <c r="C104" s="50"/>
      <c r="D104" s="72"/>
      <c r="E104" s="49"/>
      <c r="F104" s="49"/>
      <c r="G104" s="51"/>
      <c r="H104" s="49"/>
      <c r="I104" s="51"/>
      <c r="J104" s="52"/>
      <c r="K104" s="66"/>
      <c r="L104" s="66"/>
      <c r="M104" s="57"/>
      <c r="N104" s="54"/>
      <c r="O104" s="57"/>
      <c r="P104" s="54"/>
      <c r="Q104" s="55"/>
      <c r="R104" s="54"/>
      <c r="S104" s="54"/>
      <c r="T104" s="57"/>
      <c r="U104" s="55"/>
      <c r="V104" s="46"/>
      <c r="W104" s="46"/>
    </row>
    <row r="105" spans="2:23" x14ac:dyDescent="0.2">
      <c r="B105" s="49"/>
      <c r="C105" s="50"/>
      <c r="D105" s="72"/>
      <c r="E105" s="49"/>
      <c r="F105" s="49"/>
      <c r="G105" s="51"/>
      <c r="H105" s="49"/>
      <c r="I105" s="51"/>
      <c r="J105" s="52"/>
      <c r="K105" s="66"/>
      <c r="L105" s="66"/>
      <c r="M105" s="57"/>
      <c r="N105" s="54"/>
      <c r="O105" s="57"/>
      <c r="P105" s="54"/>
      <c r="Q105" s="55"/>
      <c r="R105" s="54"/>
      <c r="S105" s="54"/>
      <c r="T105" s="57"/>
      <c r="U105" s="55"/>
      <c r="V105" s="46"/>
      <c r="W105" s="46"/>
    </row>
    <row r="106" spans="2:23" x14ac:dyDescent="0.2">
      <c r="B106" s="49"/>
      <c r="C106" s="50"/>
      <c r="D106" s="72"/>
      <c r="E106" s="49"/>
      <c r="F106" s="49"/>
      <c r="G106" s="51"/>
      <c r="H106" s="49"/>
      <c r="I106" s="51"/>
      <c r="J106" s="52"/>
      <c r="K106" s="66"/>
      <c r="L106" s="66"/>
      <c r="M106" s="57"/>
      <c r="N106" s="54"/>
      <c r="O106" s="57"/>
      <c r="P106" s="54"/>
      <c r="Q106" s="55"/>
      <c r="R106" s="54"/>
      <c r="S106" s="54"/>
      <c r="T106" s="57"/>
      <c r="U106" s="55"/>
      <c r="V106" s="46"/>
      <c r="W106" s="46"/>
    </row>
    <row r="107" spans="2:23" x14ac:dyDescent="0.2">
      <c r="B107" s="49"/>
      <c r="C107" s="50"/>
      <c r="D107" s="72"/>
      <c r="E107" s="49"/>
      <c r="F107" s="49"/>
      <c r="G107" s="51"/>
      <c r="H107" s="49"/>
      <c r="I107" s="51"/>
      <c r="J107" s="52"/>
      <c r="K107" s="66"/>
      <c r="L107" s="66"/>
      <c r="M107" s="57"/>
      <c r="N107" s="54"/>
      <c r="O107" s="57"/>
      <c r="P107" s="54"/>
      <c r="Q107" s="55"/>
      <c r="R107" s="54"/>
      <c r="S107" s="54"/>
      <c r="T107" s="57"/>
      <c r="U107" s="55"/>
      <c r="V107" s="46"/>
      <c r="W107" s="46"/>
    </row>
    <row r="108" spans="2:23" x14ac:dyDescent="0.2">
      <c r="B108" s="49"/>
      <c r="C108" s="50"/>
      <c r="D108" s="72"/>
      <c r="E108" s="49"/>
      <c r="F108" s="49"/>
      <c r="G108" s="51"/>
      <c r="H108" s="49"/>
      <c r="I108" s="51"/>
      <c r="J108" s="52"/>
      <c r="K108" s="66"/>
      <c r="L108" s="66"/>
      <c r="M108" s="57"/>
      <c r="N108" s="54"/>
      <c r="O108" s="57"/>
      <c r="P108" s="54"/>
      <c r="Q108" s="55"/>
      <c r="R108" s="54"/>
      <c r="S108" s="54"/>
      <c r="T108" s="57"/>
      <c r="U108" s="55"/>
      <c r="V108" s="46"/>
      <c r="W108" s="46"/>
    </row>
    <row r="109" spans="2:23" x14ac:dyDescent="0.2">
      <c r="B109" s="49"/>
      <c r="C109" s="50"/>
      <c r="D109" s="72"/>
      <c r="E109" s="49"/>
      <c r="F109" s="49"/>
      <c r="G109" s="51"/>
      <c r="H109" s="49"/>
      <c r="I109" s="51"/>
      <c r="J109" s="52"/>
      <c r="K109" s="66"/>
      <c r="L109" s="66"/>
      <c r="M109" s="57"/>
      <c r="N109" s="54"/>
      <c r="O109" s="57"/>
      <c r="P109" s="54"/>
      <c r="Q109" s="55"/>
      <c r="R109" s="54"/>
      <c r="S109" s="54"/>
      <c r="T109" s="57"/>
      <c r="U109" s="55"/>
      <c r="V109" s="46"/>
      <c r="W109" s="46"/>
    </row>
    <row r="110" spans="2:23" x14ac:dyDescent="0.2">
      <c r="B110" s="49"/>
      <c r="C110" s="50"/>
      <c r="D110" s="72"/>
      <c r="E110" s="49"/>
      <c r="F110" s="49"/>
      <c r="G110" s="51"/>
      <c r="H110" s="49"/>
      <c r="I110" s="51"/>
      <c r="J110" s="52"/>
      <c r="K110" s="66"/>
      <c r="L110" s="66"/>
      <c r="M110" s="57"/>
      <c r="N110" s="54"/>
      <c r="O110" s="57"/>
      <c r="P110" s="54"/>
      <c r="Q110" s="55"/>
      <c r="R110" s="54"/>
      <c r="S110" s="54"/>
      <c r="T110" s="57"/>
      <c r="U110" s="55"/>
      <c r="V110" s="46"/>
      <c r="W110" s="46"/>
    </row>
    <row r="111" spans="2:23" x14ac:dyDescent="0.2">
      <c r="B111" s="49"/>
      <c r="C111" s="50"/>
      <c r="D111" s="72"/>
      <c r="E111" s="49"/>
      <c r="F111" s="49"/>
      <c r="G111" s="51"/>
      <c r="H111" s="49"/>
      <c r="I111" s="51"/>
      <c r="J111" s="52"/>
      <c r="K111" s="66"/>
      <c r="L111" s="66"/>
      <c r="M111" s="57"/>
      <c r="N111" s="54"/>
      <c r="O111" s="57"/>
      <c r="P111" s="54"/>
      <c r="Q111" s="55"/>
      <c r="R111" s="54"/>
      <c r="S111" s="54"/>
      <c r="T111" s="57"/>
      <c r="U111" s="55"/>
      <c r="V111" s="46"/>
      <c r="W111" s="46"/>
    </row>
    <row r="112" spans="2:23" x14ac:dyDescent="0.2">
      <c r="B112" s="49"/>
      <c r="C112" s="50"/>
      <c r="D112" s="72"/>
      <c r="E112" s="49"/>
      <c r="F112" s="49"/>
      <c r="G112" s="51"/>
      <c r="H112" s="49"/>
      <c r="I112" s="51"/>
      <c r="J112" s="52"/>
      <c r="K112" s="66"/>
      <c r="L112" s="66"/>
      <c r="M112" s="57"/>
      <c r="N112" s="54"/>
      <c r="O112" s="57"/>
      <c r="P112" s="54"/>
      <c r="Q112" s="55"/>
      <c r="R112" s="54"/>
      <c r="S112" s="54"/>
      <c r="T112" s="57"/>
      <c r="U112" s="55"/>
      <c r="V112" s="46"/>
      <c r="W112" s="46"/>
    </row>
    <row r="113" spans="2:23" x14ac:dyDescent="0.2">
      <c r="B113" s="49"/>
      <c r="C113" s="50"/>
      <c r="D113" s="72"/>
      <c r="E113" s="49"/>
      <c r="F113" s="49"/>
      <c r="G113" s="51"/>
      <c r="H113" s="49"/>
      <c r="I113" s="51"/>
      <c r="J113" s="52"/>
      <c r="K113" s="66"/>
      <c r="L113" s="66"/>
      <c r="M113" s="57"/>
      <c r="N113" s="54"/>
      <c r="O113" s="57"/>
      <c r="P113" s="54"/>
      <c r="Q113" s="55"/>
      <c r="R113" s="54"/>
      <c r="S113" s="54"/>
      <c r="T113" s="57"/>
      <c r="U113" s="55"/>
      <c r="V113" s="46"/>
      <c r="W113" s="46"/>
    </row>
    <row r="114" spans="2:23" x14ac:dyDescent="0.2">
      <c r="B114" s="49"/>
      <c r="C114" s="50"/>
      <c r="D114" s="72"/>
      <c r="E114" s="49"/>
      <c r="F114" s="49"/>
      <c r="G114" s="51"/>
      <c r="H114" s="49"/>
      <c r="I114" s="51"/>
      <c r="J114" s="52"/>
      <c r="K114" s="66"/>
      <c r="L114" s="66"/>
      <c r="M114" s="57"/>
      <c r="N114" s="54"/>
      <c r="O114" s="57"/>
      <c r="P114" s="54"/>
      <c r="Q114" s="55"/>
      <c r="R114" s="54"/>
      <c r="S114" s="54"/>
      <c r="T114" s="57"/>
      <c r="U114" s="55"/>
      <c r="V114" s="46"/>
      <c r="W114" s="46"/>
    </row>
    <row r="115" spans="2:23" x14ac:dyDescent="0.2">
      <c r="B115" s="49"/>
      <c r="C115" s="50"/>
      <c r="D115" s="72"/>
      <c r="E115" s="49"/>
      <c r="F115" s="49"/>
      <c r="G115" s="51"/>
      <c r="H115" s="49"/>
      <c r="I115" s="51"/>
      <c r="J115" s="52"/>
      <c r="K115" s="66"/>
      <c r="L115" s="66"/>
      <c r="M115" s="57"/>
      <c r="N115" s="54"/>
      <c r="O115" s="57"/>
      <c r="P115" s="54"/>
      <c r="Q115" s="55"/>
      <c r="R115" s="54"/>
      <c r="S115" s="54"/>
      <c r="T115" s="57"/>
      <c r="U115" s="55"/>
      <c r="V115" s="46"/>
      <c r="W115" s="46"/>
    </row>
    <row r="116" spans="2:23" x14ac:dyDescent="0.2">
      <c r="B116" s="49"/>
      <c r="C116" s="50"/>
      <c r="D116" s="72"/>
      <c r="E116" s="49"/>
      <c r="F116" s="49"/>
      <c r="G116" s="51"/>
      <c r="H116" s="49"/>
      <c r="I116" s="51"/>
      <c r="J116" s="52"/>
      <c r="K116" s="66"/>
      <c r="L116" s="66"/>
      <c r="M116" s="57"/>
      <c r="N116" s="54"/>
      <c r="O116" s="57"/>
      <c r="P116" s="54"/>
      <c r="Q116" s="55"/>
      <c r="R116" s="54"/>
      <c r="S116" s="54"/>
      <c r="T116" s="57"/>
      <c r="U116" s="55"/>
      <c r="V116" s="46"/>
      <c r="W116" s="46"/>
    </row>
    <row r="117" spans="2:23" x14ac:dyDescent="0.2">
      <c r="B117" s="49"/>
      <c r="C117" s="50"/>
      <c r="D117" s="72"/>
      <c r="E117" s="49"/>
      <c r="F117" s="49"/>
      <c r="G117" s="51"/>
      <c r="H117" s="49"/>
      <c r="I117" s="51"/>
      <c r="J117" s="52"/>
      <c r="K117" s="66"/>
      <c r="L117" s="66"/>
      <c r="M117" s="57"/>
      <c r="N117" s="54"/>
      <c r="O117" s="57"/>
      <c r="P117" s="54"/>
      <c r="Q117" s="55"/>
      <c r="R117" s="54"/>
      <c r="S117" s="54"/>
      <c r="T117" s="57"/>
      <c r="U117" s="55"/>
      <c r="V117" s="46"/>
      <c r="W117" s="46"/>
    </row>
    <row r="118" spans="2:23" x14ac:dyDescent="0.2">
      <c r="B118" s="49"/>
      <c r="C118" s="50"/>
      <c r="D118" s="72"/>
      <c r="E118" s="49"/>
      <c r="F118" s="49"/>
      <c r="G118" s="51"/>
      <c r="H118" s="49"/>
      <c r="I118" s="51"/>
      <c r="J118" s="52"/>
      <c r="K118" s="66"/>
      <c r="L118" s="66"/>
      <c r="M118" s="57"/>
      <c r="N118" s="54"/>
      <c r="O118" s="57"/>
      <c r="P118" s="54"/>
      <c r="Q118" s="55"/>
      <c r="R118" s="54"/>
      <c r="S118" s="54"/>
      <c r="T118" s="57"/>
      <c r="U118" s="55"/>
      <c r="V118" s="46"/>
      <c r="W118" s="46"/>
    </row>
    <row r="119" spans="2:23" x14ac:dyDescent="0.2">
      <c r="B119" s="49"/>
      <c r="C119" s="50"/>
      <c r="D119" s="72"/>
      <c r="E119" s="49"/>
      <c r="F119" s="49"/>
      <c r="G119" s="51"/>
      <c r="H119" s="49"/>
      <c r="I119" s="51"/>
      <c r="J119" s="52"/>
      <c r="K119" s="66"/>
      <c r="L119" s="66"/>
      <c r="M119" s="57"/>
      <c r="N119" s="54"/>
      <c r="O119" s="57"/>
      <c r="P119" s="54"/>
      <c r="Q119" s="55"/>
      <c r="R119" s="54"/>
      <c r="S119" s="54"/>
      <c r="T119" s="57"/>
      <c r="U119" s="55"/>
      <c r="V119" s="46"/>
      <c r="W119" s="46"/>
    </row>
    <row r="120" spans="2:23" x14ac:dyDescent="0.2">
      <c r="B120" s="49"/>
      <c r="C120" s="50"/>
      <c r="D120" s="72"/>
      <c r="E120" s="49"/>
      <c r="F120" s="49"/>
      <c r="G120" s="51"/>
      <c r="H120" s="49"/>
      <c r="I120" s="51"/>
      <c r="J120" s="52"/>
      <c r="K120" s="66"/>
      <c r="L120" s="66"/>
      <c r="M120" s="57"/>
      <c r="N120" s="54"/>
      <c r="O120" s="57"/>
      <c r="P120" s="54"/>
      <c r="Q120" s="55"/>
      <c r="R120" s="54"/>
      <c r="S120" s="54"/>
      <c r="T120" s="57"/>
      <c r="U120" s="55"/>
      <c r="V120" s="46"/>
      <c r="W120" s="46"/>
    </row>
    <row r="121" spans="2:23" x14ac:dyDescent="0.2">
      <c r="B121" s="49"/>
      <c r="C121" s="50"/>
      <c r="D121" s="72"/>
      <c r="E121" s="49"/>
      <c r="F121" s="49"/>
      <c r="G121" s="51"/>
      <c r="H121" s="49"/>
      <c r="I121" s="51"/>
      <c r="J121" s="52"/>
      <c r="K121" s="66"/>
      <c r="L121" s="66"/>
      <c r="M121" s="57"/>
      <c r="N121" s="54"/>
      <c r="O121" s="57"/>
      <c r="P121" s="54"/>
      <c r="Q121" s="55"/>
      <c r="R121" s="54"/>
      <c r="S121" s="54"/>
      <c r="T121" s="57"/>
      <c r="U121" s="55"/>
      <c r="V121" s="46"/>
      <c r="W121" s="46"/>
    </row>
    <row r="122" spans="2:23" x14ac:dyDescent="0.2">
      <c r="B122" s="49"/>
      <c r="C122" s="50"/>
      <c r="D122" s="72"/>
      <c r="E122" s="49"/>
      <c r="F122" s="49"/>
      <c r="G122" s="51"/>
      <c r="H122" s="49"/>
      <c r="I122" s="51"/>
      <c r="J122" s="52"/>
      <c r="K122" s="66"/>
      <c r="L122" s="66"/>
      <c r="M122" s="57"/>
      <c r="N122" s="54"/>
      <c r="O122" s="57"/>
      <c r="P122" s="54"/>
      <c r="Q122" s="55"/>
      <c r="R122" s="54"/>
      <c r="S122" s="54"/>
      <c r="T122" s="57"/>
      <c r="U122" s="55"/>
      <c r="V122" s="46"/>
      <c r="W122" s="46"/>
    </row>
    <row r="123" spans="2:23" x14ac:dyDescent="0.2">
      <c r="B123" s="49"/>
      <c r="C123" s="50"/>
      <c r="D123" s="72"/>
      <c r="E123" s="49"/>
      <c r="F123" s="49"/>
      <c r="G123" s="51"/>
      <c r="H123" s="49"/>
      <c r="I123" s="51"/>
      <c r="J123" s="52"/>
      <c r="K123" s="66"/>
      <c r="L123" s="66"/>
      <c r="M123" s="57"/>
      <c r="N123" s="54"/>
      <c r="O123" s="57"/>
      <c r="P123" s="54"/>
      <c r="Q123" s="55"/>
      <c r="R123" s="54"/>
      <c r="S123" s="54"/>
      <c r="T123" s="57"/>
      <c r="U123" s="55"/>
      <c r="V123" s="46"/>
      <c r="W123" s="46"/>
    </row>
    <row r="124" spans="2:23" x14ac:dyDescent="0.2">
      <c r="B124" s="49"/>
      <c r="C124" s="50"/>
      <c r="D124" s="72"/>
      <c r="E124" s="49"/>
      <c r="F124" s="49"/>
      <c r="G124" s="51"/>
      <c r="H124" s="49"/>
      <c r="I124" s="51"/>
      <c r="J124" s="52"/>
      <c r="K124" s="66"/>
      <c r="L124" s="66"/>
      <c r="M124" s="57"/>
      <c r="N124" s="54"/>
      <c r="O124" s="57"/>
      <c r="P124" s="54"/>
      <c r="Q124" s="55"/>
      <c r="R124" s="54"/>
      <c r="S124" s="54"/>
      <c r="T124" s="57"/>
      <c r="U124" s="55"/>
      <c r="V124" s="46"/>
      <c r="W124" s="46"/>
    </row>
    <row r="125" spans="2:23" x14ac:dyDescent="0.2">
      <c r="B125" s="49"/>
      <c r="C125" s="50"/>
      <c r="D125" s="72"/>
      <c r="E125" s="49"/>
      <c r="F125" s="49"/>
      <c r="G125" s="51"/>
      <c r="H125" s="49"/>
      <c r="I125" s="51"/>
      <c r="J125" s="52"/>
      <c r="K125" s="66"/>
      <c r="L125" s="66"/>
      <c r="M125" s="57"/>
      <c r="N125" s="54"/>
      <c r="O125" s="57"/>
      <c r="P125" s="54"/>
      <c r="Q125" s="55"/>
      <c r="R125" s="54"/>
      <c r="S125" s="54"/>
      <c r="T125" s="57"/>
      <c r="U125" s="55"/>
      <c r="V125" s="46"/>
      <c r="W125" s="46"/>
    </row>
    <row r="126" spans="2:23" x14ac:dyDescent="0.2">
      <c r="B126" s="49"/>
      <c r="C126" s="50"/>
      <c r="D126" s="72"/>
      <c r="E126" s="49"/>
      <c r="F126" s="49"/>
      <c r="G126" s="51"/>
      <c r="H126" s="49"/>
      <c r="I126" s="51"/>
      <c r="J126" s="52"/>
      <c r="K126" s="66"/>
      <c r="L126" s="66"/>
      <c r="M126" s="57"/>
      <c r="N126" s="54"/>
      <c r="O126" s="57"/>
      <c r="P126" s="54"/>
      <c r="Q126" s="55"/>
      <c r="R126" s="54"/>
      <c r="S126" s="54"/>
      <c r="T126" s="57"/>
      <c r="U126" s="55"/>
      <c r="V126" s="46"/>
      <c r="W126" s="46"/>
    </row>
    <row r="127" spans="2:23" x14ac:dyDescent="0.2">
      <c r="B127" s="49"/>
      <c r="C127" s="50"/>
      <c r="D127" s="72"/>
      <c r="E127" s="49"/>
      <c r="F127" s="49"/>
      <c r="G127" s="51"/>
      <c r="H127" s="49"/>
      <c r="I127" s="51"/>
      <c r="J127" s="52"/>
      <c r="K127" s="66"/>
      <c r="L127" s="66"/>
      <c r="M127" s="57"/>
      <c r="N127" s="54"/>
      <c r="O127" s="57"/>
      <c r="P127" s="54"/>
      <c r="Q127" s="55"/>
      <c r="R127" s="54"/>
      <c r="S127" s="54"/>
      <c r="T127" s="57"/>
      <c r="U127" s="55"/>
      <c r="V127" s="46"/>
      <c r="W127" s="46"/>
    </row>
    <row r="128" spans="2:23" x14ac:dyDescent="0.2">
      <c r="B128" s="49"/>
      <c r="C128" s="50"/>
      <c r="D128" s="72"/>
      <c r="E128" s="49"/>
      <c r="F128" s="49"/>
      <c r="G128" s="51"/>
      <c r="H128" s="49"/>
      <c r="I128" s="51"/>
      <c r="J128" s="52"/>
      <c r="K128" s="66"/>
      <c r="L128" s="66"/>
      <c r="M128" s="57"/>
      <c r="N128" s="54"/>
      <c r="O128" s="57"/>
      <c r="P128" s="54"/>
      <c r="Q128" s="55"/>
      <c r="R128" s="54"/>
      <c r="S128" s="54"/>
      <c r="T128" s="57"/>
      <c r="U128" s="55"/>
      <c r="V128" s="46"/>
      <c r="W128" s="46"/>
    </row>
    <row r="129" spans="2:23" x14ac:dyDescent="0.2">
      <c r="B129" s="49"/>
      <c r="C129" s="50"/>
      <c r="D129" s="72"/>
      <c r="E129" s="49"/>
      <c r="F129" s="49"/>
      <c r="G129" s="51"/>
      <c r="H129" s="49"/>
      <c r="I129" s="51"/>
      <c r="J129" s="52"/>
      <c r="K129" s="66"/>
      <c r="L129" s="66"/>
      <c r="M129" s="57"/>
      <c r="N129" s="54"/>
      <c r="O129" s="57"/>
      <c r="P129" s="54"/>
      <c r="Q129" s="55"/>
      <c r="R129" s="54"/>
      <c r="S129" s="54"/>
      <c r="T129" s="57"/>
      <c r="U129" s="55"/>
      <c r="V129" s="46"/>
      <c r="W129" s="46"/>
    </row>
    <row r="130" spans="2:23" x14ac:dyDescent="0.2">
      <c r="B130" s="49"/>
      <c r="C130" s="50"/>
      <c r="D130" s="72"/>
      <c r="E130" s="49"/>
      <c r="F130" s="49"/>
      <c r="G130" s="51"/>
      <c r="H130" s="49"/>
      <c r="I130" s="51"/>
      <c r="J130" s="52"/>
      <c r="K130" s="66"/>
      <c r="L130" s="66"/>
      <c r="M130" s="57"/>
      <c r="N130" s="54"/>
      <c r="O130" s="57"/>
      <c r="P130" s="54"/>
      <c r="Q130" s="55"/>
      <c r="R130" s="54"/>
      <c r="S130" s="54"/>
      <c r="T130" s="57"/>
      <c r="U130" s="55"/>
      <c r="V130" s="46"/>
      <c r="W130" s="46"/>
    </row>
    <row r="131" spans="2:23" x14ac:dyDescent="0.2">
      <c r="B131" s="49"/>
      <c r="C131" s="50"/>
      <c r="D131" s="72"/>
      <c r="E131" s="49"/>
      <c r="F131" s="49"/>
      <c r="G131" s="51"/>
      <c r="H131" s="49"/>
      <c r="I131" s="51"/>
      <c r="J131" s="52"/>
      <c r="K131" s="66"/>
      <c r="L131" s="66"/>
      <c r="M131" s="57"/>
      <c r="N131" s="54"/>
      <c r="O131" s="57"/>
      <c r="P131" s="54"/>
      <c r="Q131" s="55"/>
      <c r="R131" s="54"/>
      <c r="S131" s="54"/>
      <c r="T131" s="57"/>
      <c r="U131" s="55"/>
      <c r="V131" s="46"/>
      <c r="W131" s="46"/>
    </row>
    <row r="132" spans="2:23" x14ac:dyDescent="0.2">
      <c r="B132" s="49"/>
      <c r="C132" s="50"/>
      <c r="D132" s="72"/>
      <c r="E132" s="49"/>
      <c r="F132" s="49"/>
      <c r="G132" s="51"/>
      <c r="H132" s="49"/>
      <c r="I132" s="51"/>
      <c r="J132" s="52"/>
      <c r="K132" s="66"/>
      <c r="L132" s="66"/>
      <c r="M132" s="57"/>
      <c r="N132" s="54"/>
      <c r="O132" s="57"/>
      <c r="P132" s="54"/>
      <c r="Q132" s="55"/>
      <c r="R132" s="54"/>
      <c r="S132" s="54"/>
      <c r="T132" s="57"/>
      <c r="U132" s="55"/>
      <c r="V132" s="46"/>
      <c r="W132" s="46"/>
    </row>
    <row r="133" spans="2:23" x14ac:dyDescent="0.2">
      <c r="B133" s="49"/>
      <c r="C133" s="50"/>
      <c r="D133" s="72"/>
      <c r="E133" s="49"/>
      <c r="F133" s="49"/>
      <c r="G133" s="51"/>
      <c r="H133" s="49"/>
      <c r="I133" s="51"/>
      <c r="J133" s="52"/>
      <c r="K133" s="66"/>
      <c r="L133" s="66"/>
      <c r="M133" s="57"/>
      <c r="N133" s="54"/>
      <c r="O133" s="57"/>
      <c r="P133" s="54"/>
      <c r="Q133" s="55"/>
      <c r="R133" s="54"/>
      <c r="S133" s="54"/>
      <c r="T133" s="57"/>
      <c r="U133" s="55"/>
      <c r="V133" s="46"/>
      <c r="W133" s="46"/>
    </row>
    <row r="134" spans="2:23" x14ac:dyDescent="0.2">
      <c r="B134" s="49"/>
      <c r="C134" s="50"/>
      <c r="D134" s="72"/>
      <c r="E134" s="49"/>
      <c r="F134" s="49"/>
      <c r="G134" s="51"/>
      <c r="H134" s="49"/>
      <c r="I134" s="51"/>
      <c r="J134" s="52"/>
      <c r="K134" s="66"/>
      <c r="L134" s="66"/>
      <c r="M134" s="57"/>
      <c r="N134" s="54"/>
      <c r="O134" s="57"/>
      <c r="P134" s="54"/>
      <c r="Q134" s="55"/>
      <c r="R134" s="54"/>
      <c r="S134" s="54"/>
      <c r="T134" s="57"/>
      <c r="U134" s="55"/>
      <c r="V134" s="46"/>
      <c r="W134" s="46"/>
    </row>
    <row r="135" spans="2:23" x14ac:dyDescent="0.2">
      <c r="B135" s="49"/>
      <c r="C135" s="50"/>
      <c r="D135" s="72"/>
      <c r="E135" s="49"/>
      <c r="F135" s="49"/>
      <c r="G135" s="51"/>
      <c r="H135" s="49"/>
      <c r="I135" s="51"/>
      <c r="J135" s="52"/>
      <c r="K135" s="66"/>
      <c r="L135" s="66"/>
      <c r="M135" s="57"/>
      <c r="N135" s="54"/>
      <c r="O135" s="57"/>
      <c r="P135" s="54"/>
      <c r="Q135" s="55"/>
      <c r="R135" s="54"/>
      <c r="S135" s="54"/>
      <c r="T135" s="57"/>
      <c r="U135" s="55"/>
      <c r="V135" s="46"/>
      <c r="W135" s="46"/>
    </row>
    <row r="136" spans="2:23" x14ac:dyDescent="0.2">
      <c r="B136" s="49"/>
      <c r="C136" s="50"/>
      <c r="D136" s="72"/>
      <c r="E136" s="49"/>
      <c r="F136" s="49"/>
      <c r="G136" s="51"/>
      <c r="H136" s="49"/>
      <c r="I136" s="51"/>
      <c r="J136" s="52"/>
      <c r="K136" s="66"/>
      <c r="L136" s="66"/>
      <c r="M136" s="57"/>
      <c r="N136" s="54"/>
      <c r="O136" s="57"/>
      <c r="P136" s="54"/>
      <c r="Q136" s="55"/>
      <c r="R136" s="54"/>
      <c r="S136" s="54"/>
      <c r="T136" s="57"/>
      <c r="U136" s="55"/>
      <c r="V136" s="46"/>
      <c r="W136" s="46"/>
    </row>
    <row r="137" spans="2:23" x14ac:dyDescent="0.2">
      <c r="B137" s="49"/>
      <c r="C137" s="50"/>
      <c r="D137" s="72"/>
      <c r="E137" s="49"/>
      <c r="F137" s="49"/>
      <c r="G137" s="51"/>
      <c r="H137" s="49"/>
      <c r="I137" s="51"/>
      <c r="J137" s="52"/>
      <c r="K137" s="66"/>
      <c r="L137" s="66"/>
      <c r="M137" s="57"/>
      <c r="N137" s="54"/>
      <c r="O137" s="57"/>
      <c r="P137" s="54"/>
      <c r="Q137" s="55"/>
      <c r="R137" s="54"/>
      <c r="S137" s="54"/>
      <c r="T137" s="57"/>
      <c r="U137" s="55"/>
      <c r="V137" s="46"/>
      <c r="W137" s="46"/>
    </row>
    <row r="138" spans="2:23" x14ac:dyDescent="0.2">
      <c r="B138" s="49"/>
      <c r="C138" s="50"/>
      <c r="D138" s="72"/>
      <c r="E138" s="49"/>
      <c r="F138" s="49"/>
      <c r="G138" s="51"/>
      <c r="H138" s="49"/>
      <c r="I138" s="51"/>
      <c r="J138" s="52"/>
      <c r="K138" s="66"/>
      <c r="L138" s="66"/>
      <c r="M138" s="57"/>
      <c r="N138" s="54"/>
      <c r="O138" s="57"/>
      <c r="P138" s="54"/>
      <c r="Q138" s="55"/>
      <c r="R138" s="54"/>
      <c r="S138" s="54"/>
      <c r="T138" s="57"/>
      <c r="U138" s="55"/>
      <c r="V138" s="46"/>
      <c r="W138" s="46"/>
    </row>
    <row r="139" spans="2:23" x14ac:dyDescent="0.2">
      <c r="B139" s="49"/>
      <c r="C139" s="50"/>
      <c r="D139" s="72"/>
      <c r="E139" s="49"/>
      <c r="F139" s="49"/>
      <c r="G139" s="51"/>
      <c r="H139" s="49"/>
      <c r="I139" s="51"/>
      <c r="J139" s="52"/>
      <c r="K139" s="66"/>
      <c r="L139" s="66"/>
      <c r="M139" s="57"/>
      <c r="N139" s="54"/>
      <c r="O139" s="57"/>
      <c r="P139" s="54"/>
      <c r="Q139" s="55"/>
      <c r="R139" s="54"/>
      <c r="S139" s="54"/>
      <c r="T139" s="57"/>
      <c r="U139" s="55"/>
      <c r="V139" s="46"/>
      <c r="W139" s="46"/>
    </row>
    <row r="140" spans="2:23" x14ac:dyDescent="0.2">
      <c r="B140" s="49"/>
      <c r="C140" s="50"/>
      <c r="D140" s="72"/>
      <c r="E140" s="49"/>
      <c r="F140" s="49"/>
      <c r="G140" s="51"/>
      <c r="H140" s="49"/>
      <c r="I140" s="51"/>
      <c r="J140" s="52"/>
      <c r="K140" s="66"/>
      <c r="L140" s="66"/>
      <c r="M140" s="57"/>
      <c r="N140" s="54"/>
      <c r="O140" s="57"/>
      <c r="P140" s="54"/>
      <c r="Q140" s="55"/>
      <c r="R140" s="54"/>
      <c r="S140" s="54"/>
      <c r="T140" s="57"/>
      <c r="U140" s="55"/>
      <c r="V140" s="46"/>
      <c r="W140" s="46"/>
    </row>
    <row r="141" spans="2:23" x14ac:dyDescent="0.2">
      <c r="B141" s="49"/>
      <c r="C141" s="50"/>
      <c r="D141" s="72"/>
      <c r="E141" s="49"/>
      <c r="F141" s="49"/>
      <c r="G141" s="51"/>
      <c r="H141" s="49"/>
      <c r="I141" s="51"/>
      <c r="J141" s="52"/>
      <c r="K141" s="66"/>
      <c r="L141" s="66"/>
      <c r="M141" s="57"/>
      <c r="N141" s="54"/>
      <c r="O141" s="57"/>
      <c r="P141" s="54"/>
      <c r="Q141" s="55"/>
      <c r="R141" s="54"/>
      <c r="S141" s="54"/>
      <c r="T141" s="57"/>
      <c r="U141" s="55"/>
      <c r="V141" s="46"/>
      <c r="W141" s="46"/>
    </row>
    <row r="142" spans="2:23" x14ac:dyDescent="0.2">
      <c r="B142" s="49"/>
      <c r="C142" s="50"/>
      <c r="D142" s="72"/>
      <c r="E142" s="49"/>
      <c r="F142" s="49"/>
      <c r="G142" s="51"/>
      <c r="H142" s="49"/>
      <c r="I142" s="51"/>
      <c r="J142" s="52"/>
      <c r="K142" s="66"/>
      <c r="L142" s="66"/>
      <c r="M142" s="57"/>
      <c r="N142" s="54"/>
      <c r="O142" s="57"/>
      <c r="P142" s="54"/>
      <c r="Q142" s="55"/>
      <c r="R142" s="54"/>
      <c r="S142" s="54"/>
      <c r="T142" s="57"/>
      <c r="U142" s="55"/>
      <c r="V142" s="46"/>
      <c r="W142" s="46"/>
    </row>
    <row r="143" spans="2:23" x14ac:dyDescent="0.2">
      <c r="B143" s="49"/>
      <c r="C143" s="50"/>
      <c r="D143" s="72"/>
      <c r="E143" s="49"/>
      <c r="F143" s="49"/>
      <c r="G143" s="51"/>
      <c r="H143" s="49"/>
      <c r="I143" s="51"/>
      <c r="J143" s="52"/>
      <c r="K143" s="66"/>
      <c r="L143" s="66"/>
      <c r="M143" s="57"/>
      <c r="N143" s="54"/>
      <c r="O143" s="57"/>
      <c r="P143" s="54"/>
      <c r="Q143" s="55"/>
      <c r="R143" s="54"/>
      <c r="S143" s="54"/>
      <c r="T143" s="57"/>
      <c r="U143" s="55"/>
      <c r="V143" s="46"/>
      <c r="W143" s="46"/>
    </row>
    <row r="144" spans="2:23" x14ac:dyDescent="0.2">
      <c r="B144" s="49"/>
      <c r="C144" s="50"/>
      <c r="D144" s="72"/>
      <c r="E144" s="49"/>
      <c r="F144" s="49"/>
      <c r="G144" s="51"/>
      <c r="H144" s="49"/>
      <c r="I144" s="51"/>
      <c r="J144" s="52"/>
      <c r="K144" s="66"/>
      <c r="L144" s="66"/>
      <c r="M144" s="57"/>
      <c r="N144" s="54"/>
      <c r="O144" s="57"/>
      <c r="P144" s="54"/>
      <c r="Q144" s="55"/>
      <c r="R144" s="54"/>
      <c r="S144" s="54"/>
      <c r="T144" s="57"/>
      <c r="U144" s="55"/>
      <c r="V144" s="46"/>
      <c r="W144" s="46"/>
    </row>
    <row r="145" spans="2:23" x14ac:dyDescent="0.2">
      <c r="B145" s="49"/>
      <c r="C145" s="50"/>
      <c r="D145" s="72"/>
      <c r="E145" s="49"/>
      <c r="F145" s="49"/>
      <c r="G145" s="51"/>
      <c r="H145" s="49"/>
      <c r="I145" s="51"/>
      <c r="J145" s="52"/>
      <c r="K145" s="66"/>
      <c r="L145" s="66"/>
      <c r="M145" s="57"/>
      <c r="N145" s="54"/>
      <c r="O145" s="57"/>
      <c r="P145" s="54"/>
      <c r="Q145" s="55"/>
      <c r="R145" s="54"/>
      <c r="S145" s="54"/>
      <c r="T145" s="57"/>
      <c r="U145" s="55"/>
      <c r="V145" s="46"/>
      <c r="W145" s="46"/>
    </row>
    <row r="146" spans="2:23" x14ac:dyDescent="0.2">
      <c r="B146" s="49"/>
      <c r="C146" s="50"/>
      <c r="D146" s="72"/>
      <c r="E146" s="49"/>
      <c r="F146" s="49"/>
      <c r="G146" s="51"/>
      <c r="H146" s="49"/>
      <c r="I146" s="51"/>
      <c r="J146" s="52"/>
      <c r="K146" s="66"/>
      <c r="L146" s="66"/>
      <c r="M146" s="57"/>
      <c r="N146" s="54"/>
      <c r="O146" s="57"/>
      <c r="P146" s="54"/>
      <c r="Q146" s="55"/>
      <c r="R146" s="54"/>
      <c r="S146" s="54"/>
      <c r="T146" s="57"/>
      <c r="U146" s="55"/>
      <c r="V146" s="46"/>
      <c r="W146" s="46"/>
    </row>
    <row r="147" spans="2:23" x14ac:dyDescent="0.2">
      <c r="B147" s="49"/>
      <c r="C147" s="50"/>
      <c r="D147" s="72"/>
      <c r="E147" s="49"/>
      <c r="F147" s="49"/>
      <c r="G147" s="51"/>
      <c r="H147" s="49"/>
      <c r="I147" s="51"/>
      <c r="J147" s="52"/>
      <c r="K147" s="66"/>
      <c r="L147" s="66"/>
      <c r="M147" s="57"/>
      <c r="N147" s="54"/>
      <c r="O147" s="57"/>
      <c r="P147" s="54"/>
      <c r="Q147" s="55"/>
      <c r="R147" s="54"/>
      <c r="S147" s="54"/>
      <c r="T147" s="57"/>
      <c r="U147" s="55"/>
      <c r="V147" s="46"/>
      <c r="W147" s="46"/>
    </row>
    <row r="148" spans="2:23" x14ac:dyDescent="0.2">
      <c r="B148" s="49"/>
      <c r="C148" s="50"/>
      <c r="D148" s="72"/>
      <c r="E148" s="49"/>
      <c r="F148" s="49"/>
      <c r="G148" s="51"/>
      <c r="H148" s="49"/>
      <c r="I148" s="51"/>
      <c r="J148" s="52"/>
      <c r="K148" s="66"/>
      <c r="L148" s="66"/>
      <c r="M148" s="57"/>
      <c r="N148" s="54"/>
      <c r="O148" s="57"/>
      <c r="P148" s="54"/>
      <c r="Q148" s="55"/>
      <c r="R148" s="54"/>
      <c r="S148" s="54"/>
      <c r="T148" s="57"/>
      <c r="U148" s="55"/>
      <c r="V148" s="46"/>
      <c r="W148" s="46"/>
    </row>
    <row r="149" spans="2:23" x14ac:dyDescent="0.2">
      <c r="B149" s="49"/>
      <c r="C149" s="50"/>
      <c r="D149" s="72"/>
      <c r="E149" s="49"/>
      <c r="F149" s="49"/>
      <c r="G149" s="51"/>
      <c r="H149" s="49"/>
      <c r="I149" s="51"/>
      <c r="J149" s="52"/>
      <c r="K149" s="66"/>
      <c r="L149" s="66"/>
      <c r="M149" s="57"/>
      <c r="N149" s="54"/>
      <c r="O149" s="57"/>
      <c r="P149" s="54"/>
      <c r="Q149" s="55"/>
      <c r="R149" s="54"/>
      <c r="S149" s="54"/>
      <c r="T149" s="57"/>
      <c r="U149" s="55"/>
      <c r="V149" s="46"/>
      <c r="W149" s="46"/>
    </row>
    <row r="150" spans="2:23" x14ac:dyDescent="0.2">
      <c r="B150" s="49"/>
      <c r="C150" s="50"/>
      <c r="D150" s="72"/>
      <c r="E150" s="49"/>
      <c r="F150" s="49"/>
      <c r="G150" s="51"/>
      <c r="H150" s="49"/>
      <c r="I150" s="51"/>
      <c r="J150" s="52"/>
      <c r="K150" s="66"/>
      <c r="L150" s="66"/>
      <c r="M150" s="57"/>
      <c r="N150" s="54"/>
      <c r="O150" s="57"/>
      <c r="P150" s="54"/>
      <c r="Q150" s="55"/>
      <c r="R150" s="54"/>
      <c r="S150" s="54"/>
      <c r="T150" s="57"/>
      <c r="U150" s="55"/>
      <c r="V150" s="46"/>
      <c r="W150" s="46"/>
    </row>
    <row r="151" spans="2:23" x14ac:dyDescent="0.2">
      <c r="B151" s="49"/>
      <c r="C151" s="50"/>
      <c r="D151" s="72"/>
      <c r="E151" s="49"/>
      <c r="F151" s="49"/>
      <c r="G151" s="51"/>
      <c r="H151" s="49"/>
      <c r="I151" s="51"/>
      <c r="J151" s="52"/>
      <c r="K151" s="66"/>
      <c r="L151" s="66"/>
      <c r="M151" s="57"/>
      <c r="N151" s="54"/>
      <c r="O151" s="57"/>
      <c r="P151" s="54"/>
      <c r="Q151" s="55"/>
      <c r="R151" s="54"/>
      <c r="S151" s="54"/>
      <c r="T151" s="57"/>
      <c r="U151" s="55"/>
      <c r="V151" s="46"/>
      <c r="W151" s="46"/>
    </row>
    <row r="152" spans="2:23" x14ac:dyDescent="0.2">
      <c r="B152" s="49"/>
      <c r="C152" s="50"/>
      <c r="D152" s="72"/>
      <c r="E152" s="49"/>
      <c r="F152" s="49"/>
      <c r="G152" s="51"/>
      <c r="H152" s="49"/>
      <c r="I152" s="51"/>
      <c r="J152" s="52"/>
      <c r="K152" s="66"/>
      <c r="L152" s="66"/>
      <c r="M152" s="57"/>
      <c r="N152" s="54"/>
      <c r="O152" s="57"/>
      <c r="P152" s="54"/>
      <c r="Q152" s="55"/>
      <c r="R152" s="54"/>
      <c r="S152" s="54"/>
      <c r="T152" s="57"/>
      <c r="U152" s="55"/>
      <c r="V152" s="46"/>
      <c r="W152" s="46"/>
    </row>
    <row r="153" spans="2:23" x14ac:dyDescent="0.2">
      <c r="B153" s="49"/>
      <c r="C153" s="50"/>
      <c r="D153" s="72"/>
      <c r="E153" s="49"/>
      <c r="F153" s="49"/>
      <c r="G153" s="51"/>
      <c r="H153" s="49"/>
      <c r="I153" s="51"/>
      <c r="J153" s="52"/>
      <c r="K153" s="66"/>
      <c r="L153" s="66"/>
      <c r="M153" s="57"/>
      <c r="N153" s="54"/>
      <c r="O153" s="57"/>
      <c r="P153" s="54"/>
      <c r="Q153" s="55"/>
      <c r="R153" s="54"/>
      <c r="S153" s="54"/>
      <c r="T153" s="57"/>
      <c r="U153" s="55"/>
      <c r="V153" s="46"/>
      <c r="W153" s="46"/>
    </row>
    <row r="154" spans="2:23" x14ac:dyDescent="0.2">
      <c r="B154" s="49"/>
      <c r="C154" s="50"/>
      <c r="D154" s="72"/>
      <c r="E154" s="49"/>
      <c r="F154" s="49"/>
      <c r="G154" s="51"/>
      <c r="H154" s="49"/>
      <c r="I154" s="51"/>
      <c r="J154" s="52"/>
      <c r="K154" s="66"/>
      <c r="L154" s="66"/>
      <c r="M154" s="57"/>
      <c r="N154" s="54"/>
      <c r="O154" s="57"/>
      <c r="P154" s="54"/>
      <c r="Q154" s="55"/>
      <c r="R154" s="54"/>
      <c r="S154" s="54"/>
      <c r="T154" s="57"/>
      <c r="U154" s="55"/>
      <c r="V154" s="46"/>
      <c r="W154" s="46"/>
    </row>
    <row r="155" spans="2:23" x14ac:dyDescent="0.2">
      <c r="B155" s="49"/>
      <c r="C155" s="50"/>
      <c r="D155" s="72"/>
      <c r="E155" s="49"/>
      <c r="F155" s="49"/>
      <c r="G155" s="51"/>
      <c r="H155" s="49"/>
      <c r="I155" s="51"/>
      <c r="J155" s="52"/>
      <c r="K155" s="66"/>
      <c r="L155" s="66"/>
      <c r="M155" s="57"/>
      <c r="N155" s="54"/>
      <c r="O155" s="57"/>
      <c r="P155" s="54"/>
      <c r="Q155" s="55"/>
      <c r="R155" s="54"/>
      <c r="S155" s="54"/>
      <c r="T155" s="57"/>
      <c r="U155" s="55"/>
      <c r="V155" s="46"/>
      <c r="W155" s="46"/>
    </row>
    <row r="156" spans="2:23" x14ac:dyDescent="0.2">
      <c r="B156" s="49"/>
      <c r="C156" s="50"/>
      <c r="D156" s="72"/>
      <c r="E156" s="49"/>
      <c r="F156" s="49"/>
      <c r="G156" s="51"/>
      <c r="H156" s="49"/>
      <c r="I156" s="51"/>
      <c r="J156" s="52"/>
      <c r="K156" s="66"/>
      <c r="L156" s="66"/>
      <c r="M156" s="57"/>
      <c r="N156" s="54"/>
      <c r="O156" s="57"/>
      <c r="P156" s="54"/>
      <c r="Q156" s="55"/>
      <c r="R156" s="54"/>
      <c r="S156" s="54"/>
      <c r="T156" s="57"/>
      <c r="U156" s="55"/>
      <c r="V156" s="46"/>
      <c r="W156" s="46"/>
    </row>
    <row r="157" spans="2:23" x14ac:dyDescent="0.2">
      <c r="B157" s="49"/>
      <c r="C157" s="50"/>
      <c r="D157" s="72"/>
      <c r="E157" s="49"/>
      <c r="F157" s="49"/>
      <c r="G157" s="51"/>
      <c r="H157" s="49"/>
      <c r="I157" s="51"/>
      <c r="J157" s="52"/>
      <c r="K157" s="66"/>
      <c r="L157" s="66"/>
      <c r="M157" s="57"/>
      <c r="N157" s="54"/>
      <c r="O157" s="57"/>
      <c r="P157" s="54"/>
      <c r="Q157" s="55"/>
      <c r="R157" s="54"/>
      <c r="S157" s="54"/>
      <c r="T157" s="57"/>
      <c r="U157" s="55"/>
      <c r="V157" s="46"/>
      <c r="W157" s="46"/>
    </row>
    <row r="158" spans="2:23" x14ac:dyDescent="0.2">
      <c r="B158" s="49"/>
      <c r="C158" s="50"/>
      <c r="D158" s="72"/>
      <c r="E158" s="49"/>
      <c r="F158" s="49"/>
      <c r="G158" s="51"/>
      <c r="H158" s="49"/>
      <c r="I158" s="51"/>
      <c r="J158" s="52"/>
      <c r="K158" s="66"/>
      <c r="L158" s="66"/>
      <c r="M158" s="57"/>
      <c r="N158" s="54"/>
      <c r="O158" s="57"/>
      <c r="P158" s="54"/>
      <c r="Q158" s="55"/>
      <c r="R158" s="54"/>
      <c r="S158" s="54"/>
      <c r="T158" s="57"/>
      <c r="U158" s="55"/>
      <c r="V158" s="46"/>
      <c r="W158" s="46"/>
    </row>
    <row r="159" spans="2:23" x14ac:dyDescent="0.2">
      <c r="B159" s="49"/>
      <c r="C159" s="50"/>
      <c r="D159" s="72"/>
      <c r="E159" s="49"/>
      <c r="F159" s="49"/>
      <c r="G159" s="51"/>
      <c r="H159" s="49"/>
      <c r="I159" s="51"/>
      <c r="J159" s="52"/>
      <c r="K159" s="66"/>
      <c r="L159" s="66"/>
      <c r="M159" s="57"/>
      <c r="N159" s="54"/>
      <c r="O159" s="57"/>
      <c r="P159" s="54"/>
      <c r="Q159" s="55"/>
      <c r="R159" s="54"/>
      <c r="S159" s="54"/>
      <c r="T159" s="57"/>
      <c r="U159" s="55"/>
      <c r="V159" s="46"/>
      <c r="W159" s="46"/>
    </row>
    <row r="160" spans="2:23" x14ac:dyDescent="0.2">
      <c r="B160" s="49"/>
      <c r="C160" s="50"/>
      <c r="D160" s="72"/>
      <c r="E160" s="49"/>
      <c r="F160" s="49"/>
      <c r="G160" s="51"/>
      <c r="H160" s="49"/>
      <c r="I160" s="51"/>
      <c r="J160" s="52"/>
      <c r="K160" s="66"/>
      <c r="L160" s="66"/>
      <c r="M160" s="57"/>
      <c r="N160" s="54"/>
      <c r="O160" s="57"/>
      <c r="P160" s="54"/>
      <c r="Q160" s="55"/>
      <c r="R160" s="54"/>
      <c r="S160" s="54"/>
      <c r="T160" s="57"/>
      <c r="U160" s="55"/>
      <c r="V160" s="46"/>
      <c r="W160" s="46"/>
    </row>
    <row r="161" spans="2:23" x14ac:dyDescent="0.2">
      <c r="B161" s="49"/>
      <c r="C161" s="50"/>
      <c r="D161" s="72"/>
      <c r="E161" s="49"/>
      <c r="F161" s="49"/>
      <c r="G161" s="51"/>
      <c r="H161" s="49"/>
      <c r="I161" s="51"/>
      <c r="J161" s="52"/>
      <c r="K161" s="66"/>
      <c r="L161" s="66"/>
      <c r="M161" s="57"/>
      <c r="N161" s="54"/>
      <c r="O161" s="57"/>
      <c r="P161" s="54"/>
      <c r="Q161" s="55"/>
      <c r="R161" s="54"/>
      <c r="S161" s="54"/>
      <c r="T161" s="57"/>
      <c r="U161" s="55"/>
      <c r="V161" s="46"/>
      <c r="W161" s="46"/>
    </row>
    <row r="162" spans="2:23" x14ac:dyDescent="0.2">
      <c r="B162" s="49"/>
      <c r="C162" s="50"/>
      <c r="D162" s="72"/>
      <c r="E162" s="49"/>
      <c r="F162" s="49"/>
      <c r="G162" s="51"/>
      <c r="H162" s="49"/>
      <c r="I162" s="51"/>
      <c r="J162" s="52"/>
      <c r="K162" s="66"/>
      <c r="L162" s="66"/>
      <c r="M162" s="57"/>
      <c r="N162" s="54"/>
      <c r="O162" s="57"/>
      <c r="P162" s="54"/>
      <c r="Q162" s="55"/>
      <c r="R162" s="54"/>
      <c r="S162" s="54"/>
      <c r="T162" s="57"/>
      <c r="U162" s="55"/>
      <c r="V162" s="46"/>
      <c r="W162" s="46"/>
    </row>
    <row r="163" spans="2:23" x14ac:dyDescent="0.2">
      <c r="B163" s="49"/>
      <c r="C163" s="50"/>
      <c r="D163" s="72"/>
      <c r="E163" s="49"/>
      <c r="F163" s="49"/>
      <c r="G163" s="51"/>
      <c r="H163" s="49"/>
      <c r="I163" s="51"/>
      <c r="J163" s="52"/>
      <c r="K163" s="66"/>
      <c r="L163" s="66"/>
      <c r="M163" s="57"/>
      <c r="N163" s="54"/>
      <c r="O163" s="57"/>
      <c r="P163" s="54"/>
      <c r="Q163" s="55"/>
      <c r="R163" s="54"/>
      <c r="S163" s="54"/>
      <c r="T163" s="57"/>
      <c r="U163" s="55"/>
      <c r="V163" s="46"/>
      <c r="W163" s="46"/>
    </row>
    <row r="164" spans="2:23" x14ac:dyDescent="0.2">
      <c r="B164" s="49"/>
      <c r="C164" s="50"/>
      <c r="D164" s="72"/>
      <c r="E164" s="49"/>
      <c r="F164" s="49"/>
      <c r="G164" s="51"/>
      <c r="H164" s="49"/>
      <c r="I164" s="51"/>
      <c r="J164" s="52"/>
      <c r="K164" s="66"/>
      <c r="L164" s="66"/>
      <c r="M164" s="57"/>
      <c r="N164" s="54"/>
      <c r="O164" s="57"/>
      <c r="P164" s="54"/>
      <c r="Q164" s="55"/>
      <c r="R164" s="54"/>
      <c r="S164" s="54"/>
      <c r="T164" s="57"/>
      <c r="U164" s="55"/>
      <c r="V164" s="46"/>
      <c r="W164" s="46"/>
    </row>
    <row r="165" spans="2:23" x14ac:dyDescent="0.2">
      <c r="B165" s="49"/>
      <c r="C165" s="50"/>
      <c r="D165" s="72"/>
      <c r="E165" s="49"/>
      <c r="F165" s="49"/>
      <c r="G165" s="51"/>
      <c r="H165" s="49"/>
      <c r="I165" s="51"/>
      <c r="J165" s="52"/>
      <c r="K165" s="66"/>
      <c r="L165" s="66"/>
      <c r="M165" s="57"/>
      <c r="N165" s="54"/>
      <c r="O165" s="57"/>
      <c r="P165" s="54"/>
      <c r="Q165" s="55"/>
      <c r="R165" s="54"/>
      <c r="S165" s="54"/>
      <c r="T165" s="57"/>
      <c r="U165" s="55"/>
      <c r="V165" s="46"/>
      <c r="W165" s="46"/>
    </row>
    <row r="166" spans="2:23" x14ac:dyDescent="0.2">
      <c r="B166" s="49"/>
      <c r="C166" s="50"/>
      <c r="D166" s="72"/>
      <c r="E166" s="49"/>
      <c r="F166" s="49"/>
      <c r="G166" s="51"/>
      <c r="H166" s="49"/>
      <c r="I166" s="51"/>
      <c r="J166" s="52"/>
      <c r="K166" s="66"/>
      <c r="L166" s="66"/>
      <c r="M166" s="57"/>
      <c r="N166" s="54"/>
      <c r="O166" s="57"/>
      <c r="P166" s="54"/>
      <c r="Q166" s="55"/>
      <c r="R166" s="54"/>
      <c r="S166" s="54"/>
      <c r="T166" s="57"/>
      <c r="U166" s="55"/>
      <c r="V166" s="46"/>
      <c r="W166" s="46"/>
    </row>
    <row r="167" spans="2:23" x14ac:dyDescent="0.2">
      <c r="B167" s="49"/>
      <c r="C167" s="50"/>
      <c r="D167" s="72"/>
      <c r="E167" s="49"/>
      <c r="F167" s="49"/>
      <c r="G167" s="51"/>
      <c r="H167" s="49"/>
      <c r="I167" s="51"/>
      <c r="J167" s="52"/>
      <c r="K167" s="66"/>
      <c r="L167" s="66"/>
      <c r="M167" s="57"/>
      <c r="N167" s="54"/>
      <c r="O167" s="57"/>
      <c r="P167" s="54"/>
      <c r="Q167" s="55"/>
      <c r="R167" s="54"/>
      <c r="S167" s="54"/>
      <c r="T167" s="57"/>
      <c r="U167" s="55"/>
      <c r="V167" s="46"/>
      <c r="W167" s="46"/>
    </row>
    <row r="168" spans="2:23" x14ac:dyDescent="0.2">
      <c r="B168" s="49"/>
      <c r="C168" s="50"/>
      <c r="D168" s="72"/>
      <c r="E168" s="49"/>
      <c r="F168" s="49"/>
      <c r="G168" s="51"/>
      <c r="H168" s="49"/>
      <c r="I168" s="51"/>
      <c r="J168" s="52"/>
      <c r="K168" s="66"/>
      <c r="L168" s="66"/>
      <c r="M168" s="57"/>
      <c r="N168" s="54"/>
      <c r="O168" s="57"/>
      <c r="P168" s="54"/>
      <c r="Q168" s="55"/>
      <c r="R168" s="54"/>
      <c r="S168" s="54"/>
      <c r="T168" s="57"/>
      <c r="U168" s="55"/>
      <c r="V168" s="46"/>
      <c r="W168" s="46"/>
    </row>
    <row r="169" spans="2:23" x14ac:dyDescent="0.2">
      <c r="B169" s="49"/>
      <c r="C169" s="50"/>
      <c r="D169" s="72"/>
      <c r="E169" s="49"/>
      <c r="F169" s="49"/>
      <c r="G169" s="51"/>
      <c r="H169" s="49"/>
      <c r="I169" s="51"/>
      <c r="J169" s="52"/>
      <c r="K169" s="66"/>
      <c r="L169" s="66"/>
      <c r="M169" s="57"/>
      <c r="N169" s="54"/>
      <c r="O169" s="57"/>
      <c r="P169" s="54"/>
      <c r="Q169" s="55"/>
      <c r="R169" s="54"/>
      <c r="S169" s="54"/>
      <c r="T169" s="57"/>
      <c r="U169" s="55"/>
      <c r="V169" s="46"/>
      <c r="W169" s="46"/>
    </row>
    <row r="170" spans="2:23" x14ac:dyDescent="0.2">
      <c r="B170" s="49"/>
      <c r="C170" s="50"/>
      <c r="D170" s="72"/>
      <c r="E170" s="49"/>
      <c r="F170" s="49"/>
      <c r="G170" s="51"/>
      <c r="H170" s="49"/>
      <c r="I170" s="51"/>
      <c r="J170" s="52"/>
      <c r="K170" s="66"/>
      <c r="L170" s="66"/>
      <c r="M170" s="57"/>
      <c r="N170" s="54"/>
      <c r="O170" s="57"/>
      <c r="P170" s="54"/>
      <c r="Q170" s="55"/>
      <c r="R170" s="54"/>
      <c r="S170" s="54"/>
      <c r="T170" s="57"/>
      <c r="U170" s="55"/>
      <c r="V170" s="46"/>
      <c r="W170" s="46"/>
    </row>
    <row r="171" spans="2:23" x14ac:dyDescent="0.2">
      <c r="B171" s="49"/>
      <c r="C171" s="50"/>
      <c r="D171" s="72"/>
      <c r="E171" s="49"/>
      <c r="F171" s="49"/>
      <c r="G171" s="51"/>
      <c r="H171" s="49"/>
      <c r="I171" s="51"/>
      <c r="J171" s="52"/>
      <c r="K171" s="66"/>
      <c r="L171" s="66"/>
      <c r="M171" s="57"/>
      <c r="N171" s="54"/>
      <c r="O171" s="57"/>
      <c r="P171" s="54"/>
      <c r="Q171" s="55"/>
      <c r="R171" s="54"/>
      <c r="S171" s="54"/>
      <c r="T171" s="57"/>
      <c r="U171" s="55"/>
      <c r="V171" s="46"/>
      <c r="W171" s="46"/>
    </row>
    <row r="172" spans="2:23" x14ac:dyDescent="0.2">
      <c r="B172" s="49"/>
      <c r="C172" s="50"/>
      <c r="D172" s="72"/>
      <c r="E172" s="49"/>
      <c r="F172" s="49"/>
      <c r="G172" s="51"/>
      <c r="H172" s="49"/>
      <c r="I172" s="51"/>
      <c r="J172" s="52"/>
      <c r="K172" s="66"/>
      <c r="L172" s="66"/>
      <c r="M172" s="57"/>
      <c r="N172" s="54"/>
      <c r="O172" s="57"/>
      <c r="P172" s="54"/>
      <c r="Q172" s="55"/>
      <c r="R172" s="54"/>
      <c r="S172" s="54"/>
      <c r="T172" s="57"/>
      <c r="U172" s="55"/>
      <c r="V172" s="46"/>
      <c r="W172" s="46"/>
    </row>
    <row r="173" spans="2:23" x14ac:dyDescent="0.2">
      <c r="B173" s="49"/>
      <c r="C173" s="50"/>
      <c r="D173" s="72"/>
      <c r="E173" s="49"/>
      <c r="F173" s="49"/>
      <c r="G173" s="51"/>
      <c r="H173" s="49"/>
      <c r="I173" s="51"/>
      <c r="J173" s="52"/>
      <c r="K173" s="66"/>
      <c r="L173" s="66"/>
      <c r="M173" s="57"/>
      <c r="N173" s="54"/>
      <c r="O173" s="57"/>
      <c r="P173" s="54"/>
      <c r="Q173" s="55"/>
      <c r="R173" s="54"/>
      <c r="S173" s="54"/>
      <c r="T173" s="57"/>
      <c r="U173" s="55"/>
      <c r="V173" s="46"/>
      <c r="W173" s="46"/>
    </row>
    <row r="174" spans="2:23" x14ac:dyDescent="0.2">
      <c r="B174" s="49"/>
      <c r="C174" s="50"/>
      <c r="D174" s="72"/>
      <c r="E174" s="49"/>
      <c r="F174" s="49"/>
      <c r="G174" s="51"/>
      <c r="H174" s="49"/>
      <c r="I174" s="51"/>
      <c r="J174" s="52"/>
      <c r="K174" s="66"/>
      <c r="L174" s="66"/>
      <c r="M174" s="57"/>
      <c r="N174" s="54"/>
      <c r="O174" s="57"/>
      <c r="P174" s="54"/>
      <c r="Q174" s="55"/>
      <c r="R174" s="54"/>
      <c r="S174" s="54"/>
      <c r="T174" s="57"/>
      <c r="U174" s="55"/>
      <c r="V174" s="46"/>
      <c r="W174" s="46"/>
    </row>
    <row r="175" spans="2:23" x14ac:dyDescent="0.2">
      <c r="B175" s="49"/>
      <c r="C175" s="50"/>
      <c r="D175" s="72"/>
      <c r="E175" s="49"/>
      <c r="F175" s="49"/>
      <c r="G175" s="51"/>
      <c r="H175" s="49"/>
      <c r="I175" s="51"/>
      <c r="J175" s="52"/>
      <c r="K175" s="66"/>
      <c r="L175" s="66"/>
      <c r="M175" s="57"/>
      <c r="N175" s="54"/>
      <c r="O175" s="57"/>
      <c r="P175" s="54"/>
      <c r="Q175" s="55"/>
      <c r="R175" s="54"/>
      <c r="S175" s="54"/>
      <c r="T175" s="57"/>
      <c r="U175" s="55"/>
      <c r="V175" s="46"/>
      <c r="W175" s="46"/>
    </row>
    <row r="176" spans="2:23" x14ac:dyDescent="0.2">
      <c r="B176" s="49"/>
      <c r="C176" s="50"/>
      <c r="D176" s="72"/>
      <c r="E176" s="49"/>
      <c r="F176" s="49"/>
      <c r="G176" s="51"/>
      <c r="H176" s="49"/>
      <c r="I176" s="51"/>
      <c r="J176" s="52"/>
      <c r="K176" s="66"/>
      <c r="L176" s="66"/>
      <c r="M176" s="57"/>
      <c r="N176" s="54"/>
      <c r="O176" s="57"/>
      <c r="P176" s="54"/>
      <c r="Q176" s="55"/>
      <c r="R176" s="54"/>
      <c r="S176" s="54"/>
      <c r="T176" s="57"/>
      <c r="U176" s="55"/>
      <c r="V176" s="46"/>
      <c r="W176" s="46"/>
    </row>
    <row r="177" spans="2:23" x14ac:dyDescent="0.2">
      <c r="B177" s="49"/>
      <c r="C177" s="50"/>
      <c r="D177" s="72"/>
      <c r="E177" s="49"/>
      <c r="F177" s="49"/>
      <c r="G177" s="51"/>
      <c r="H177" s="49"/>
      <c r="I177" s="51"/>
      <c r="J177" s="52"/>
      <c r="K177" s="66"/>
      <c r="L177" s="66"/>
      <c r="M177" s="57"/>
      <c r="N177" s="54"/>
      <c r="O177" s="57"/>
      <c r="P177" s="54"/>
      <c r="Q177" s="55"/>
      <c r="R177" s="54"/>
      <c r="S177" s="54"/>
      <c r="T177" s="57"/>
      <c r="U177" s="55"/>
      <c r="V177" s="46"/>
      <c r="W177" s="46"/>
    </row>
    <row r="178" spans="2:23" x14ac:dyDescent="0.2">
      <c r="B178" s="49"/>
      <c r="C178" s="50"/>
      <c r="D178" s="72"/>
      <c r="E178" s="49"/>
      <c r="F178" s="49"/>
      <c r="G178" s="51"/>
      <c r="H178" s="49"/>
      <c r="I178" s="51"/>
      <c r="J178" s="52"/>
      <c r="K178" s="66"/>
      <c r="L178" s="66"/>
      <c r="M178" s="57"/>
      <c r="N178" s="54"/>
      <c r="O178" s="57"/>
      <c r="P178" s="54"/>
      <c r="Q178" s="55"/>
      <c r="R178" s="54"/>
      <c r="S178" s="54"/>
      <c r="T178" s="57"/>
      <c r="U178" s="55"/>
      <c r="V178" s="46"/>
      <c r="W178" s="46"/>
    </row>
    <row r="179" spans="2:23" x14ac:dyDescent="0.2">
      <c r="B179" s="49"/>
      <c r="C179" s="50"/>
      <c r="D179" s="72"/>
      <c r="E179" s="49"/>
      <c r="F179" s="49"/>
      <c r="G179" s="51"/>
      <c r="H179" s="49"/>
      <c r="I179" s="51"/>
      <c r="J179" s="52"/>
      <c r="K179" s="66"/>
      <c r="L179" s="66"/>
      <c r="M179" s="57"/>
      <c r="N179" s="54"/>
      <c r="O179" s="57"/>
      <c r="P179" s="54"/>
      <c r="Q179" s="55"/>
      <c r="R179" s="54"/>
      <c r="S179" s="54"/>
      <c r="T179" s="57"/>
      <c r="U179" s="55"/>
      <c r="V179" s="46"/>
      <c r="W179" s="46"/>
    </row>
    <row r="180" spans="2:23" x14ac:dyDescent="0.2">
      <c r="B180" s="49"/>
      <c r="C180" s="50"/>
      <c r="D180" s="72"/>
      <c r="E180" s="49"/>
      <c r="F180" s="49"/>
      <c r="G180" s="51"/>
      <c r="H180" s="49"/>
      <c r="I180" s="51"/>
      <c r="J180" s="52"/>
      <c r="K180" s="66"/>
      <c r="L180" s="66"/>
      <c r="M180" s="57"/>
      <c r="N180" s="54"/>
      <c r="O180" s="57"/>
      <c r="P180" s="54"/>
      <c r="Q180" s="55"/>
      <c r="R180" s="54"/>
      <c r="S180" s="54"/>
      <c r="T180" s="57"/>
      <c r="U180" s="55"/>
      <c r="V180" s="46"/>
      <c r="W180" s="46"/>
    </row>
    <row r="181" spans="2:23" x14ac:dyDescent="0.2">
      <c r="B181" s="49"/>
      <c r="C181" s="50"/>
      <c r="D181" s="72"/>
      <c r="E181" s="49"/>
      <c r="F181" s="49"/>
      <c r="G181" s="51"/>
      <c r="H181" s="49"/>
      <c r="I181" s="51"/>
      <c r="J181" s="52"/>
      <c r="K181" s="66"/>
      <c r="L181" s="66"/>
      <c r="M181" s="57"/>
      <c r="N181" s="54"/>
      <c r="O181" s="57"/>
      <c r="P181" s="54"/>
      <c r="Q181" s="55"/>
      <c r="R181" s="54"/>
      <c r="S181" s="54"/>
      <c r="T181" s="57"/>
      <c r="U181" s="55"/>
      <c r="V181" s="46"/>
      <c r="W181" s="46"/>
    </row>
    <row r="182" spans="2:23" x14ac:dyDescent="0.2">
      <c r="B182" s="49"/>
      <c r="C182" s="50"/>
      <c r="D182" s="72"/>
      <c r="E182" s="49"/>
      <c r="F182" s="49"/>
      <c r="G182" s="51"/>
      <c r="H182" s="49"/>
      <c r="I182" s="51"/>
      <c r="J182" s="52"/>
      <c r="K182" s="66"/>
      <c r="L182" s="66"/>
      <c r="M182" s="57"/>
      <c r="N182" s="54"/>
      <c r="O182" s="57"/>
      <c r="P182" s="54"/>
      <c r="Q182" s="55"/>
      <c r="R182" s="54"/>
      <c r="S182" s="54"/>
      <c r="T182" s="57"/>
      <c r="U182" s="55"/>
      <c r="V182" s="46"/>
      <c r="W182" s="46"/>
    </row>
    <row r="183" spans="2:23" x14ac:dyDescent="0.2">
      <c r="B183" s="49"/>
      <c r="C183" s="50"/>
      <c r="D183" s="72"/>
      <c r="E183" s="49"/>
      <c r="F183" s="49"/>
      <c r="G183" s="51"/>
      <c r="H183" s="49"/>
      <c r="I183" s="51"/>
      <c r="J183" s="52"/>
      <c r="K183" s="66"/>
      <c r="L183" s="66"/>
      <c r="M183" s="57"/>
      <c r="N183" s="54"/>
      <c r="O183" s="57"/>
      <c r="P183" s="54"/>
      <c r="Q183" s="55"/>
      <c r="R183" s="54"/>
      <c r="S183" s="54"/>
      <c r="T183" s="57"/>
      <c r="U183" s="55"/>
      <c r="V183" s="46"/>
      <c r="W183" s="46"/>
    </row>
    <row r="184" spans="2:23" x14ac:dyDescent="0.2">
      <c r="B184" s="49"/>
      <c r="C184" s="50"/>
      <c r="D184" s="72"/>
      <c r="E184" s="49"/>
      <c r="F184" s="49"/>
      <c r="G184" s="51"/>
      <c r="H184" s="49"/>
      <c r="I184" s="51"/>
      <c r="J184" s="52"/>
      <c r="K184" s="66"/>
      <c r="L184" s="66"/>
      <c r="M184" s="57"/>
      <c r="N184" s="54"/>
      <c r="O184" s="57"/>
      <c r="P184" s="54"/>
      <c r="Q184" s="55"/>
      <c r="R184" s="54"/>
      <c r="S184" s="54"/>
      <c r="T184" s="57"/>
      <c r="U184" s="55"/>
      <c r="V184" s="46"/>
      <c r="W184" s="46"/>
    </row>
    <row r="185" spans="2:23" x14ac:dyDescent="0.2">
      <c r="B185" s="49"/>
      <c r="C185" s="50"/>
      <c r="D185" s="72"/>
      <c r="E185" s="49"/>
      <c r="F185" s="49"/>
      <c r="G185" s="51"/>
      <c r="H185" s="49"/>
      <c r="I185" s="51"/>
      <c r="J185" s="52"/>
      <c r="K185" s="66"/>
      <c r="L185" s="66"/>
      <c r="M185" s="57"/>
      <c r="N185" s="54"/>
      <c r="O185" s="57"/>
      <c r="P185" s="54"/>
      <c r="Q185" s="55"/>
      <c r="R185" s="54"/>
      <c r="S185" s="54"/>
      <c r="T185" s="57"/>
      <c r="U185" s="55"/>
      <c r="V185" s="46"/>
      <c r="W185" s="46"/>
    </row>
    <row r="186" spans="2:23" x14ac:dyDescent="0.2">
      <c r="B186" s="49"/>
      <c r="C186" s="50"/>
      <c r="D186" s="72"/>
      <c r="E186" s="49"/>
      <c r="F186" s="49"/>
      <c r="G186" s="51"/>
      <c r="H186" s="49"/>
      <c r="I186" s="51"/>
      <c r="J186" s="52"/>
      <c r="K186" s="66"/>
      <c r="L186" s="66"/>
      <c r="M186" s="57"/>
      <c r="N186" s="54"/>
      <c r="O186" s="57"/>
      <c r="P186" s="54"/>
      <c r="Q186" s="55"/>
      <c r="R186" s="54"/>
      <c r="S186" s="54"/>
      <c r="T186" s="57"/>
      <c r="U186" s="55"/>
      <c r="V186" s="46"/>
      <c r="W186" s="46"/>
    </row>
    <row r="187" spans="2:23" x14ac:dyDescent="0.2">
      <c r="B187" s="49"/>
      <c r="C187" s="50"/>
      <c r="D187" s="72"/>
      <c r="E187" s="49"/>
      <c r="F187" s="49"/>
      <c r="G187" s="51"/>
      <c r="H187" s="49"/>
      <c r="I187" s="51"/>
      <c r="J187" s="52"/>
      <c r="K187" s="66"/>
      <c r="L187" s="66"/>
      <c r="M187" s="57"/>
      <c r="N187" s="54"/>
      <c r="O187" s="57"/>
      <c r="P187" s="54"/>
      <c r="Q187" s="55"/>
      <c r="R187" s="54"/>
      <c r="S187" s="54"/>
      <c r="T187" s="57"/>
      <c r="U187" s="55"/>
      <c r="V187" s="46"/>
      <c r="W187" s="46"/>
    </row>
    <row r="188" spans="2:23" x14ac:dyDescent="0.2">
      <c r="B188" s="49"/>
      <c r="C188" s="50"/>
      <c r="D188" s="72"/>
      <c r="E188" s="49"/>
      <c r="F188" s="49"/>
      <c r="G188" s="51"/>
      <c r="H188" s="49"/>
      <c r="I188" s="51"/>
      <c r="J188" s="52"/>
      <c r="K188" s="66"/>
      <c r="L188" s="66"/>
      <c r="M188" s="57"/>
      <c r="N188" s="54"/>
      <c r="O188" s="57"/>
      <c r="P188" s="54"/>
      <c r="Q188" s="55"/>
      <c r="R188" s="54"/>
      <c r="S188" s="54"/>
      <c r="T188" s="57"/>
      <c r="U188" s="55"/>
      <c r="V188" s="46"/>
      <c r="W188" s="46"/>
    </row>
    <row r="189" spans="2:23" x14ac:dyDescent="0.2">
      <c r="B189" s="49"/>
      <c r="C189" s="50"/>
      <c r="D189" s="72"/>
      <c r="E189" s="49"/>
      <c r="F189" s="49"/>
      <c r="G189" s="51"/>
      <c r="H189" s="49"/>
      <c r="I189" s="51"/>
      <c r="J189" s="52"/>
      <c r="K189" s="66"/>
      <c r="L189" s="66"/>
      <c r="M189" s="57"/>
      <c r="N189" s="54"/>
      <c r="O189" s="57"/>
      <c r="P189" s="54"/>
      <c r="Q189" s="55"/>
      <c r="R189" s="54"/>
      <c r="S189" s="54"/>
      <c r="T189" s="57"/>
      <c r="U189" s="55"/>
      <c r="V189" s="46"/>
      <c r="W189" s="46"/>
    </row>
    <row r="190" spans="2:23" x14ac:dyDescent="0.2">
      <c r="B190" s="49"/>
      <c r="C190" s="50"/>
      <c r="D190" s="72"/>
      <c r="E190" s="49"/>
      <c r="F190" s="49"/>
      <c r="G190" s="51"/>
      <c r="H190" s="49"/>
      <c r="I190" s="51"/>
      <c r="J190" s="52"/>
      <c r="K190" s="66"/>
      <c r="L190" s="66"/>
      <c r="M190" s="57"/>
      <c r="N190" s="54"/>
      <c r="O190" s="57"/>
      <c r="P190" s="54"/>
      <c r="Q190" s="55"/>
      <c r="R190" s="54"/>
      <c r="S190" s="54"/>
      <c r="T190" s="57"/>
      <c r="U190" s="55"/>
      <c r="V190" s="46"/>
      <c r="W190" s="46"/>
    </row>
    <row r="191" spans="2:23" x14ac:dyDescent="0.2">
      <c r="B191" s="49"/>
      <c r="C191" s="50"/>
      <c r="D191" s="72"/>
      <c r="E191" s="49"/>
      <c r="F191" s="49"/>
      <c r="G191" s="51"/>
      <c r="H191" s="49"/>
      <c r="I191" s="51"/>
      <c r="J191" s="52"/>
      <c r="K191" s="66"/>
      <c r="L191" s="66"/>
      <c r="M191" s="57"/>
      <c r="N191" s="54"/>
      <c r="O191" s="57"/>
      <c r="P191" s="54"/>
      <c r="Q191" s="55"/>
      <c r="R191" s="54"/>
      <c r="S191" s="54"/>
      <c r="T191" s="57"/>
      <c r="U191" s="55"/>
      <c r="V191" s="46"/>
      <c r="W191" s="46"/>
    </row>
    <row r="192" spans="2:23" x14ac:dyDescent="0.2">
      <c r="B192" s="49"/>
      <c r="C192" s="50"/>
      <c r="D192" s="72"/>
      <c r="E192" s="49"/>
      <c r="F192" s="49"/>
      <c r="G192" s="51"/>
      <c r="H192" s="49"/>
      <c r="I192" s="51"/>
      <c r="J192" s="52"/>
      <c r="K192" s="66"/>
      <c r="L192" s="66"/>
      <c r="M192" s="57"/>
      <c r="N192" s="54"/>
      <c r="O192" s="57"/>
      <c r="P192" s="54"/>
      <c r="Q192" s="55"/>
      <c r="R192" s="54"/>
      <c r="S192" s="54"/>
      <c r="T192" s="57"/>
      <c r="U192" s="55"/>
      <c r="V192" s="46"/>
      <c r="W192" s="46"/>
    </row>
    <row r="193" spans="2:23" x14ac:dyDescent="0.2">
      <c r="B193" s="49"/>
      <c r="C193" s="50"/>
      <c r="D193" s="72"/>
      <c r="E193" s="49"/>
      <c r="F193" s="49"/>
      <c r="G193" s="51"/>
      <c r="H193" s="49"/>
      <c r="I193" s="51"/>
      <c r="J193" s="52"/>
      <c r="K193" s="66"/>
      <c r="L193" s="66"/>
      <c r="M193" s="57"/>
      <c r="N193" s="54"/>
      <c r="O193" s="57"/>
      <c r="P193" s="54"/>
      <c r="Q193" s="55"/>
      <c r="R193" s="54"/>
      <c r="S193" s="54"/>
      <c r="T193" s="57"/>
      <c r="U193" s="55"/>
      <c r="V193" s="46"/>
      <c r="W193" s="46"/>
    </row>
    <row r="194" spans="2:23" x14ac:dyDescent="0.2">
      <c r="B194" s="49"/>
      <c r="C194" s="50"/>
      <c r="D194" s="72"/>
      <c r="E194" s="49"/>
      <c r="F194" s="49"/>
      <c r="G194" s="51"/>
      <c r="H194" s="49"/>
      <c r="I194" s="51"/>
      <c r="J194" s="52"/>
      <c r="K194" s="66"/>
      <c r="L194" s="66"/>
      <c r="M194" s="57"/>
      <c r="N194" s="54"/>
      <c r="O194" s="57"/>
      <c r="P194" s="54"/>
      <c r="Q194" s="55"/>
      <c r="R194" s="54"/>
      <c r="S194" s="54"/>
      <c r="T194" s="57"/>
      <c r="U194" s="55"/>
      <c r="V194" s="46"/>
      <c r="W194" s="46"/>
    </row>
    <row r="195" spans="2:23" x14ac:dyDescent="0.2">
      <c r="B195" s="49"/>
      <c r="C195" s="50"/>
      <c r="D195" s="72"/>
      <c r="E195" s="49"/>
      <c r="F195" s="49"/>
      <c r="G195" s="51"/>
      <c r="H195" s="49"/>
      <c r="I195" s="51"/>
      <c r="J195" s="52"/>
      <c r="K195" s="66"/>
      <c r="L195" s="66"/>
      <c r="M195" s="57"/>
      <c r="N195" s="54"/>
      <c r="O195" s="57"/>
      <c r="P195" s="54"/>
      <c r="Q195" s="55"/>
      <c r="R195" s="54"/>
      <c r="S195" s="54"/>
      <c r="T195" s="57"/>
      <c r="U195" s="55"/>
      <c r="V195" s="46"/>
      <c r="W195" s="46"/>
    </row>
    <row r="196" spans="2:23" x14ac:dyDescent="0.2">
      <c r="B196" s="49"/>
      <c r="C196" s="50"/>
      <c r="D196" s="72"/>
      <c r="E196" s="49"/>
      <c r="F196" s="49"/>
      <c r="G196" s="51"/>
      <c r="H196" s="49"/>
      <c r="I196" s="51"/>
      <c r="J196" s="52"/>
      <c r="K196" s="66"/>
      <c r="L196" s="66"/>
      <c r="M196" s="57"/>
      <c r="N196" s="54"/>
      <c r="O196" s="57"/>
      <c r="P196" s="54"/>
      <c r="Q196" s="55"/>
      <c r="R196" s="54"/>
      <c r="S196" s="54"/>
      <c r="T196" s="57"/>
      <c r="U196" s="55"/>
      <c r="V196" s="46"/>
      <c r="W196" s="46"/>
    </row>
    <row r="197" spans="2:23" x14ac:dyDescent="0.2">
      <c r="B197" s="49"/>
      <c r="C197" s="50"/>
      <c r="D197" s="72"/>
      <c r="E197" s="49"/>
      <c r="F197" s="49"/>
      <c r="G197" s="51"/>
      <c r="H197" s="49"/>
      <c r="I197" s="51"/>
      <c r="J197" s="52"/>
      <c r="K197" s="66"/>
      <c r="L197" s="66"/>
      <c r="M197" s="57"/>
      <c r="N197" s="54"/>
      <c r="O197" s="57"/>
      <c r="P197" s="54"/>
      <c r="Q197" s="55"/>
      <c r="R197" s="54"/>
      <c r="S197" s="54"/>
      <c r="T197" s="57"/>
      <c r="U197" s="55"/>
      <c r="V197" s="46"/>
      <c r="W197" s="46"/>
    </row>
    <row r="198" spans="2:23" x14ac:dyDescent="0.2">
      <c r="B198" s="49"/>
      <c r="C198" s="50"/>
      <c r="D198" s="72"/>
      <c r="E198" s="49"/>
      <c r="F198" s="49"/>
      <c r="G198" s="51"/>
      <c r="H198" s="49"/>
      <c r="I198" s="51"/>
      <c r="J198" s="52"/>
      <c r="K198" s="66"/>
      <c r="L198" s="66"/>
      <c r="M198" s="57"/>
      <c r="N198" s="54"/>
      <c r="O198" s="57"/>
      <c r="P198" s="54"/>
      <c r="Q198" s="55"/>
      <c r="R198" s="54"/>
      <c r="S198" s="54"/>
      <c r="T198" s="57"/>
      <c r="U198" s="55"/>
      <c r="V198" s="46"/>
      <c r="W198" s="46"/>
    </row>
    <row r="199" spans="2:23" x14ac:dyDescent="0.2">
      <c r="B199" s="49"/>
      <c r="C199" s="50"/>
      <c r="D199" s="72"/>
      <c r="E199" s="49"/>
      <c r="F199" s="49"/>
      <c r="G199" s="51"/>
      <c r="H199" s="49"/>
      <c r="I199" s="51"/>
      <c r="J199" s="52"/>
      <c r="K199" s="66"/>
      <c r="L199" s="66"/>
      <c r="M199" s="57"/>
      <c r="N199" s="54"/>
      <c r="O199" s="57"/>
      <c r="P199" s="54"/>
      <c r="Q199" s="55"/>
      <c r="R199" s="54"/>
      <c r="S199" s="54"/>
      <c r="T199" s="57"/>
      <c r="U199" s="55"/>
      <c r="V199" s="46"/>
      <c r="W199" s="46"/>
    </row>
    <row r="200" spans="2:23" x14ac:dyDescent="0.2">
      <c r="B200" s="49"/>
      <c r="C200" s="50"/>
      <c r="D200" s="72"/>
      <c r="E200" s="49"/>
      <c r="F200" s="49"/>
      <c r="G200" s="51"/>
      <c r="H200" s="49"/>
      <c r="I200" s="51"/>
      <c r="J200" s="52"/>
      <c r="K200" s="66"/>
      <c r="L200" s="66"/>
      <c r="M200" s="57"/>
      <c r="N200" s="54"/>
      <c r="O200" s="57"/>
      <c r="P200" s="54"/>
      <c r="Q200" s="55"/>
      <c r="R200" s="54"/>
      <c r="S200" s="54"/>
      <c r="T200" s="57"/>
      <c r="U200" s="55"/>
      <c r="V200" s="46"/>
      <c r="W200" s="46"/>
    </row>
    <row r="201" spans="2:23" x14ac:dyDescent="0.2">
      <c r="B201" s="49"/>
      <c r="C201" s="50"/>
      <c r="D201" s="72"/>
      <c r="E201" s="49"/>
      <c r="F201" s="49"/>
      <c r="G201" s="51"/>
      <c r="H201" s="49"/>
      <c r="I201" s="51"/>
      <c r="J201" s="52"/>
      <c r="K201" s="66"/>
      <c r="L201" s="66"/>
      <c r="M201" s="57"/>
      <c r="N201" s="54"/>
      <c r="O201" s="57"/>
      <c r="P201" s="54"/>
      <c r="Q201" s="55"/>
      <c r="R201" s="54"/>
      <c r="S201" s="54"/>
      <c r="T201" s="57"/>
      <c r="U201" s="55"/>
      <c r="V201" s="46"/>
      <c r="W201" s="46"/>
    </row>
    <row r="202" spans="2:23" x14ac:dyDescent="0.2">
      <c r="B202" s="49"/>
      <c r="C202" s="50"/>
      <c r="D202" s="72"/>
      <c r="E202" s="49"/>
      <c r="F202" s="49"/>
      <c r="G202" s="51"/>
      <c r="H202" s="49"/>
      <c r="I202" s="51"/>
      <c r="J202" s="52"/>
      <c r="K202" s="66"/>
      <c r="L202" s="66"/>
      <c r="M202" s="57"/>
      <c r="N202" s="54"/>
      <c r="O202" s="57"/>
      <c r="P202" s="54"/>
      <c r="Q202" s="55"/>
      <c r="R202" s="54"/>
      <c r="S202" s="54"/>
      <c r="T202" s="57"/>
      <c r="U202" s="55"/>
      <c r="V202" s="46"/>
      <c r="W202" s="46"/>
    </row>
    <row r="203" spans="2:23" x14ac:dyDescent="0.2">
      <c r="B203" s="49"/>
      <c r="C203" s="50"/>
      <c r="D203" s="72"/>
      <c r="E203" s="49"/>
      <c r="F203" s="49"/>
      <c r="G203" s="51"/>
      <c r="H203" s="49"/>
      <c r="I203" s="51"/>
      <c r="J203" s="52"/>
      <c r="K203" s="66"/>
      <c r="L203" s="66"/>
      <c r="M203" s="57"/>
      <c r="N203" s="54"/>
      <c r="O203" s="57"/>
      <c r="P203" s="54"/>
      <c r="Q203" s="55"/>
      <c r="R203" s="54"/>
      <c r="S203" s="54"/>
      <c r="T203" s="57"/>
      <c r="U203" s="55"/>
      <c r="V203" s="46"/>
      <c r="W203" s="46"/>
    </row>
    <row r="204" spans="2:23" x14ac:dyDescent="0.2">
      <c r="B204" s="49"/>
      <c r="C204" s="50"/>
      <c r="D204" s="72"/>
      <c r="E204" s="49"/>
      <c r="F204" s="49"/>
      <c r="G204" s="51"/>
      <c r="H204" s="49"/>
      <c r="I204" s="51"/>
      <c r="J204" s="52"/>
      <c r="K204" s="66"/>
      <c r="L204" s="66"/>
      <c r="M204" s="57"/>
      <c r="N204" s="54"/>
      <c r="O204" s="57"/>
      <c r="P204" s="54"/>
      <c r="Q204" s="55"/>
      <c r="R204" s="54"/>
      <c r="S204" s="54"/>
      <c r="T204" s="57"/>
      <c r="U204" s="55"/>
      <c r="V204" s="46"/>
      <c r="W204" s="46"/>
    </row>
    <row r="205" spans="2:23" x14ac:dyDescent="0.2">
      <c r="B205" s="49"/>
      <c r="C205" s="50"/>
      <c r="D205" s="72"/>
      <c r="E205" s="49"/>
      <c r="F205" s="49"/>
      <c r="G205" s="51"/>
      <c r="H205" s="49"/>
      <c r="I205" s="51"/>
      <c r="J205" s="52"/>
      <c r="K205" s="66"/>
      <c r="L205" s="66"/>
      <c r="M205" s="57"/>
      <c r="N205" s="54"/>
      <c r="O205" s="57"/>
      <c r="P205" s="54"/>
      <c r="Q205" s="55"/>
      <c r="R205" s="54"/>
      <c r="S205" s="54"/>
      <c r="T205" s="57"/>
      <c r="U205" s="55"/>
      <c r="V205" s="46"/>
      <c r="W205" s="46"/>
    </row>
    <row r="206" spans="2:23" x14ac:dyDescent="0.2">
      <c r="B206" s="49"/>
      <c r="C206" s="50"/>
      <c r="D206" s="72"/>
      <c r="E206" s="49"/>
      <c r="F206" s="49"/>
      <c r="G206" s="51"/>
      <c r="H206" s="49"/>
      <c r="I206" s="51"/>
      <c r="J206" s="52"/>
      <c r="K206" s="66"/>
      <c r="L206" s="66"/>
      <c r="M206" s="57"/>
      <c r="N206" s="54"/>
      <c r="O206" s="57"/>
      <c r="P206" s="54"/>
      <c r="Q206" s="55"/>
      <c r="R206" s="54"/>
      <c r="S206" s="54"/>
      <c r="T206" s="57"/>
      <c r="U206" s="55"/>
      <c r="V206" s="46"/>
      <c r="W206" s="46"/>
    </row>
    <row r="207" spans="2:23" x14ac:dyDescent="0.2">
      <c r="B207" s="49"/>
      <c r="C207" s="50"/>
      <c r="D207" s="72"/>
      <c r="E207" s="49"/>
      <c r="F207" s="49"/>
      <c r="G207" s="51"/>
      <c r="H207" s="49"/>
      <c r="I207" s="51"/>
      <c r="J207" s="52"/>
      <c r="K207" s="66"/>
      <c r="L207" s="66"/>
      <c r="M207" s="57"/>
      <c r="N207" s="54"/>
      <c r="O207" s="57"/>
      <c r="P207" s="54"/>
      <c r="Q207" s="55"/>
      <c r="R207" s="54"/>
      <c r="S207" s="54"/>
      <c r="T207" s="57"/>
      <c r="U207" s="55"/>
      <c r="V207" s="46"/>
      <c r="W207" s="46"/>
    </row>
    <row r="208" spans="2:23" x14ac:dyDescent="0.2">
      <c r="B208" s="49"/>
      <c r="C208" s="50"/>
      <c r="D208" s="72"/>
      <c r="E208" s="49"/>
      <c r="F208" s="49"/>
      <c r="G208" s="51"/>
      <c r="H208" s="49"/>
      <c r="I208" s="51"/>
      <c r="J208" s="52"/>
      <c r="K208" s="66"/>
      <c r="L208" s="66"/>
      <c r="M208" s="57"/>
      <c r="N208" s="54"/>
      <c r="O208" s="57"/>
      <c r="P208" s="54"/>
      <c r="Q208" s="55"/>
      <c r="R208" s="54"/>
      <c r="S208" s="54"/>
      <c r="T208" s="57"/>
      <c r="U208" s="55"/>
      <c r="V208" s="46"/>
      <c r="W208" s="46"/>
    </row>
    <row r="209" spans="2:23" x14ac:dyDescent="0.2">
      <c r="B209" s="49"/>
      <c r="C209" s="50"/>
      <c r="D209" s="72"/>
      <c r="E209" s="49"/>
      <c r="F209" s="49"/>
      <c r="G209" s="51"/>
      <c r="H209" s="49"/>
      <c r="I209" s="51"/>
      <c r="J209" s="52"/>
      <c r="K209" s="66"/>
      <c r="L209" s="66"/>
      <c r="M209" s="57"/>
      <c r="N209" s="54"/>
      <c r="O209" s="57"/>
      <c r="P209" s="54"/>
      <c r="Q209" s="55"/>
      <c r="R209" s="54"/>
      <c r="S209" s="54"/>
      <c r="T209" s="57"/>
      <c r="U209" s="55"/>
      <c r="V209" s="46"/>
      <c r="W209" s="46"/>
    </row>
    <row r="210" spans="2:23" x14ac:dyDescent="0.2">
      <c r="B210" s="49"/>
      <c r="C210" s="50"/>
      <c r="D210" s="72"/>
      <c r="E210" s="49"/>
      <c r="F210" s="49"/>
      <c r="G210" s="51"/>
      <c r="H210" s="49"/>
      <c r="I210" s="51"/>
      <c r="J210" s="52"/>
      <c r="K210" s="66"/>
      <c r="L210" s="66"/>
      <c r="M210" s="57"/>
      <c r="N210" s="54"/>
      <c r="O210" s="57"/>
      <c r="P210" s="54"/>
      <c r="Q210" s="55"/>
      <c r="R210" s="54"/>
      <c r="S210" s="54"/>
      <c r="T210" s="57"/>
      <c r="U210" s="55"/>
      <c r="V210" s="46"/>
      <c r="W210" s="46"/>
    </row>
    <row r="211" spans="2:23" x14ac:dyDescent="0.2">
      <c r="B211" s="49"/>
      <c r="C211" s="50"/>
      <c r="D211" s="72"/>
      <c r="E211" s="49"/>
      <c r="F211" s="49"/>
      <c r="G211" s="51"/>
      <c r="H211" s="49"/>
      <c r="I211" s="51"/>
      <c r="J211" s="52"/>
      <c r="K211" s="66"/>
      <c r="L211" s="66"/>
      <c r="M211" s="57"/>
      <c r="N211" s="54"/>
      <c r="O211" s="57"/>
      <c r="P211" s="54"/>
      <c r="Q211" s="55"/>
      <c r="R211" s="54"/>
      <c r="S211" s="54"/>
      <c r="T211" s="57"/>
      <c r="U211" s="55"/>
      <c r="V211" s="46"/>
      <c r="W211" s="46"/>
    </row>
    <row r="212" spans="2:23" x14ac:dyDescent="0.2">
      <c r="B212" s="49"/>
      <c r="C212" s="50"/>
      <c r="D212" s="72"/>
      <c r="E212" s="49"/>
      <c r="F212" s="49"/>
      <c r="G212" s="51"/>
      <c r="H212" s="49"/>
      <c r="I212" s="51"/>
      <c r="J212" s="52"/>
      <c r="K212" s="66"/>
      <c r="L212" s="66"/>
      <c r="M212" s="57"/>
      <c r="N212" s="54"/>
      <c r="O212" s="57"/>
      <c r="P212" s="54"/>
      <c r="Q212" s="55"/>
      <c r="R212" s="54"/>
      <c r="S212" s="54"/>
      <c r="T212" s="57"/>
      <c r="U212" s="55"/>
      <c r="V212" s="46"/>
      <c r="W212" s="46"/>
    </row>
    <row r="213" spans="2:23" x14ac:dyDescent="0.2">
      <c r="B213" s="49"/>
      <c r="C213" s="50"/>
      <c r="D213" s="72"/>
      <c r="E213" s="49"/>
      <c r="F213" s="49"/>
      <c r="G213" s="51"/>
      <c r="H213" s="49"/>
      <c r="I213" s="51"/>
      <c r="J213" s="52"/>
      <c r="K213" s="66"/>
      <c r="L213" s="66"/>
      <c r="M213" s="57"/>
      <c r="N213" s="54"/>
      <c r="O213" s="57"/>
      <c r="P213" s="54"/>
      <c r="Q213" s="55"/>
      <c r="R213" s="54"/>
      <c r="S213" s="54"/>
      <c r="T213" s="57"/>
      <c r="U213" s="55"/>
      <c r="V213" s="46"/>
      <c r="W213" s="46"/>
    </row>
    <row r="214" spans="2:23" x14ac:dyDescent="0.2">
      <c r="B214" s="49"/>
      <c r="C214" s="50"/>
      <c r="D214" s="72"/>
      <c r="E214" s="49"/>
      <c r="F214" s="49"/>
      <c r="G214" s="51"/>
      <c r="H214" s="49"/>
      <c r="I214" s="51"/>
      <c r="J214" s="52"/>
      <c r="K214" s="66"/>
      <c r="L214" s="66"/>
      <c r="M214" s="57"/>
      <c r="N214" s="54"/>
      <c r="O214" s="57"/>
      <c r="P214" s="54"/>
      <c r="Q214" s="55"/>
      <c r="R214" s="54"/>
      <c r="S214" s="54"/>
      <c r="T214" s="57"/>
      <c r="U214" s="55"/>
      <c r="V214" s="46"/>
      <c r="W214" s="46"/>
    </row>
    <row r="215" spans="2:23" x14ac:dyDescent="0.2">
      <c r="B215" s="49"/>
      <c r="C215" s="50"/>
      <c r="D215" s="72"/>
      <c r="E215" s="49"/>
      <c r="F215" s="49"/>
      <c r="G215" s="51"/>
      <c r="H215" s="49"/>
      <c r="I215" s="51"/>
      <c r="J215" s="52"/>
      <c r="K215" s="66"/>
      <c r="L215" s="66"/>
      <c r="M215" s="57"/>
      <c r="N215" s="54"/>
      <c r="O215" s="57"/>
      <c r="P215" s="54"/>
      <c r="Q215" s="55"/>
      <c r="R215" s="54"/>
      <c r="S215" s="54"/>
      <c r="T215" s="57"/>
      <c r="U215" s="55"/>
      <c r="V215" s="46"/>
      <c r="W215" s="46"/>
    </row>
    <row r="216" spans="2:23" x14ac:dyDescent="0.2">
      <c r="B216" s="49"/>
      <c r="C216" s="50"/>
      <c r="D216" s="72"/>
      <c r="E216" s="49"/>
      <c r="F216" s="49"/>
      <c r="G216" s="51"/>
      <c r="H216" s="49"/>
      <c r="I216" s="51"/>
      <c r="J216" s="52"/>
      <c r="K216" s="66"/>
      <c r="L216" s="66"/>
      <c r="M216" s="57"/>
      <c r="N216" s="54"/>
      <c r="O216" s="57"/>
      <c r="P216" s="54"/>
      <c r="Q216" s="55"/>
      <c r="R216" s="54"/>
      <c r="S216" s="54"/>
      <c r="T216" s="57"/>
      <c r="U216" s="55"/>
      <c r="V216" s="46"/>
      <c r="W216" s="46"/>
    </row>
    <row r="217" spans="2:23" x14ac:dyDescent="0.2">
      <c r="B217" s="49"/>
      <c r="C217" s="50"/>
      <c r="D217" s="72"/>
      <c r="E217" s="49"/>
      <c r="F217" s="49"/>
      <c r="G217" s="51"/>
      <c r="H217" s="49"/>
      <c r="I217" s="51"/>
      <c r="J217" s="52"/>
      <c r="K217" s="66"/>
      <c r="L217" s="66"/>
      <c r="M217" s="57"/>
      <c r="N217" s="54"/>
      <c r="O217" s="57"/>
      <c r="P217" s="54"/>
      <c r="Q217" s="55"/>
      <c r="R217" s="54"/>
      <c r="S217" s="54"/>
      <c r="T217" s="57"/>
      <c r="U217" s="55"/>
      <c r="V217" s="46"/>
      <c r="W217" s="46"/>
    </row>
    <row r="218" spans="2:23" x14ac:dyDescent="0.2">
      <c r="B218" s="49"/>
      <c r="C218" s="50"/>
      <c r="D218" s="72"/>
      <c r="E218" s="49"/>
      <c r="F218" s="49"/>
      <c r="G218" s="51"/>
      <c r="H218" s="49"/>
      <c r="I218" s="51"/>
      <c r="J218" s="52"/>
      <c r="K218" s="66"/>
      <c r="L218" s="66"/>
      <c r="M218" s="57"/>
      <c r="N218" s="54"/>
      <c r="O218" s="57"/>
      <c r="P218" s="54"/>
      <c r="Q218" s="55"/>
      <c r="R218" s="54"/>
      <c r="S218" s="54"/>
      <c r="T218" s="57"/>
      <c r="U218" s="55"/>
      <c r="V218" s="46"/>
      <c r="W218" s="46"/>
    </row>
    <row r="219" spans="2:23" x14ac:dyDescent="0.2">
      <c r="B219" s="49"/>
      <c r="C219" s="50"/>
      <c r="D219" s="72"/>
      <c r="E219" s="49"/>
      <c r="F219" s="49"/>
      <c r="G219" s="51"/>
      <c r="H219" s="49"/>
      <c r="I219" s="51"/>
      <c r="J219" s="52"/>
      <c r="K219" s="66"/>
      <c r="L219" s="66"/>
      <c r="M219" s="57"/>
      <c r="N219" s="54"/>
      <c r="O219" s="57"/>
      <c r="P219" s="54"/>
      <c r="Q219" s="55"/>
      <c r="R219" s="54"/>
      <c r="S219" s="54"/>
      <c r="T219" s="57"/>
      <c r="U219" s="55"/>
      <c r="V219" s="46"/>
      <c r="W219" s="46"/>
    </row>
    <row r="220" spans="2:23" x14ac:dyDescent="0.2">
      <c r="B220" s="49"/>
      <c r="C220" s="50"/>
      <c r="D220" s="72"/>
      <c r="E220" s="49"/>
      <c r="F220" s="49"/>
      <c r="G220" s="51"/>
      <c r="H220" s="49"/>
      <c r="I220" s="51"/>
      <c r="J220" s="52"/>
      <c r="K220" s="66"/>
      <c r="L220" s="66"/>
      <c r="M220" s="57"/>
      <c r="N220" s="54"/>
      <c r="O220" s="57"/>
      <c r="P220" s="54"/>
      <c r="Q220" s="55"/>
      <c r="R220" s="54"/>
      <c r="S220" s="54"/>
      <c r="T220" s="57"/>
      <c r="U220" s="55"/>
      <c r="V220" s="46"/>
      <c r="W220" s="46"/>
    </row>
    <row r="221" spans="2:23" x14ac:dyDescent="0.2">
      <c r="B221" s="49"/>
      <c r="C221" s="50"/>
      <c r="D221" s="72"/>
      <c r="E221" s="49"/>
      <c r="F221" s="49"/>
      <c r="G221" s="51"/>
      <c r="H221" s="49"/>
      <c r="I221" s="51"/>
      <c r="J221" s="52"/>
      <c r="K221" s="66"/>
      <c r="L221" s="66"/>
      <c r="M221" s="57"/>
      <c r="N221" s="54"/>
      <c r="O221" s="57"/>
      <c r="P221" s="54"/>
      <c r="Q221" s="55"/>
      <c r="R221" s="54"/>
      <c r="S221" s="54"/>
      <c r="T221" s="57"/>
      <c r="U221" s="55"/>
      <c r="V221" s="46"/>
      <c r="W221" s="46"/>
    </row>
    <row r="222" spans="2:23" x14ac:dyDescent="0.2">
      <c r="B222" s="49"/>
      <c r="C222" s="50"/>
      <c r="D222" s="72"/>
      <c r="E222" s="49"/>
      <c r="F222" s="49"/>
      <c r="G222" s="51"/>
      <c r="H222" s="49"/>
      <c r="I222" s="51"/>
      <c r="J222" s="52"/>
      <c r="K222" s="66"/>
      <c r="L222" s="66"/>
      <c r="M222" s="57"/>
      <c r="N222" s="54"/>
      <c r="O222" s="57"/>
      <c r="P222" s="54"/>
      <c r="Q222" s="55"/>
      <c r="R222" s="54"/>
      <c r="S222" s="54"/>
      <c r="T222" s="57"/>
      <c r="U222" s="55"/>
      <c r="V222" s="46"/>
      <c r="W222" s="46"/>
    </row>
    <row r="223" spans="2:23" x14ac:dyDescent="0.2">
      <c r="B223" s="49"/>
      <c r="C223" s="50"/>
      <c r="D223" s="72"/>
      <c r="E223" s="49"/>
      <c r="F223" s="49"/>
      <c r="G223" s="51"/>
      <c r="H223" s="49"/>
      <c r="I223" s="51"/>
      <c r="J223" s="52"/>
      <c r="K223" s="66"/>
      <c r="L223" s="66"/>
      <c r="M223" s="57"/>
      <c r="N223" s="54"/>
      <c r="O223" s="57"/>
      <c r="P223" s="54"/>
      <c r="Q223" s="55"/>
      <c r="R223" s="54"/>
      <c r="S223" s="54"/>
      <c r="T223" s="57"/>
      <c r="U223" s="55"/>
      <c r="V223" s="46"/>
      <c r="W223" s="46"/>
    </row>
    <row r="224" spans="2:23" x14ac:dyDescent="0.2">
      <c r="B224" s="49"/>
      <c r="C224" s="50"/>
      <c r="D224" s="72"/>
      <c r="E224" s="49"/>
      <c r="F224" s="49"/>
      <c r="G224" s="51"/>
      <c r="H224" s="49"/>
      <c r="I224" s="51"/>
      <c r="J224" s="52"/>
      <c r="K224" s="66"/>
      <c r="L224" s="66"/>
      <c r="M224" s="57"/>
      <c r="N224" s="54"/>
      <c r="O224" s="57"/>
      <c r="P224" s="54"/>
      <c r="Q224" s="55"/>
      <c r="R224" s="54"/>
      <c r="S224" s="54"/>
      <c r="T224" s="57"/>
      <c r="U224" s="55"/>
      <c r="V224" s="46"/>
      <c r="W224" s="46"/>
    </row>
    <row r="225" spans="2:23" x14ac:dyDescent="0.2">
      <c r="B225" s="49"/>
      <c r="C225" s="50"/>
      <c r="D225" s="72"/>
      <c r="E225" s="49"/>
      <c r="F225" s="49"/>
      <c r="G225" s="51"/>
      <c r="H225" s="49"/>
      <c r="I225" s="51"/>
      <c r="J225" s="52"/>
      <c r="K225" s="66"/>
      <c r="L225" s="66"/>
      <c r="M225" s="57"/>
      <c r="N225" s="54"/>
      <c r="O225" s="57"/>
      <c r="P225" s="54"/>
      <c r="Q225" s="55"/>
      <c r="R225" s="54"/>
      <c r="S225" s="54"/>
      <c r="T225" s="57"/>
      <c r="U225" s="55"/>
      <c r="V225" s="46"/>
      <c r="W225" s="46"/>
    </row>
    <row r="226" spans="2:23" x14ac:dyDescent="0.2">
      <c r="B226" s="49"/>
      <c r="C226" s="50"/>
      <c r="D226" s="72"/>
      <c r="E226" s="49"/>
      <c r="F226" s="49"/>
      <c r="G226" s="51"/>
      <c r="H226" s="49"/>
      <c r="I226" s="51"/>
      <c r="J226" s="52"/>
      <c r="K226" s="66"/>
      <c r="L226" s="66"/>
      <c r="M226" s="57"/>
      <c r="N226" s="54"/>
      <c r="O226" s="57"/>
      <c r="P226" s="54"/>
      <c r="Q226" s="55"/>
      <c r="R226" s="54"/>
      <c r="S226" s="54"/>
      <c r="T226" s="57"/>
      <c r="U226" s="55"/>
      <c r="V226" s="46"/>
      <c r="W226" s="46"/>
    </row>
    <row r="227" spans="2:23" x14ac:dyDescent="0.2">
      <c r="B227" s="49"/>
      <c r="C227" s="50"/>
      <c r="D227" s="72"/>
      <c r="E227" s="49"/>
      <c r="F227" s="49"/>
      <c r="G227" s="51"/>
      <c r="H227" s="49"/>
      <c r="I227" s="51"/>
      <c r="J227" s="52"/>
      <c r="K227" s="66"/>
      <c r="L227" s="66"/>
      <c r="M227" s="57"/>
      <c r="N227" s="54"/>
      <c r="O227" s="57"/>
      <c r="P227" s="54"/>
      <c r="Q227" s="55"/>
      <c r="R227" s="54"/>
      <c r="S227" s="54"/>
      <c r="T227" s="57"/>
      <c r="U227" s="55"/>
      <c r="V227" s="46"/>
      <c r="W227" s="46"/>
    </row>
    <row r="228" spans="2:23" x14ac:dyDescent="0.2">
      <c r="B228" s="49"/>
      <c r="C228" s="50"/>
      <c r="D228" s="72"/>
      <c r="E228" s="49"/>
      <c r="F228" s="49"/>
      <c r="G228" s="51"/>
      <c r="H228" s="49"/>
      <c r="I228" s="51"/>
      <c r="J228" s="52"/>
      <c r="K228" s="66"/>
      <c r="L228" s="66"/>
      <c r="M228" s="57"/>
      <c r="N228" s="54"/>
      <c r="O228" s="57"/>
      <c r="P228" s="54"/>
      <c r="Q228" s="55"/>
      <c r="R228" s="54"/>
      <c r="S228" s="54"/>
      <c r="T228" s="57"/>
      <c r="U228" s="55"/>
      <c r="V228" s="46"/>
      <c r="W228" s="46"/>
    </row>
    <row r="229" spans="2:23" x14ac:dyDescent="0.2">
      <c r="B229" s="49"/>
      <c r="C229" s="50"/>
      <c r="D229" s="72"/>
      <c r="E229" s="49"/>
      <c r="F229" s="49"/>
      <c r="G229" s="51"/>
      <c r="H229" s="49"/>
      <c r="I229" s="51"/>
      <c r="J229" s="52"/>
      <c r="K229" s="66"/>
      <c r="L229" s="66"/>
      <c r="M229" s="57"/>
      <c r="N229" s="54"/>
      <c r="O229" s="57"/>
      <c r="P229" s="54"/>
      <c r="Q229" s="55"/>
      <c r="R229" s="54"/>
      <c r="S229" s="54"/>
      <c r="T229" s="57"/>
      <c r="U229" s="55"/>
      <c r="V229" s="46"/>
      <c r="W229" s="46"/>
    </row>
    <row r="230" spans="2:23" x14ac:dyDescent="0.2">
      <c r="B230" s="49"/>
      <c r="C230" s="50"/>
      <c r="D230" s="72"/>
      <c r="E230" s="49"/>
      <c r="F230" s="49"/>
      <c r="G230" s="51"/>
      <c r="H230" s="49"/>
      <c r="I230" s="51"/>
      <c r="J230" s="52"/>
      <c r="K230" s="66"/>
      <c r="L230" s="66"/>
      <c r="M230" s="57"/>
      <c r="N230" s="54"/>
      <c r="O230" s="57"/>
      <c r="P230" s="54"/>
      <c r="Q230" s="55"/>
      <c r="R230" s="54"/>
      <c r="S230" s="54"/>
      <c r="T230" s="57"/>
      <c r="U230" s="55"/>
      <c r="V230" s="46"/>
      <c r="W230" s="46"/>
    </row>
    <row r="231" spans="2:23" x14ac:dyDescent="0.2">
      <c r="B231" s="49"/>
      <c r="C231" s="50"/>
      <c r="D231" s="72"/>
      <c r="E231" s="49"/>
      <c r="F231" s="49"/>
      <c r="G231" s="51"/>
      <c r="H231" s="49"/>
      <c r="I231" s="51"/>
      <c r="J231" s="52"/>
      <c r="K231" s="66"/>
      <c r="L231" s="66"/>
      <c r="M231" s="57"/>
      <c r="N231" s="54"/>
      <c r="O231" s="57"/>
      <c r="P231" s="54"/>
      <c r="Q231" s="55"/>
      <c r="R231" s="54"/>
      <c r="S231" s="54"/>
      <c r="T231" s="57"/>
      <c r="U231" s="55"/>
      <c r="V231" s="46"/>
      <c r="W231" s="46"/>
    </row>
    <row r="232" spans="2:23" x14ac:dyDescent="0.2">
      <c r="B232" s="49"/>
      <c r="C232" s="50"/>
      <c r="D232" s="72"/>
      <c r="E232" s="49"/>
      <c r="F232" s="49"/>
      <c r="G232" s="51"/>
      <c r="H232" s="49"/>
      <c r="I232" s="51"/>
      <c r="J232" s="52"/>
      <c r="K232" s="66"/>
      <c r="L232" s="66"/>
      <c r="M232" s="57"/>
      <c r="N232" s="54"/>
      <c r="O232" s="57"/>
      <c r="P232" s="54"/>
      <c r="Q232" s="55"/>
      <c r="R232" s="54"/>
      <c r="S232" s="54"/>
      <c r="T232" s="57"/>
      <c r="U232" s="55"/>
      <c r="V232" s="46"/>
      <c r="W232" s="46"/>
    </row>
    <row r="233" spans="2:23" x14ac:dyDescent="0.2">
      <c r="B233" s="49"/>
      <c r="C233" s="50"/>
      <c r="D233" s="72"/>
      <c r="E233" s="49"/>
      <c r="F233" s="49"/>
      <c r="G233" s="51"/>
      <c r="H233" s="49"/>
      <c r="I233" s="51"/>
      <c r="J233" s="52"/>
      <c r="K233" s="66"/>
      <c r="L233" s="66"/>
      <c r="M233" s="57"/>
      <c r="N233" s="54"/>
      <c r="O233" s="57"/>
      <c r="P233" s="54"/>
      <c r="Q233" s="55"/>
      <c r="R233" s="54"/>
      <c r="S233" s="54"/>
      <c r="T233" s="57"/>
      <c r="U233" s="55"/>
      <c r="V233" s="46"/>
      <c r="W233" s="46"/>
    </row>
    <row r="234" spans="2:23" x14ac:dyDescent="0.2">
      <c r="B234" s="49"/>
      <c r="C234" s="50"/>
      <c r="D234" s="72"/>
      <c r="E234" s="49"/>
      <c r="F234" s="49"/>
      <c r="G234" s="51"/>
      <c r="H234" s="49"/>
      <c r="I234" s="51"/>
      <c r="J234" s="52"/>
      <c r="K234" s="66"/>
      <c r="L234" s="66"/>
      <c r="M234" s="57"/>
      <c r="N234" s="54"/>
      <c r="O234" s="57"/>
      <c r="P234" s="54"/>
      <c r="Q234" s="55"/>
      <c r="R234" s="54"/>
      <c r="S234" s="54"/>
      <c r="T234" s="57"/>
      <c r="U234" s="55"/>
      <c r="V234" s="46"/>
      <c r="W234" s="46"/>
    </row>
    <row r="235" spans="2:23" x14ac:dyDescent="0.2">
      <c r="B235" s="49"/>
      <c r="C235" s="50"/>
      <c r="D235" s="72"/>
      <c r="E235" s="49"/>
      <c r="F235" s="49"/>
      <c r="G235" s="51"/>
      <c r="H235" s="49"/>
      <c r="I235" s="51"/>
      <c r="J235" s="52"/>
      <c r="K235" s="66"/>
      <c r="L235" s="66"/>
      <c r="M235" s="57"/>
      <c r="N235" s="54"/>
      <c r="O235" s="57"/>
      <c r="P235" s="54"/>
      <c r="Q235" s="55"/>
      <c r="R235" s="54"/>
      <c r="S235" s="54"/>
      <c r="T235" s="57"/>
      <c r="U235" s="55"/>
      <c r="V235" s="46"/>
      <c r="W235" s="46"/>
    </row>
    <row r="236" spans="2:23" x14ac:dyDescent="0.2">
      <c r="B236" s="49"/>
      <c r="C236" s="50"/>
      <c r="D236" s="72"/>
      <c r="E236" s="49"/>
      <c r="F236" s="49"/>
      <c r="G236" s="51"/>
      <c r="H236" s="49"/>
      <c r="I236" s="51"/>
      <c r="J236" s="52"/>
      <c r="K236" s="66"/>
      <c r="L236" s="66"/>
      <c r="M236" s="57"/>
      <c r="N236" s="54"/>
      <c r="O236" s="57"/>
      <c r="P236" s="54"/>
      <c r="Q236" s="55"/>
      <c r="R236" s="54"/>
      <c r="S236" s="54"/>
      <c r="T236" s="57"/>
      <c r="U236" s="55"/>
      <c r="V236" s="46"/>
      <c r="W236" s="46"/>
    </row>
    <row r="237" spans="2:23" x14ac:dyDescent="0.2">
      <c r="B237" s="49"/>
      <c r="C237" s="50"/>
      <c r="D237" s="72"/>
      <c r="E237" s="49"/>
      <c r="F237" s="49"/>
      <c r="G237" s="51"/>
      <c r="H237" s="49"/>
      <c r="I237" s="51"/>
      <c r="J237" s="52"/>
      <c r="K237" s="66"/>
      <c r="L237" s="66"/>
      <c r="M237" s="57"/>
      <c r="N237" s="54"/>
      <c r="O237" s="57"/>
      <c r="P237" s="54"/>
      <c r="Q237" s="55"/>
      <c r="R237" s="54"/>
      <c r="S237" s="54"/>
      <c r="T237" s="57"/>
      <c r="U237" s="55"/>
      <c r="V237" s="46"/>
      <c r="W237" s="46"/>
    </row>
    <row r="238" spans="2:23" x14ac:dyDescent="0.2">
      <c r="B238" s="49"/>
      <c r="C238" s="50"/>
      <c r="D238" s="72"/>
      <c r="E238" s="49"/>
      <c r="F238" s="49"/>
      <c r="G238" s="51"/>
      <c r="H238" s="49"/>
      <c r="I238" s="51"/>
      <c r="J238" s="52"/>
      <c r="K238" s="66"/>
      <c r="L238" s="66"/>
      <c r="M238" s="57"/>
      <c r="N238" s="54"/>
      <c r="O238" s="57"/>
      <c r="P238" s="54"/>
      <c r="Q238" s="55"/>
      <c r="R238" s="54"/>
      <c r="S238" s="54"/>
      <c r="T238" s="57"/>
      <c r="U238" s="55"/>
      <c r="V238" s="46"/>
      <c r="W238" s="46"/>
    </row>
    <row r="239" spans="2:23" x14ac:dyDescent="0.2">
      <c r="B239" s="49"/>
      <c r="C239" s="50"/>
      <c r="D239" s="72"/>
      <c r="E239" s="49"/>
      <c r="F239" s="49"/>
      <c r="G239" s="51"/>
      <c r="H239" s="49"/>
      <c r="I239" s="51"/>
      <c r="J239" s="52"/>
      <c r="K239" s="66"/>
      <c r="L239" s="66"/>
      <c r="M239" s="57"/>
      <c r="N239" s="54"/>
      <c r="O239" s="57"/>
      <c r="P239" s="54"/>
      <c r="Q239" s="55"/>
      <c r="R239" s="54"/>
      <c r="S239" s="54"/>
      <c r="T239" s="57"/>
      <c r="U239" s="55"/>
      <c r="V239" s="46"/>
      <c r="W239" s="46"/>
    </row>
    <row r="240" spans="2:23" x14ac:dyDescent="0.2">
      <c r="B240" s="49"/>
      <c r="C240" s="50"/>
      <c r="D240" s="72"/>
      <c r="E240" s="49"/>
      <c r="F240" s="49"/>
      <c r="G240" s="51"/>
      <c r="H240" s="49"/>
      <c r="I240" s="51"/>
      <c r="J240" s="52"/>
      <c r="K240" s="66"/>
      <c r="L240" s="66"/>
      <c r="M240" s="57"/>
      <c r="N240" s="54"/>
      <c r="O240" s="57"/>
      <c r="P240" s="54"/>
      <c r="Q240" s="55"/>
      <c r="R240" s="54"/>
      <c r="S240" s="54"/>
      <c r="T240" s="57"/>
      <c r="U240" s="55"/>
      <c r="V240" s="46"/>
      <c r="W240" s="46"/>
    </row>
    <row r="241" spans="2:23" x14ac:dyDescent="0.2">
      <c r="B241" s="49"/>
      <c r="C241" s="50"/>
      <c r="D241" s="72"/>
      <c r="E241" s="49"/>
      <c r="F241" s="49"/>
      <c r="G241" s="51"/>
      <c r="H241" s="49"/>
      <c r="I241" s="51"/>
      <c r="J241" s="52"/>
      <c r="K241" s="66"/>
      <c r="L241" s="66"/>
      <c r="M241" s="57"/>
      <c r="N241" s="54"/>
      <c r="O241" s="57"/>
      <c r="P241" s="54"/>
      <c r="Q241" s="55"/>
      <c r="R241" s="54"/>
      <c r="S241" s="54"/>
      <c r="T241" s="57"/>
      <c r="U241" s="55"/>
      <c r="V241" s="46"/>
      <c r="W241" s="46"/>
    </row>
    <row r="242" spans="2:23" x14ac:dyDescent="0.2">
      <c r="B242" s="49"/>
      <c r="C242" s="50"/>
      <c r="D242" s="72"/>
      <c r="E242" s="49"/>
      <c r="F242" s="49"/>
      <c r="G242" s="51"/>
      <c r="H242" s="49"/>
      <c r="I242" s="51"/>
      <c r="J242" s="52"/>
      <c r="K242" s="66"/>
      <c r="L242" s="66"/>
      <c r="M242" s="57"/>
      <c r="N242" s="54"/>
      <c r="O242" s="57"/>
      <c r="P242" s="54"/>
      <c r="Q242" s="55"/>
      <c r="R242" s="54"/>
      <c r="S242" s="54"/>
      <c r="T242" s="57"/>
      <c r="U242" s="55"/>
      <c r="V242" s="46"/>
      <c r="W242" s="46"/>
    </row>
    <row r="243" spans="2:23" x14ac:dyDescent="0.2">
      <c r="B243" s="49"/>
      <c r="C243" s="50"/>
      <c r="D243" s="72"/>
      <c r="E243" s="49"/>
      <c r="F243" s="49"/>
      <c r="G243" s="51"/>
      <c r="H243" s="49"/>
      <c r="I243" s="51"/>
      <c r="J243" s="52"/>
      <c r="K243" s="66"/>
      <c r="L243" s="66"/>
      <c r="M243" s="57"/>
      <c r="N243" s="54"/>
      <c r="O243" s="57"/>
      <c r="P243" s="54"/>
      <c r="Q243" s="55"/>
      <c r="R243" s="54"/>
      <c r="S243" s="54"/>
      <c r="T243" s="57"/>
      <c r="U243" s="55"/>
      <c r="V243" s="46"/>
      <c r="W243" s="46"/>
    </row>
    <row r="244" spans="2:23" x14ac:dyDescent="0.2">
      <c r="B244" s="49"/>
      <c r="C244" s="50"/>
      <c r="D244" s="72"/>
      <c r="E244" s="49"/>
      <c r="F244" s="49"/>
      <c r="G244" s="51"/>
      <c r="H244" s="49"/>
      <c r="I244" s="51"/>
      <c r="J244" s="52"/>
      <c r="K244" s="66"/>
      <c r="L244" s="66"/>
      <c r="M244" s="57"/>
      <c r="N244" s="54"/>
      <c r="O244" s="57"/>
      <c r="P244" s="54"/>
      <c r="Q244" s="55"/>
      <c r="R244" s="54"/>
      <c r="S244" s="54"/>
      <c r="T244" s="57"/>
      <c r="U244" s="55"/>
      <c r="V244" s="46"/>
      <c r="W244" s="46"/>
    </row>
    <row r="245" spans="2:23" x14ac:dyDescent="0.2">
      <c r="B245" s="49"/>
      <c r="C245" s="50"/>
      <c r="D245" s="72"/>
      <c r="E245" s="49"/>
      <c r="F245" s="49"/>
      <c r="G245" s="51"/>
      <c r="H245" s="49"/>
      <c r="I245" s="51"/>
      <c r="J245" s="52"/>
      <c r="K245" s="66"/>
      <c r="L245" s="66"/>
      <c r="M245" s="57"/>
      <c r="N245" s="54"/>
      <c r="O245" s="57"/>
      <c r="P245" s="54"/>
      <c r="Q245" s="55"/>
      <c r="R245" s="54"/>
      <c r="S245" s="54"/>
      <c r="T245" s="57"/>
      <c r="U245" s="55"/>
      <c r="V245" s="46"/>
      <c r="W245" s="46"/>
    </row>
    <row r="246" spans="2:23" x14ac:dyDescent="0.2">
      <c r="B246" s="49"/>
      <c r="C246" s="50"/>
      <c r="D246" s="72"/>
      <c r="E246" s="49"/>
      <c r="F246" s="49"/>
      <c r="G246" s="51"/>
      <c r="H246" s="49"/>
      <c r="I246" s="51"/>
      <c r="J246" s="52"/>
      <c r="K246" s="66"/>
      <c r="L246" s="66"/>
      <c r="M246" s="57"/>
      <c r="N246" s="54"/>
      <c r="O246" s="57"/>
      <c r="P246" s="54"/>
      <c r="Q246" s="55"/>
      <c r="R246" s="54"/>
      <c r="S246" s="54"/>
      <c r="T246" s="57"/>
      <c r="U246" s="55"/>
      <c r="V246" s="46"/>
      <c r="W246" s="46"/>
    </row>
    <row r="247" spans="2:23" x14ac:dyDescent="0.2">
      <c r="B247" s="49"/>
      <c r="C247" s="50"/>
      <c r="D247" s="72"/>
      <c r="E247" s="49"/>
      <c r="F247" s="49"/>
      <c r="G247" s="51"/>
      <c r="H247" s="49"/>
      <c r="I247" s="51"/>
      <c r="J247" s="52"/>
      <c r="K247" s="66"/>
      <c r="L247" s="66"/>
      <c r="M247" s="57"/>
      <c r="N247" s="54"/>
      <c r="O247" s="57"/>
      <c r="P247" s="54"/>
      <c r="Q247" s="55"/>
      <c r="R247" s="54"/>
      <c r="S247" s="54"/>
      <c r="T247" s="57"/>
      <c r="U247" s="55"/>
      <c r="V247" s="46"/>
      <c r="W247" s="46"/>
    </row>
    <row r="248" spans="2:23" x14ac:dyDescent="0.2">
      <c r="B248" s="49"/>
      <c r="C248" s="50"/>
      <c r="D248" s="72"/>
      <c r="E248" s="49"/>
      <c r="F248" s="49"/>
      <c r="G248" s="51"/>
      <c r="H248" s="49"/>
      <c r="I248" s="51"/>
      <c r="J248" s="52"/>
      <c r="K248" s="66"/>
      <c r="L248" s="66"/>
      <c r="M248" s="57"/>
      <c r="N248" s="54"/>
      <c r="O248" s="57"/>
      <c r="P248" s="54"/>
      <c r="Q248" s="55"/>
      <c r="R248" s="54"/>
      <c r="S248" s="54"/>
      <c r="T248" s="57"/>
      <c r="U248" s="55"/>
      <c r="V248" s="46"/>
      <c r="W248" s="46"/>
    </row>
    <row r="249" spans="2:23" x14ac:dyDescent="0.2">
      <c r="B249" s="49"/>
      <c r="C249" s="50"/>
      <c r="D249" s="72"/>
      <c r="E249" s="49"/>
      <c r="F249" s="49"/>
      <c r="G249" s="51"/>
      <c r="H249" s="49"/>
      <c r="I249" s="51"/>
      <c r="J249" s="52"/>
      <c r="K249" s="66"/>
      <c r="L249" s="66"/>
      <c r="M249" s="57"/>
      <c r="N249" s="54"/>
      <c r="O249" s="57"/>
      <c r="P249" s="54"/>
      <c r="Q249" s="55"/>
      <c r="R249" s="54"/>
      <c r="S249" s="54"/>
      <c r="T249" s="57"/>
      <c r="U249" s="55"/>
      <c r="V249" s="46"/>
      <c r="W249" s="46"/>
    </row>
    <row r="250" spans="2:23" x14ac:dyDescent="0.2">
      <c r="B250" s="49"/>
      <c r="C250" s="50"/>
      <c r="D250" s="72"/>
      <c r="E250" s="49"/>
      <c r="F250" s="49"/>
      <c r="G250" s="51"/>
      <c r="H250" s="49"/>
      <c r="I250" s="51"/>
      <c r="J250" s="52"/>
      <c r="K250" s="66"/>
      <c r="L250" s="66"/>
      <c r="M250" s="57"/>
      <c r="N250" s="54"/>
      <c r="O250" s="57"/>
      <c r="P250" s="54"/>
      <c r="Q250" s="55"/>
      <c r="R250" s="54"/>
      <c r="S250" s="54"/>
      <c r="T250" s="57"/>
      <c r="U250" s="55"/>
      <c r="V250" s="46"/>
      <c r="W250" s="46"/>
    </row>
    <row r="251" spans="2:23" x14ac:dyDescent="0.2">
      <c r="B251" s="49"/>
      <c r="C251" s="50"/>
      <c r="D251" s="72"/>
      <c r="E251" s="49"/>
      <c r="F251" s="49"/>
      <c r="G251" s="51"/>
      <c r="H251" s="49"/>
      <c r="I251" s="51"/>
      <c r="J251" s="52"/>
      <c r="K251" s="66"/>
      <c r="L251" s="66"/>
      <c r="M251" s="57"/>
      <c r="N251" s="54"/>
      <c r="O251" s="57"/>
      <c r="P251" s="54"/>
      <c r="Q251" s="55"/>
      <c r="R251" s="54"/>
      <c r="S251" s="54"/>
      <c r="T251" s="57"/>
      <c r="U251" s="55"/>
      <c r="V251" s="46"/>
      <c r="W251" s="46"/>
    </row>
    <row r="252" spans="2:23" x14ac:dyDescent="0.2">
      <c r="B252" s="49"/>
      <c r="C252" s="50"/>
      <c r="D252" s="72"/>
      <c r="E252" s="49"/>
      <c r="F252" s="49"/>
      <c r="G252" s="51"/>
      <c r="H252" s="49"/>
      <c r="I252" s="51"/>
      <c r="J252" s="52"/>
      <c r="K252" s="66"/>
      <c r="L252" s="66"/>
      <c r="M252" s="57"/>
      <c r="N252" s="54"/>
      <c r="O252" s="57"/>
      <c r="P252" s="54"/>
      <c r="Q252" s="55"/>
      <c r="R252" s="54"/>
      <c r="S252" s="54"/>
      <c r="T252" s="57"/>
      <c r="U252" s="55"/>
      <c r="V252" s="46"/>
      <c r="W252" s="46"/>
    </row>
    <row r="253" spans="2:23" x14ac:dyDescent="0.2">
      <c r="B253" s="49"/>
      <c r="C253" s="50"/>
      <c r="D253" s="72"/>
      <c r="E253" s="49"/>
      <c r="F253" s="49"/>
      <c r="G253" s="51"/>
      <c r="H253" s="49"/>
      <c r="I253" s="51"/>
      <c r="J253" s="52"/>
      <c r="K253" s="66"/>
      <c r="L253" s="66"/>
      <c r="M253" s="57"/>
      <c r="N253" s="54"/>
      <c r="O253" s="57"/>
      <c r="P253" s="54"/>
      <c r="Q253" s="55"/>
      <c r="R253" s="54"/>
      <c r="S253" s="54"/>
      <c r="T253" s="57"/>
      <c r="U253" s="55"/>
      <c r="V253" s="46"/>
      <c r="W253" s="46"/>
    </row>
    <row r="254" spans="2:23" x14ac:dyDescent="0.2">
      <c r="B254" s="49"/>
      <c r="C254" s="50"/>
      <c r="D254" s="72"/>
      <c r="E254" s="49"/>
      <c r="F254" s="49"/>
      <c r="G254" s="51"/>
      <c r="H254" s="49"/>
      <c r="I254" s="51"/>
      <c r="J254" s="52"/>
      <c r="K254" s="66"/>
      <c r="L254" s="66"/>
      <c r="M254" s="57"/>
      <c r="N254" s="54"/>
      <c r="O254" s="57"/>
      <c r="P254" s="54"/>
      <c r="Q254" s="55"/>
      <c r="R254" s="54"/>
      <c r="S254" s="54"/>
      <c r="T254" s="57"/>
      <c r="U254" s="55"/>
      <c r="V254" s="46"/>
      <c r="W254" s="46"/>
    </row>
    <row r="255" spans="2:23" x14ac:dyDescent="0.2">
      <c r="B255" s="49"/>
      <c r="C255" s="50"/>
      <c r="D255" s="72"/>
      <c r="E255" s="49"/>
      <c r="F255" s="49"/>
      <c r="G255" s="51"/>
      <c r="H255" s="49"/>
      <c r="I255" s="51"/>
      <c r="J255" s="52"/>
      <c r="K255" s="66"/>
      <c r="L255" s="66"/>
      <c r="M255" s="57"/>
      <c r="N255" s="54"/>
      <c r="O255" s="57"/>
      <c r="P255" s="54"/>
      <c r="Q255" s="55"/>
      <c r="R255" s="54"/>
      <c r="S255" s="54"/>
      <c r="T255" s="57"/>
      <c r="U255" s="55"/>
      <c r="V255" s="46"/>
      <c r="W255" s="46"/>
    </row>
    <row r="256" spans="2:23" x14ac:dyDescent="0.2">
      <c r="B256" s="49"/>
      <c r="C256" s="50"/>
      <c r="D256" s="72"/>
      <c r="E256" s="49"/>
      <c r="F256" s="49"/>
      <c r="G256" s="51"/>
      <c r="H256" s="49"/>
      <c r="I256" s="51"/>
      <c r="J256" s="52"/>
      <c r="K256" s="66"/>
      <c r="L256" s="66"/>
      <c r="M256" s="57"/>
      <c r="N256" s="54"/>
      <c r="O256" s="57"/>
      <c r="P256" s="54"/>
      <c r="Q256" s="55"/>
      <c r="R256" s="54"/>
      <c r="S256" s="54"/>
      <c r="T256" s="57"/>
      <c r="U256" s="55"/>
      <c r="V256" s="46"/>
      <c r="W256" s="46"/>
    </row>
    <row r="257" spans="2:23" x14ac:dyDescent="0.2">
      <c r="B257" s="49"/>
      <c r="C257" s="50"/>
      <c r="D257" s="72"/>
      <c r="E257" s="49"/>
      <c r="F257" s="49"/>
      <c r="G257" s="51"/>
      <c r="H257" s="49"/>
      <c r="I257" s="51"/>
      <c r="J257" s="52"/>
      <c r="K257" s="66"/>
      <c r="L257" s="66"/>
      <c r="M257" s="57"/>
      <c r="N257" s="54"/>
      <c r="O257" s="57"/>
      <c r="P257" s="54"/>
      <c r="Q257" s="55"/>
      <c r="R257" s="54"/>
      <c r="S257" s="54"/>
      <c r="T257" s="57"/>
      <c r="U257" s="55"/>
      <c r="V257" s="46"/>
      <c r="W257" s="46"/>
    </row>
    <row r="258" spans="2:23" x14ac:dyDescent="0.2">
      <c r="B258" s="49"/>
      <c r="C258" s="50"/>
      <c r="D258" s="72"/>
      <c r="E258" s="49"/>
      <c r="F258" s="49"/>
      <c r="G258" s="51"/>
      <c r="H258" s="49"/>
      <c r="I258" s="51"/>
      <c r="J258" s="52"/>
      <c r="K258" s="66"/>
      <c r="L258" s="66"/>
      <c r="M258" s="57"/>
      <c r="N258" s="54"/>
      <c r="O258" s="57"/>
      <c r="P258" s="54"/>
      <c r="Q258" s="55"/>
      <c r="R258" s="54"/>
      <c r="S258" s="54"/>
      <c r="T258" s="57"/>
      <c r="U258" s="55"/>
      <c r="V258" s="46"/>
      <c r="W258" s="46"/>
    </row>
    <row r="259" spans="2:23" x14ac:dyDescent="0.2">
      <c r="B259" s="49"/>
      <c r="C259" s="50"/>
      <c r="D259" s="72"/>
      <c r="E259" s="49"/>
      <c r="F259" s="49"/>
      <c r="G259" s="51"/>
      <c r="H259" s="49"/>
      <c r="I259" s="51"/>
      <c r="J259" s="52"/>
      <c r="K259" s="66"/>
      <c r="L259" s="66"/>
      <c r="M259" s="57"/>
      <c r="N259" s="54"/>
      <c r="O259" s="57"/>
      <c r="P259" s="54"/>
      <c r="Q259" s="55"/>
      <c r="R259" s="54"/>
      <c r="S259" s="54"/>
      <c r="T259" s="57"/>
      <c r="U259" s="55"/>
      <c r="V259" s="46"/>
      <c r="W259" s="46"/>
    </row>
    <row r="260" spans="2:23" x14ac:dyDescent="0.2">
      <c r="B260" s="49"/>
      <c r="C260" s="50"/>
      <c r="D260" s="72"/>
      <c r="E260" s="49"/>
      <c r="F260" s="49"/>
      <c r="G260" s="51"/>
      <c r="H260" s="49"/>
      <c r="I260" s="51"/>
      <c r="J260" s="52"/>
      <c r="K260" s="66"/>
      <c r="L260" s="66"/>
      <c r="M260" s="57"/>
      <c r="N260" s="54"/>
      <c r="O260" s="57"/>
      <c r="P260" s="54"/>
      <c r="Q260" s="55"/>
      <c r="R260" s="54"/>
      <c r="S260" s="54"/>
      <c r="T260" s="57"/>
      <c r="U260" s="55"/>
      <c r="V260" s="46"/>
      <c r="W260" s="46"/>
    </row>
    <row r="261" spans="2:23" x14ac:dyDescent="0.2">
      <c r="B261" s="49"/>
      <c r="C261" s="50"/>
      <c r="D261" s="72"/>
      <c r="E261" s="49"/>
      <c r="F261" s="49"/>
      <c r="G261" s="51"/>
      <c r="H261" s="49"/>
      <c r="I261" s="51"/>
      <c r="J261" s="52"/>
      <c r="K261" s="66"/>
      <c r="L261" s="66"/>
      <c r="M261" s="57"/>
      <c r="N261" s="54"/>
      <c r="O261" s="57"/>
      <c r="P261" s="54"/>
      <c r="Q261" s="55"/>
      <c r="R261" s="54"/>
      <c r="S261" s="54"/>
      <c r="T261" s="57"/>
      <c r="U261" s="55"/>
      <c r="V261" s="46"/>
      <c r="W261" s="46"/>
    </row>
    <row r="262" spans="2:23" x14ac:dyDescent="0.2">
      <c r="B262" s="49"/>
      <c r="C262" s="50"/>
      <c r="D262" s="72"/>
      <c r="E262" s="49"/>
      <c r="F262" s="49"/>
      <c r="G262" s="51"/>
      <c r="H262" s="49"/>
      <c r="I262" s="51"/>
      <c r="J262" s="52"/>
      <c r="K262" s="66"/>
      <c r="L262" s="66"/>
      <c r="M262" s="57"/>
      <c r="N262" s="54"/>
      <c r="O262" s="57"/>
      <c r="P262" s="54"/>
      <c r="Q262" s="55"/>
      <c r="R262" s="54"/>
      <c r="S262" s="54"/>
      <c r="T262" s="57"/>
      <c r="U262" s="55"/>
      <c r="V262" s="46"/>
      <c r="W262" s="46"/>
    </row>
    <row r="263" spans="2:23" x14ac:dyDescent="0.2">
      <c r="B263" s="49"/>
      <c r="C263" s="50"/>
      <c r="D263" s="72"/>
      <c r="E263" s="49"/>
      <c r="F263" s="49"/>
      <c r="G263" s="51"/>
      <c r="H263" s="49"/>
      <c r="I263" s="51"/>
      <c r="J263" s="52"/>
      <c r="K263" s="66"/>
      <c r="L263" s="66"/>
      <c r="M263" s="57"/>
      <c r="N263" s="54"/>
      <c r="O263" s="57"/>
      <c r="P263" s="54"/>
      <c r="Q263" s="55"/>
      <c r="R263" s="54"/>
      <c r="S263" s="54"/>
      <c r="T263" s="57"/>
      <c r="U263" s="55"/>
      <c r="V263" s="46"/>
      <c r="W263" s="46"/>
    </row>
    <row r="264" spans="2:23" x14ac:dyDescent="0.2">
      <c r="B264" s="49"/>
      <c r="C264" s="50"/>
      <c r="D264" s="72"/>
      <c r="E264" s="49"/>
      <c r="F264" s="49"/>
      <c r="G264" s="51"/>
      <c r="H264" s="49"/>
      <c r="I264" s="51"/>
      <c r="J264" s="52"/>
      <c r="K264" s="66"/>
      <c r="L264" s="66"/>
      <c r="M264" s="57"/>
      <c r="N264" s="54"/>
      <c r="O264" s="57"/>
      <c r="P264" s="54"/>
      <c r="Q264" s="55"/>
      <c r="R264" s="54"/>
      <c r="S264" s="54"/>
      <c r="T264" s="57"/>
      <c r="U264" s="55"/>
      <c r="V264" s="46"/>
      <c r="W264" s="46"/>
    </row>
    <row r="265" spans="2:23" x14ac:dyDescent="0.2">
      <c r="B265" s="49"/>
      <c r="C265" s="50"/>
      <c r="D265" s="72"/>
      <c r="E265" s="49"/>
      <c r="F265" s="49"/>
      <c r="G265" s="51"/>
      <c r="H265" s="49"/>
      <c r="I265" s="51"/>
      <c r="J265" s="52"/>
      <c r="K265" s="66"/>
      <c r="L265" s="66"/>
      <c r="M265" s="57"/>
      <c r="N265" s="54"/>
      <c r="O265" s="57"/>
      <c r="P265" s="54"/>
      <c r="Q265" s="55"/>
      <c r="R265" s="54"/>
      <c r="S265" s="54"/>
      <c r="T265" s="57"/>
      <c r="U265" s="55"/>
      <c r="V265" s="46"/>
      <c r="W265" s="46"/>
    </row>
    <row r="266" spans="2:23" x14ac:dyDescent="0.2">
      <c r="B266" s="49"/>
      <c r="C266" s="50"/>
      <c r="D266" s="72"/>
      <c r="E266" s="49"/>
      <c r="F266" s="49"/>
      <c r="G266" s="51"/>
      <c r="H266" s="49"/>
      <c r="I266" s="51"/>
      <c r="J266" s="52"/>
      <c r="K266" s="66"/>
      <c r="L266" s="66"/>
      <c r="M266" s="57"/>
      <c r="N266" s="54"/>
      <c r="O266" s="57"/>
      <c r="P266" s="54"/>
      <c r="Q266" s="55"/>
      <c r="R266" s="54"/>
      <c r="S266" s="54"/>
      <c r="T266" s="57"/>
      <c r="U266" s="55"/>
      <c r="V266" s="46"/>
      <c r="W266" s="46"/>
    </row>
    <row r="267" spans="2:23" x14ac:dyDescent="0.2">
      <c r="B267" s="49"/>
      <c r="C267" s="50"/>
      <c r="D267" s="72"/>
      <c r="E267" s="49"/>
      <c r="F267" s="49"/>
      <c r="G267" s="51"/>
      <c r="H267" s="49"/>
      <c r="I267" s="51"/>
      <c r="J267" s="52"/>
      <c r="K267" s="66"/>
      <c r="L267" s="66"/>
      <c r="M267" s="57"/>
      <c r="N267" s="54"/>
      <c r="O267" s="57"/>
      <c r="P267" s="54"/>
      <c r="Q267" s="55"/>
      <c r="R267" s="54"/>
      <c r="S267" s="54"/>
      <c r="T267" s="57"/>
      <c r="U267" s="55"/>
      <c r="V267" s="46"/>
      <c r="W267" s="46"/>
    </row>
    <row r="268" spans="2:23" x14ac:dyDescent="0.2">
      <c r="B268" s="49"/>
      <c r="C268" s="50"/>
      <c r="D268" s="72"/>
      <c r="E268" s="49"/>
      <c r="F268" s="49"/>
      <c r="G268" s="51"/>
      <c r="H268" s="49"/>
      <c r="I268" s="51"/>
      <c r="J268" s="52"/>
      <c r="K268" s="66"/>
      <c r="L268" s="66"/>
      <c r="M268" s="57"/>
      <c r="N268" s="54"/>
      <c r="O268" s="57"/>
      <c r="P268" s="54"/>
      <c r="Q268" s="55"/>
      <c r="R268" s="54"/>
      <c r="S268" s="54"/>
      <c r="T268" s="57"/>
      <c r="U268" s="55"/>
      <c r="V268" s="46"/>
      <c r="W268" s="46"/>
    </row>
    <row r="269" spans="2:23" x14ac:dyDescent="0.2">
      <c r="B269" s="49"/>
      <c r="C269" s="50"/>
      <c r="D269" s="72"/>
      <c r="E269" s="49"/>
      <c r="F269" s="49"/>
      <c r="G269" s="51"/>
      <c r="H269" s="49"/>
      <c r="I269" s="51"/>
      <c r="J269" s="52"/>
      <c r="K269" s="66"/>
      <c r="L269" s="66"/>
      <c r="M269" s="57"/>
      <c r="N269" s="54"/>
      <c r="O269" s="57"/>
      <c r="P269" s="54"/>
      <c r="Q269" s="55"/>
      <c r="R269" s="54"/>
      <c r="S269" s="54"/>
      <c r="T269" s="57"/>
      <c r="U269" s="55"/>
      <c r="V269" s="46"/>
      <c r="W269" s="46"/>
    </row>
    <row r="270" spans="2:23" x14ac:dyDescent="0.2">
      <c r="B270" s="49"/>
      <c r="C270" s="50"/>
      <c r="D270" s="72"/>
      <c r="E270" s="49"/>
      <c r="F270" s="49"/>
      <c r="G270" s="51"/>
      <c r="H270" s="49"/>
      <c r="I270" s="51"/>
      <c r="J270" s="52"/>
      <c r="K270" s="66"/>
      <c r="L270" s="66"/>
      <c r="M270" s="57"/>
      <c r="N270" s="54"/>
      <c r="O270" s="57"/>
      <c r="P270" s="54"/>
      <c r="Q270" s="55"/>
      <c r="R270" s="54"/>
      <c r="S270" s="54"/>
      <c r="T270" s="57"/>
      <c r="U270" s="55"/>
      <c r="V270" s="46"/>
      <c r="W270" s="46"/>
    </row>
    <row r="271" spans="2:23" x14ac:dyDescent="0.2">
      <c r="B271" s="49"/>
      <c r="C271" s="50"/>
      <c r="D271" s="72"/>
      <c r="E271" s="49"/>
      <c r="F271" s="49"/>
      <c r="G271" s="51"/>
      <c r="H271" s="49"/>
      <c r="I271" s="51"/>
      <c r="J271" s="52"/>
      <c r="K271" s="66"/>
      <c r="L271" s="66"/>
      <c r="M271" s="57"/>
      <c r="N271" s="54"/>
      <c r="O271" s="57"/>
      <c r="P271" s="54"/>
      <c r="Q271" s="55"/>
      <c r="R271" s="54"/>
      <c r="S271" s="54"/>
      <c r="T271" s="57"/>
      <c r="U271" s="55"/>
      <c r="V271" s="46"/>
      <c r="W271" s="46"/>
    </row>
    <row r="272" spans="2:23" x14ac:dyDescent="0.2">
      <c r="B272" s="49"/>
      <c r="C272" s="50"/>
      <c r="D272" s="72"/>
      <c r="E272" s="49"/>
      <c r="F272" s="49"/>
      <c r="G272" s="51"/>
      <c r="H272" s="49"/>
      <c r="I272" s="51"/>
      <c r="J272" s="52"/>
      <c r="K272" s="66"/>
      <c r="L272" s="66"/>
      <c r="M272" s="57"/>
      <c r="N272" s="54"/>
      <c r="O272" s="57"/>
      <c r="P272" s="54"/>
      <c r="Q272" s="55"/>
      <c r="R272" s="54"/>
      <c r="S272" s="54"/>
      <c r="T272" s="57"/>
      <c r="U272" s="55"/>
      <c r="V272" s="46"/>
      <c r="W272" s="46"/>
    </row>
    <row r="273" spans="2:23" x14ac:dyDescent="0.2">
      <c r="B273" s="49"/>
      <c r="C273" s="50"/>
      <c r="D273" s="72"/>
      <c r="E273" s="49"/>
      <c r="F273" s="49"/>
      <c r="G273" s="51"/>
      <c r="H273" s="49"/>
      <c r="I273" s="51"/>
      <c r="J273" s="52"/>
      <c r="K273" s="66"/>
      <c r="L273" s="66"/>
      <c r="M273" s="57"/>
      <c r="N273" s="54"/>
      <c r="O273" s="57"/>
      <c r="P273" s="54"/>
      <c r="Q273" s="55"/>
      <c r="R273" s="54"/>
      <c r="S273" s="54"/>
      <c r="T273" s="57"/>
      <c r="U273" s="55"/>
      <c r="V273" s="46"/>
      <c r="W273" s="46"/>
    </row>
    <row r="274" spans="2:23" x14ac:dyDescent="0.2">
      <c r="B274" s="49"/>
      <c r="C274" s="50"/>
      <c r="D274" s="72"/>
      <c r="E274" s="49"/>
      <c r="F274" s="49"/>
      <c r="G274" s="51"/>
      <c r="H274" s="49"/>
      <c r="I274" s="51"/>
      <c r="J274" s="52"/>
      <c r="K274" s="66"/>
      <c r="L274" s="66"/>
      <c r="M274" s="57"/>
      <c r="N274" s="54"/>
      <c r="O274" s="57"/>
      <c r="P274" s="54"/>
      <c r="Q274" s="55"/>
      <c r="R274" s="54"/>
      <c r="S274" s="54"/>
      <c r="T274" s="57"/>
      <c r="U274" s="55"/>
      <c r="V274" s="46"/>
      <c r="W274" s="46"/>
    </row>
    <row r="275" spans="2:23" x14ac:dyDescent="0.2">
      <c r="B275" s="49"/>
      <c r="C275" s="50"/>
      <c r="D275" s="72"/>
      <c r="E275" s="49"/>
      <c r="F275" s="49"/>
      <c r="G275" s="51"/>
      <c r="H275" s="49"/>
      <c r="I275" s="51"/>
      <c r="J275" s="52"/>
      <c r="K275" s="66"/>
      <c r="L275" s="66"/>
      <c r="M275" s="57"/>
      <c r="N275" s="54"/>
      <c r="O275" s="57"/>
      <c r="P275" s="54"/>
      <c r="Q275" s="55"/>
      <c r="R275" s="54"/>
      <c r="S275" s="54"/>
      <c r="T275" s="57"/>
      <c r="U275" s="55"/>
      <c r="V275" s="46"/>
      <c r="W275" s="46"/>
    </row>
    <row r="276" spans="2:23" x14ac:dyDescent="0.2">
      <c r="B276" s="49"/>
      <c r="C276" s="50"/>
      <c r="D276" s="72"/>
      <c r="E276" s="49"/>
      <c r="F276" s="49"/>
      <c r="G276" s="51"/>
      <c r="H276" s="49"/>
      <c r="I276" s="51"/>
      <c r="J276" s="52"/>
      <c r="K276" s="66"/>
      <c r="L276" s="66"/>
      <c r="M276" s="57"/>
      <c r="N276" s="54"/>
      <c r="O276" s="57"/>
      <c r="P276" s="54"/>
      <c r="Q276" s="55"/>
      <c r="R276" s="54"/>
      <c r="S276" s="54"/>
      <c r="T276" s="57"/>
      <c r="U276" s="55"/>
      <c r="V276" s="46"/>
      <c r="W276" s="46"/>
    </row>
    <row r="277" spans="2:23" x14ac:dyDescent="0.2">
      <c r="B277" s="49"/>
      <c r="C277" s="50"/>
      <c r="D277" s="72"/>
      <c r="E277" s="49"/>
      <c r="F277" s="49"/>
      <c r="G277" s="51"/>
      <c r="H277" s="49"/>
      <c r="I277" s="51"/>
      <c r="J277" s="52"/>
      <c r="K277" s="66"/>
      <c r="L277" s="66"/>
      <c r="M277" s="57"/>
      <c r="N277" s="54"/>
      <c r="O277" s="57"/>
      <c r="P277" s="54"/>
      <c r="Q277" s="55"/>
      <c r="R277" s="54"/>
      <c r="S277" s="54"/>
      <c r="T277" s="57"/>
      <c r="U277" s="55"/>
      <c r="V277" s="46"/>
      <c r="W277" s="46"/>
    </row>
    <row r="278" spans="2:23" x14ac:dyDescent="0.2">
      <c r="B278" s="49"/>
      <c r="C278" s="50"/>
      <c r="D278" s="72"/>
      <c r="E278" s="49"/>
      <c r="F278" s="49"/>
      <c r="G278" s="51"/>
      <c r="H278" s="49"/>
      <c r="I278" s="51"/>
      <c r="J278" s="52"/>
      <c r="K278" s="66"/>
      <c r="L278" s="66"/>
      <c r="M278" s="57"/>
      <c r="N278" s="54"/>
      <c r="O278" s="57"/>
      <c r="P278" s="54"/>
      <c r="Q278" s="55"/>
      <c r="R278" s="54"/>
      <c r="S278" s="54"/>
      <c r="T278" s="57"/>
      <c r="U278" s="55"/>
      <c r="V278" s="46"/>
      <c r="W278" s="46"/>
    </row>
    <row r="279" spans="2:23" x14ac:dyDescent="0.2">
      <c r="B279" s="49"/>
      <c r="C279" s="50"/>
      <c r="D279" s="72"/>
      <c r="E279" s="49"/>
      <c r="F279" s="49"/>
      <c r="G279" s="51"/>
      <c r="H279" s="49"/>
      <c r="I279" s="51"/>
      <c r="J279" s="52"/>
      <c r="K279" s="66"/>
      <c r="L279" s="66"/>
      <c r="M279" s="57"/>
      <c r="N279" s="54"/>
      <c r="O279" s="57"/>
      <c r="P279" s="54"/>
      <c r="Q279" s="55"/>
      <c r="R279" s="54"/>
      <c r="S279" s="54"/>
      <c r="T279" s="57"/>
      <c r="U279" s="55"/>
      <c r="V279" s="46"/>
      <c r="W279" s="46"/>
    </row>
    <row r="280" spans="2:23" x14ac:dyDescent="0.2">
      <c r="B280" s="49"/>
      <c r="C280" s="50"/>
      <c r="D280" s="72"/>
      <c r="E280" s="49"/>
      <c r="F280" s="49"/>
      <c r="G280" s="51"/>
      <c r="H280" s="49"/>
      <c r="I280" s="51"/>
      <c r="J280" s="52"/>
      <c r="K280" s="66"/>
      <c r="L280" s="66"/>
      <c r="M280" s="57"/>
      <c r="N280" s="54"/>
      <c r="O280" s="57"/>
      <c r="P280" s="54"/>
      <c r="Q280" s="55"/>
      <c r="R280" s="54"/>
      <c r="S280" s="54"/>
      <c r="T280" s="57"/>
      <c r="U280" s="55"/>
      <c r="V280" s="46"/>
      <c r="W280" s="46"/>
    </row>
    <row r="281" spans="2:23" x14ac:dyDescent="0.2">
      <c r="B281" s="49"/>
      <c r="C281" s="50"/>
      <c r="D281" s="72"/>
      <c r="E281" s="49"/>
      <c r="F281" s="49"/>
      <c r="G281" s="51"/>
      <c r="H281" s="49"/>
      <c r="I281" s="51"/>
      <c r="J281" s="52"/>
      <c r="K281" s="66"/>
      <c r="L281" s="66"/>
      <c r="M281" s="57"/>
      <c r="N281" s="54"/>
      <c r="O281" s="57"/>
      <c r="P281" s="54"/>
      <c r="Q281" s="55"/>
      <c r="R281" s="54"/>
      <c r="S281" s="54"/>
      <c r="T281" s="57"/>
      <c r="U281" s="55"/>
      <c r="V281" s="46"/>
      <c r="W281" s="46"/>
    </row>
    <row r="282" spans="2:23" x14ac:dyDescent="0.2">
      <c r="B282" s="49"/>
      <c r="C282" s="50"/>
      <c r="D282" s="72"/>
      <c r="E282" s="49"/>
      <c r="F282" s="49"/>
      <c r="G282" s="51"/>
      <c r="H282" s="49"/>
      <c r="I282" s="51"/>
      <c r="J282" s="52"/>
      <c r="K282" s="66"/>
      <c r="L282" s="66"/>
      <c r="M282" s="57"/>
      <c r="N282" s="54"/>
      <c r="O282" s="57"/>
      <c r="P282" s="54"/>
      <c r="Q282" s="55"/>
      <c r="R282" s="54"/>
      <c r="S282" s="54"/>
      <c r="T282" s="57"/>
      <c r="U282" s="55"/>
      <c r="V282" s="46"/>
      <c r="W282" s="46"/>
    </row>
    <row r="283" spans="2:23" x14ac:dyDescent="0.2">
      <c r="B283" s="49"/>
      <c r="C283" s="50"/>
      <c r="D283" s="72"/>
      <c r="E283" s="49"/>
      <c r="F283" s="49"/>
      <c r="G283" s="51"/>
      <c r="H283" s="49"/>
      <c r="I283" s="51"/>
      <c r="J283" s="52"/>
      <c r="K283" s="66"/>
      <c r="L283" s="66"/>
      <c r="M283" s="57"/>
      <c r="N283" s="54"/>
      <c r="O283" s="57"/>
      <c r="P283" s="54"/>
      <c r="Q283" s="55"/>
      <c r="R283" s="54"/>
      <c r="S283" s="54"/>
      <c r="T283" s="57"/>
      <c r="U283" s="55"/>
      <c r="V283" s="46"/>
      <c r="W283" s="46"/>
    </row>
    <row r="284" spans="2:23" x14ac:dyDescent="0.2">
      <c r="B284" s="49"/>
      <c r="C284" s="50"/>
      <c r="D284" s="72"/>
      <c r="E284" s="49"/>
      <c r="F284" s="49"/>
      <c r="G284" s="51"/>
      <c r="H284" s="49"/>
      <c r="I284" s="51"/>
      <c r="J284" s="52"/>
      <c r="K284" s="66"/>
      <c r="L284" s="66"/>
      <c r="M284" s="57"/>
      <c r="N284" s="54"/>
      <c r="O284" s="57"/>
      <c r="P284" s="54"/>
      <c r="Q284" s="55"/>
      <c r="R284" s="54"/>
      <c r="S284" s="54"/>
      <c r="T284" s="57"/>
      <c r="U284" s="55"/>
      <c r="V284" s="46"/>
      <c r="W284" s="46"/>
    </row>
    <row r="285" spans="2:23" x14ac:dyDescent="0.2">
      <c r="B285" s="49"/>
      <c r="C285" s="50"/>
      <c r="D285" s="72"/>
      <c r="E285" s="49"/>
      <c r="F285" s="49"/>
      <c r="G285" s="51"/>
      <c r="H285" s="49"/>
      <c r="I285" s="51"/>
      <c r="J285" s="52"/>
      <c r="K285" s="66"/>
      <c r="L285" s="66"/>
      <c r="M285" s="57"/>
      <c r="N285" s="54"/>
      <c r="O285" s="57"/>
      <c r="P285" s="54"/>
      <c r="Q285" s="55"/>
      <c r="R285" s="54"/>
      <c r="S285" s="54"/>
      <c r="T285" s="57"/>
      <c r="U285" s="55"/>
      <c r="V285" s="46"/>
      <c r="W285" s="46"/>
    </row>
    <row r="286" spans="2:23" x14ac:dyDescent="0.2">
      <c r="B286" s="49"/>
      <c r="C286" s="50"/>
      <c r="D286" s="72"/>
      <c r="E286" s="49"/>
      <c r="F286" s="49"/>
      <c r="G286" s="51"/>
      <c r="H286" s="49"/>
      <c r="I286" s="51"/>
      <c r="J286" s="52"/>
      <c r="K286" s="66"/>
      <c r="L286" s="66"/>
      <c r="M286" s="57"/>
      <c r="N286" s="54"/>
      <c r="O286" s="57"/>
      <c r="P286" s="54"/>
      <c r="Q286" s="55"/>
      <c r="R286" s="54"/>
      <c r="S286" s="54"/>
      <c r="T286" s="57"/>
      <c r="U286" s="55"/>
      <c r="V286" s="46"/>
      <c r="W286" s="46"/>
    </row>
    <row r="287" spans="2:23" x14ac:dyDescent="0.2">
      <c r="B287" s="49"/>
      <c r="C287" s="50"/>
      <c r="D287" s="72"/>
      <c r="E287" s="49"/>
      <c r="F287" s="49"/>
      <c r="G287" s="51"/>
      <c r="H287" s="49"/>
      <c r="I287" s="51"/>
      <c r="J287" s="52"/>
      <c r="K287" s="66"/>
      <c r="L287" s="66"/>
      <c r="M287" s="57"/>
      <c r="N287" s="54"/>
      <c r="O287" s="57"/>
      <c r="P287" s="54"/>
      <c r="Q287" s="55"/>
      <c r="R287" s="54"/>
      <c r="S287" s="54"/>
      <c r="T287" s="57"/>
      <c r="U287" s="55"/>
      <c r="V287" s="46"/>
      <c r="W287" s="46"/>
    </row>
    <row r="288" spans="2:23" x14ac:dyDescent="0.2">
      <c r="B288" s="49"/>
      <c r="C288" s="50"/>
      <c r="D288" s="72"/>
      <c r="E288" s="49"/>
      <c r="F288" s="49"/>
      <c r="G288" s="51"/>
      <c r="H288" s="49"/>
      <c r="I288" s="51"/>
      <c r="J288" s="52"/>
      <c r="K288" s="66"/>
      <c r="L288" s="66"/>
      <c r="M288" s="57"/>
      <c r="N288" s="54"/>
      <c r="O288" s="57"/>
      <c r="P288" s="54"/>
      <c r="Q288" s="55"/>
      <c r="R288" s="54"/>
      <c r="S288" s="54"/>
      <c r="T288" s="57"/>
      <c r="U288" s="55"/>
      <c r="V288" s="46"/>
      <c r="W288" s="46"/>
    </row>
    <row r="289" spans="2:23" x14ac:dyDescent="0.2">
      <c r="B289" s="49"/>
      <c r="C289" s="50"/>
      <c r="D289" s="72"/>
      <c r="E289" s="49"/>
      <c r="F289" s="49"/>
      <c r="G289" s="51"/>
      <c r="H289" s="49"/>
      <c r="I289" s="51"/>
      <c r="J289" s="52"/>
      <c r="K289" s="66"/>
      <c r="L289" s="66"/>
      <c r="M289" s="57"/>
      <c r="N289" s="54"/>
      <c r="O289" s="57"/>
      <c r="P289" s="54"/>
      <c r="Q289" s="55"/>
      <c r="R289" s="54"/>
      <c r="S289" s="54"/>
      <c r="T289" s="57"/>
      <c r="U289" s="55"/>
      <c r="V289" s="46"/>
      <c r="W289" s="46"/>
    </row>
    <row r="290" spans="2:23" x14ac:dyDescent="0.2">
      <c r="B290" s="49"/>
      <c r="C290" s="50"/>
      <c r="D290" s="72"/>
      <c r="E290" s="49"/>
      <c r="F290" s="49"/>
      <c r="G290" s="51"/>
      <c r="H290" s="49"/>
      <c r="I290" s="51"/>
      <c r="J290" s="52"/>
      <c r="K290" s="66"/>
      <c r="L290" s="66"/>
      <c r="M290" s="57"/>
      <c r="N290" s="54"/>
      <c r="O290" s="57"/>
      <c r="P290" s="54"/>
      <c r="Q290" s="55"/>
      <c r="R290" s="54"/>
      <c r="S290" s="54"/>
      <c r="T290" s="57"/>
      <c r="U290" s="55"/>
      <c r="V290" s="46"/>
      <c r="W290" s="46"/>
    </row>
    <row r="291" spans="2:23" x14ac:dyDescent="0.2">
      <c r="B291" s="49"/>
      <c r="C291" s="50"/>
      <c r="D291" s="72"/>
      <c r="E291" s="49"/>
      <c r="F291" s="49"/>
      <c r="G291" s="51"/>
      <c r="H291" s="49"/>
      <c r="I291" s="51"/>
      <c r="J291" s="52"/>
      <c r="K291" s="66"/>
      <c r="L291" s="66"/>
      <c r="M291" s="57"/>
      <c r="N291" s="54"/>
      <c r="O291" s="57"/>
      <c r="P291" s="54"/>
      <c r="Q291" s="55"/>
      <c r="R291" s="54"/>
      <c r="S291" s="54"/>
      <c r="T291" s="57"/>
      <c r="U291" s="55"/>
      <c r="V291" s="46"/>
      <c r="W291" s="46"/>
    </row>
    <row r="292" spans="2:23" x14ac:dyDescent="0.2">
      <c r="B292" s="49"/>
      <c r="C292" s="50"/>
      <c r="D292" s="72"/>
      <c r="E292" s="49"/>
      <c r="F292" s="49"/>
      <c r="G292" s="51"/>
      <c r="H292" s="49"/>
      <c r="I292" s="51"/>
      <c r="J292" s="52"/>
      <c r="K292" s="66"/>
      <c r="L292" s="66"/>
      <c r="M292" s="57"/>
      <c r="N292" s="54"/>
      <c r="O292" s="57"/>
      <c r="P292" s="54"/>
      <c r="Q292" s="55"/>
      <c r="R292" s="54"/>
      <c r="S292" s="54"/>
      <c r="T292" s="57"/>
      <c r="U292" s="55"/>
      <c r="V292" s="46"/>
      <c r="W292" s="46"/>
    </row>
    <row r="293" spans="2:23" x14ac:dyDescent="0.2">
      <c r="B293" s="49"/>
      <c r="C293" s="50"/>
      <c r="D293" s="72"/>
      <c r="E293" s="49"/>
      <c r="F293" s="49"/>
      <c r="G293" s="51"/>
      <c r="H293" s="49"/>
      <c r="I293" s="51"/>
      <c r="J293" s="52"/>
      <c r="K293" s="66"/>
      <c r="L293" s="66"/>
      <c r="M293" s="57"/>
      <c r="N293" s="54"/>
      <c r="O293" s="57"/>
      <c r="P293" s="54"/>
      <c r="Q293" s="55"/>
      <c r="R293" s="54"/>
      <c r="S293" s="54"/>
      <c r="T293" s="57"/>
      <c r="U293" s="55"/>
      <c r="V293" s="46"/>
      <c r="W293" s="46"/>
    </row>
    <row r="294" spans="2:23" x14ac:dyDescent="0.2">
      <c r="B294" s="49"/>
      <c r="C294" s="50"/>
      <c r="D294" s="72"/>
      <c r="E294" s="49"/>
      <c r="F294" s="49"/>
      <c r="G294" s="51"/>
      <c r="H294" s="49"/>
      <c r="I294" s="51"/>
      <c r="J294" s="52"/>
      <c r="K294" s="66"/>
      <c r="L294" s="66"/>
      <c r="M294" s="57"/>
      <c r="N294" s="54"/>
      <c r="O294" s="57"/>
      <c r="P294" s="54"/>
      <c r="Q294" s="55"/>
      <c r="R294" s="54"/>
      <c r="S294" s="54"/>
      <c r="T294" s="57"/>
      <c r="U294" s="55"/>
      <c r="V294" s="46"/>
      <c r="W294" s="46"/>
    </row>
    <row r="295" spans="2:23" x14ac:dyDescent="0.2">
      <c r="B295" s="49"/>
      <c r="C295" s="50"/>
      <c r="D295" s="72"/>
      <c r="E295" s="49"/>
      <c r="F295" s="49"/>
      <c r="G295" s="51"/>
      <c r="H295" s="49"/>
      <c r="I295" s="51"/>
      <c r="J295" s="52"/>
      <c r="K295" s="66"/>
      <c r="L295" s="66"/>
      <c r="M295" s="57"/>
      <c r="N295" s="54"/>
      <c r="O295" s="57"/>
      <c r="P295" s="54"/>
      <c r="Q295" s="55"/>
      <c r="R295" s="54"/>
      <c r="S295" s="54"/>
      <c r="T295" s="57"/>
      <c r="U295" s="55"/>
      <c r="V295" s="46"/>
      <c r="W295" s="46"/>
    </row>
    <row r="296" spans="2:23" x14ac:dyDescent="0.2">
      <c r="B296" s="49"/>
      <c r="C296" s="50"/>
      <c r="D296" s="72"/>
      <c r="E296" s="49"/>
      <c r="F296" s="49"/>
      <c r="G296" s="51"/>
      <c r="H296" s="49"/>
      <c r="I296" s="51"/>
      <c r="J296" s="52"/>
      <c r="K296" s="66"/>
      <c r="L296" s="66"/>
      <c r="M296" s="57"/>
      <c r="N296" s="54"/>
      <c r="O296" s="57"/>
      <c r="P296" s="54"/>
      <c r="Q296" s="55"/>
      <c r="R296" s="54"/>
      <c r="S296" s="54"/>
      <c r="T296" s="57"/>
      <c r="U296" s="55"/>
      <c r="V296" s="46"/>
      <c r="W296" s="46"/>
    </row>
    <row r="297" spans="2:23" x14ac:dyDescent="0.2">
      <c r="B297" s="49"/>
      <c r="C297" s="50"/>
      <c r="D297" s="72"/>
      <c r="E297" s="49"/>
      <c r="F297" s="49"/>
      <c r="G297" s="51"/>
      <c r="H297" s="49"/>
      <c r="I297" s="51"/>
      <c r="J297" s="52"/>
      <c r="K297" s="66"/>
      <c r="L297" s="66"/>
      <c r="M297" s="57"/>
      <c r="N297" s="54"/>
      <c r="O297" s="57"/>
      <c r="P297" s="54"/>
      <c r="Q297" s="55"/>
      <c r="R297" s="54"/>
      <c r="S297" s="54"/>
      <c r="T297" s="57"/>
      <c r="U297" s="55"/>
      <c r="V297" s="46"/>
      <c r="W297" s="46"/>
    </row>
    <row r="298" spans="2:23" x14ac:dyDescent="0.2">
      <c r="B298" s="49"/>
      <c r="C298" s="50"/>
      <c r="D298" s="72"/>
      <c r="E298" s="49"/>
      <c r="F298" s="49"/>
      <c r="G298" s="51"/>
      <c r="H298" s="49"/>
      <c r="I298" s="51"/>
      <c r="J298" s="52"/>
      <c r="K298" s="66"/>
      <c r="L298" s="66"/>
      <c r="M298" s="57"/>
      <c r="N298" s="54"/>
      <c r="O298" s="57"/>
      <c r="P298" s="54"/>
      <c r="Q298" s="55"/>
      <c r="R298" s="54"/>
      <c r="S298" s="54"/>
      <c r="T298" s="57"/>
      <c r="U298" s="55"/>
      <c r="V298" s="46"/>
      <c r="W298" s="46"/>
    </row>
    <row r="299" spans="2:23" x14ac:dyDescent="0.2">
      <c r="B299" s="49"/>
      <c r="C299" s="50"/>
      <c r="D299" s="72"/>
      <c r="E299" s="49"/>
      <c r="F299" s="49"/>
      <c r="G299" s="51"/>
      <c r="H299" s="49"/>
      <c r="I299" s="51"/>
      <c r="J299" s="52"/>
      <c r="K299" s="66"/>
      <c r="L299" s="66"/>
      <c r="M299" s="57"/>
      <c r="N299" s="54"/>
      <c r="O299" s="57"/>
      <c r="P299" s="54"/>
      <c r="Q299" s="55"/>
      <c r="R299" s="54"/>
      <c r="S299" s="54"/>
      <c r="T299" s="57"/>
      <c r="U299" s="55"/>
      <c r="V299" s="46"/>
      <c r="W299" s="46"/>
    </row>
    <row r="300" spans="2:23" x14ac:dyDescent="0.2">
      <c r="B300" s="49"/>
      <c r="C300" s="50"/>
      <c r="D300" s="72"/>
      <c r="E300" s="49"/>
      <c r="F300" s="49"/>
      <c r="G300" s="51"/>
      <c r="H300" s="49"/>
      <c r="I300" s="51"/>
      <c r="J300" s="52"/>
      <c r="K300" s="66"/>
      <c r="L300" s="66"/>
      <c r="M300" s="57"/>
      <c r="N300" s="54"/>
      <c r="O300" s="57"/>
      <c r="P300" s="54"/>
      <c r="Q300" s="55"/>
      <c r="R300" s="54"/>
      <c r="S300" s="54"/>
      <c r="T300" s="57"/>
      <c r="U300" s="55"/>
      <c r="V300" s="46"/>
      <c r="W300" s="46"/>
    </row>
    <row r="301" spans="2:23" x14ac:dyDescent="0.2">
      <c r="B301" s="49"/>
      <c r="C301" s="50"/>
      <c r="D301" s="72"/>
      <c r="E301" s="49"/>
      <c r="F301" s="49"/>
      <c r="G301" s="51"/>
      <c r="H301" s="49"/>
      <c r="I301" s="51"/>
      <c r="J301" s="52"/>
      <c r="K301" s="66"/>
      <c r="L301" s="66"/>
      <c r="M301" s="57"/>
      <c r="N301" s="54"/>
      <c r="O301" s="57"/>
      <c r="P301" s="54"/>
      <c r="Q301" s="55"/>
      <c r="R301" s="54"/>
      <c r="S301" s="54"/>
      <c r="T301" s="57"/>
      <c r="U301" s="55"/>
      <c r="V301" s="46"/>
      <c r="W301" s="46"/>
    </row>
    <row r="302" spans="2:23" x14ac:dyDescent="0.2">
      <c r="B302" s="49"/>
      <c r="C302" s="50"/>
      <c r="D302" s="72"/>
      <c r="E302" s="49"/>
      <c r="F302" s="49"/>
      <c r="G302" s="51"/>
      <c r="H302" s="49"/>
      <c r="I302" s="51"/>
      <c r="J302" s="52"/>
      <c r="K302" s="66"/>
      <c r="L302" s="66"/>
      <c r="M302" s="57"/>
      <c r="N302" s="54"/>
      <c r="O302" s="57"/>
      <c r="P302" s="54"/>
      <c r="Q302" s="55"/>
      <c r="R302" s="54"/>
      <c r="S302" s="54"/>
      <c r="T302" s="57"/>
      <c r="U302" s="55"/>
      <c r="V302" s="46"/>
      <c r="W302" s="46"/>
    </row>
    <row r="303" spans="2:23" x14ac:dyDescent="0.2">
      <c r="B303" s="49"/>
      <c r="C303" s="50"/>
      <c r="D303" s="72"/>
      <c r="E303" s="49"/>
      <c r="F303" s="49"/>
      <c r="G303" s="51"/>
      <c r="H303" s="49"/>
      <c r="I303" s="51"/>
      <c r="J303" s="52"/>
      <c r="K303" s="66"/>
      <c r="L303" s="66"/>
      <c r="M303" s="57"/>
      <c r="N303" s="54"/>
      <c r="O303" s="57"/>
      <c r="P303" s="54"/>
      <c r="Q303" s="55"/>
      <c r="R303" s="54"/>
      <c r="S303" s="54"/>
      <c r="T303" s="57"/>
      <c r="U303" s="55"/>
      <c r="V303" s="46"/>
      <c r="W303" s="46"/>
    </row>
    <row r="304" spans="2:23" x14ac:dyDescent="0.2">
      <c r="B304" s="49"/>
      <c r="C304" s="50"/>
      <c r="D304" s="72"/>
      <c r="E304" s="49"/>
      <c r="F304" s="49"/>
      <c r="G304" s="51"/>
      <c r="H304" s="49"/>
      <c r="I304" s="51"/>
      <c r="J304" s="52"/>
      <c r="K304" s="66"/>
      <c r="L304" s="66"/>
      <c r="M304" s="57"/>
      <c r="N304" s="54"/>
      <c r="O304" s="57"/>
      <c r="P304" s="54"/>
      <c r="Q304" s="55"/>
      <c r="R304" s="54"/>
      <c r="S304" s="54"/>
      <c r="T304" s="57"/>
      <c r="U304" s="55"/>
      <c r="V304" s="46"/>
      <c r="W304" s="46"/>
    </row>
    <row r="305" spans="2:23" x14ac:dyDescent="0.2">
      <c r="B305" s="49"/>
      <c r="C305" s="50"/>
      <c r="D305" s="72"/>
      <c r="E305" s="49"/>
      <c r="F305" s="49"/>
      <c r="G305" s="51"/>
      <c r="H305" s="49"/>
      <c r="I305" s="51"/>
      <c r="J305" s="52"/>
      <c r="K305" s="66"/>
      <c r="L305" s="66"/>
      <c r="M305" s="57"/>
      <c r="N305" s="54"/>
      <c r="O305" s="57"/>
      <c r="P305" s="54"/>
      <c r="Q305" s="55"/>
      <c r="R305" s="54"/>
      <c r="S305" s="54"/>
      <c r="T305" s="57"/>
      <c r="U305" s="55"/>
      <c r="V305" s="46"/>
      <c r="W305" s="46"/>
    </row>
    <row r="306" spans="2:23" x14ac:dyDescent="0.2">
      <c r="B306" s="49"/>
      <c r="C306" s="50"/>
      <c r="D306" s="72"/>
      <c r="E306" s="49"/>
      <c r="F306" s="49"/>
      <c r="G306" s="51"/>
      <c r="H306" s="49"/>
      <c r="I306" s="51"/>
      <c r="J306" s="52"/>
      <c r="K306" s="66"/>
      <c r="L306" s="66"/>
      <c r="M306" s="57"/>
      <c r="N306" s="54"/>
      <c r="O306" s="57"/>
      <c r="P306" s="54"/>
      <c r="Q306" s="55"/>
      <c r="R306" s="54"/>
      <c r="S306" s="54"/>
      <c r="T306" s="57"/>
      <c r="U306" s="55"/>
      <c r="V306" s="46"/>
      <c r="W306" s="46"/>
    </row>
    <row r="307" spans="2:23" x14ac:dyDescent="0.2">
      <c r="B307" s="49"/>
      <c r="C307" s="50"/>
      <c r="D307" s="72"/>
      <c r="E307" s="49"/>
      <c r="F307" s="49"/>
      <c r="G307" s="51"/>
      <c r="H307" s="49"/>
      <c r="I307" s="51"/>
      <c r="J307" s="52"/>
      <c r="K307" s="66"/>
      <c r="L307" s="66"/>
      <c r="M307" s="57"/>
      <c r="N307" s="54"/>
      <c r="O307" s="57"/>
      <c r="P307" s="54"/>
      <c r="Q307" s="55"/>
      <c r="R307" s="54"/>
      <c r="S307" s="54"/>
      <c r="T307" s="57"/>
      <c r="U307" s="55"/>
      <c r="V307" s="46"/>
      <c r="W307" s="46"/>
    </row>
    <row r="308" spans="2:23" x14ac:dyDescent="0.2">
      <c r="B308" s="49"/>
      <c r="C308" s="50"/>
      <c r="D308" s="72"/>
      <c r="E308" s="49"/>
      <c r="F308" s="49"/>
      <c r="G308" s="51"/>
      <c r="H308" s="49"/>
      <c r="I308" s="51"/>
      <c r="J308" s="52"/>
      <c r="K308" s="66"/>
      <c r="L308" s="66"/>
      <c r="M308" s="57"/>
      <c r="N308" s="54"/>
      <c r="O308" s="57"/>
      <c r="P308" s="54"/>
      <c r="Q308" s="55"/>
      <c r="R308" s="54"/>
      <c r="S308" s="54"/>
      <c r="T308" s="57"/>
      <c r="U308" s="55"/>
      <c r="V308" s="46"/>
      <c r="W308" s="46"/>
    </row>
    <row r="309" spans="2:23" x14ac:dyDescent="0.2">
      <c r="B309" s="49"/>
      <c r="C309" s="50"/>
      <c r="D309" s="72"/>
      <c r="E309" s="49"/>
      <c r="F309" s="49"/>
      <c r="G309" s="51"/>
      <c r="H309" s="49"/>
      <c r="I309" s="51"/>
      <c r="J309" s="52"/>
      <c r="K309" s="66"/>
      <c r="L309" s="66"/>
      <c r="M309" s="57"/>
      <c r="N309" s="54"/>
      <c r="O309" s="57"/>
      <c r="P309" s="54"/>
      <c r="Q309" s="55"/>
      <c r="R309" s="54"/>
      <c r="S309" s="54"/>
      <c r="T309" s="57"/>
      <c r="U309" s="55"/>
      <c r="V309" s="46"/>
      <c r="W309" s="46"/>
    </row>
    <row r="310" spans="2:23" x14ac:dyDescent="0.2">
      <c r="B310" s="49"/>
      <c r="C310" s="50"/>
      <c r="D310" s="72"/>
      <c r="E310" s="49"/>
      <c r="F310" s="49"/>
      <c r="G310" s="51"/>
      <c r="H310" s="49"/>
      <c r="I310" s="51"/>
      <c r="J310" s="52"/>
      <c r="K310" s="66"/>
      <c r="L310" s="66"/>
      <c r="M310" s="57"/>
      <c r="N310" s="54"/>
      <c r="O310" s="57"/>
      <c r="P310" s="54"/>
      <c r="Q310" s="55"/>
      <c r="R310" s="54"/>
      <c r="S310" s="54"/>
      <c r="T310" s="57"/>
      <c r="U310" s="55"/>
      <c r="V310" s="46"/>
      <c r="W310" s="46"/>
    </row>
    <row r="311" spans="2:23" x14ac:dyDescent="0.2">
      <c r="B311" s="49"/>
      <c r="C311" s="50"/>
      <c r="D311" s="72"/>
      <c r="E311" s="49"/>
      <c r="F311" s="49"/>
      <c r="G311" s="51"/>
      <c r="H311" s="49"/>
      <c r="I311" s="51"/>
      <c r="J311" s="52"/>
      <c r="K311" s="66"/>
      <c r="L311" s="66"/>
      <c r="M311" s="57"/>
      <c r="N311" s="54"/>
      <c r="O311" s="57"/>
      <c r="P311" s="54"/>
      <c r="Q311" s="55"/>
      <c r="R311" s="54"/>
      <c r="S311" s="54"/>
      <c r="T311" s="57"/>
      <c r="U311" s="55"/>
      <c r="V311" s="46"/>
      <c r="W311" s="46"/>
    </row>
    <row r="312" spans="2:23" x14ac:dyDescent="0.2">
      <c r="B312" s="49"/>
      <c r="C312" s="50"/>
      <c r="D312" s="72"/>
      <c r="E312" s="49"/>
      <c r="F312" s="49"/>
      <c r="G312" s="51"/>
      <c r="H312" s="49"/>
      <c r="I312" s="51"/>
      <c r="J312" s="52"/>
      <c r="K312" s="66"/>
      <c r="L312" s="66"/>
      <c r="M312" s="57"/>
      <c r="N312" s="54"/>
      <c r="O312" s="57"/>
      <c r="P312" s="54"/>
      <c r="Q312" s="55"/>
      <c r="R312" s="54"/>
      <c r="S312" s="54"/>
      <c r="T312" s="57"/>
      <c r="U312" s="55"/>
      <c r="V312" s="46"/>
      <c r="W312" s="46"/>
    </row>
    <row r="313" spans="2:23" x14ac:dyDescent="0.2">
      <c r="B313" s="49"/>
      <c r="C313" s="50"/>
      <c r="D313" s="72"/>
      <c r="E313" s="49"/>
      <c r="F313" s="49"/>
      <c r="G313" s="51"/>
      <c r="H313" s="49"/>
      <c r="I313" s="51"/>
      <c r="J313" s="52"/>
      <c r="K313" s="66"/>
      <c r="L313" s="66"/>
      <c r="M313" s="57"/>
      <c r="N313" s="54"/>
      <c r="O313" s="57"/>
      <c r="P313" s="54"/>
      <c r="Q313" s="55"/>
      <c r="R313" s="54"/>
      <c r="S313" s="54"/>
      <c r="T313" s="57"/>
      <c r="U313" s="55"/>
      <c r="V313" s="46"/>
      <c r="W313" s="46"/>
    </row>
    <row r="314" spans="2:23" x14ac:dyDescent="0.2">
      <c r="B314" s="49"/>
      <c r="C314" s="50"/>
      <c r="D314" s="72"/>
      <c r="E314" s="49"/>
      <c r="F314" s="49"/>
      <c r="G314" s="51"/>
      <c r="H314" s="49"/>
      <c r="I314" s="51"/>
      <c r="J314" s="52"/>
      <c r="K314" s="66"/>
      <c r="L314" s="66"/>
      <c r="M314" s="57"/>
      <c r="N314" s="54"/>
      <c r="O314" s="57"/>
      <c r="P314" s="54"/>
      <c r="Q314" s="55"/>
      <c r="R314" s="54"/>
      <c r="S314" s="54"/>
      <c r="T314" s="57"/>
      <c r="U314" s="55"/>
      <c r="V314" s="46"/>
      <c r="W314" s="46"/>
    </row>
    <row r="315" spans="2:23" x14ac:dyDescent="0.2">
      <c r="B315" s="49"/>
      <c r="C315" s="50"/>
      <c r="D315" s="72"/>
      <c r="E315" s="49"/>
      <c r="F315" s="49"/>
      <c r="G315" s="51"/>
      <c r="H315" s="49"/>
      <c r="I315" s="51"/>
      <c r="J315" s="52"/>
      <c r="K315" s="66"/>
      <c r="L315" s="66"/>
      <c r="M315" s="57"/>
      <c r="N315" s="54"/>
      <c r="O315" s="57"/>
      <c r="P315" s="54"/>
      <c r="Q315" s="55"/>
      <c r="R315" s="54"/>
      <c r="S315" s="54"/>
      <c r="T315" s="57"/>
      <c r="U315" s="55"/>
      <c r="V315" s="46"/>
      <c r="W315" s="46"/>
    </row>
    <row r="316" spans="2:23" x14ac:dyDescent="0.2">
      <c r="B316" s="49"/>
      <c r="C316" s="50"/>
      <c r="D316" s="72"/>
      <c r="E316" s="49"/>
      <c r="F316" s="49"/>
      <c r="G316" s="51"/>
      <c r="H316" s="49"/>
      <c r="I316" s="51"/>
      <c r="J316" s="52"/>
      <c r="K316" s="66"/>
      <c r="L316" s="66"/>
      <c r="M316" s="57"/>
      <c r="N316" s="54"/>
      <c r="O316" s="57"/>
      <c r="P316" s="54"/>
      <c r="Q316" s="55"/>
      <c r="R316" s="54"/>
      <c r="S316" s="54"/>
      <c r="T316" s="57"/>
      <c r="U316" s="55"/>
      <c r="V316" s="46"/>
      <c r="W316" s="46"/>
    </row>
    <row r="317" spans="2:23" x14ac:dyDescent="0.2">
      <c r="B317" s="49"/>
      <c r="C317" s="50"/>
      <c r="D317" s="72"/>
      <c r="E317" s="49"/>
      <c r="F317" s="49"/>
      <c r="G317" s="51"/>
      <c r="H317" s="49"/>
      <c r="I317" s="51"/>
      <c r="J317" s="52"/>
      <c r="K317" s="66"/>
      <c r="L317" s="66"/>
      <c r="M317" s="57"/>
      <c r="N317" s="54"/>
      <c r="O317" s="57"/>
      <c r="P317" s="54"/>
      <c r="Q317" s="55"/>
      <c r="R317" s="54"/>
      <c r="S317" s="54"/>
      <c r="T317" s="57"/>
      <c r="U317" s="55"/>
      <c r="V317" s="46"/>
      <c r="W317" s="46"/>
    </row>
    <row r="318" spans="2:23" x14ac:dyDescent="0.2">
      <c r="B318" s="49"/>
      <c r="C318" s="50"/>
      <c r="D318" s="72"/>
      <c r="E318" s="49"/>
      <c r="F318" s="49"/>
      <c r="G318" s="51"/>
      <c r="H318" s="49"/>
      <c r="I318" s="51"/>
      <c r="J318" s="52"/>
      <c r="K318" s="66"/>
      <c r="L318" s="66"/>
      <c r="M318" s="57"/>
      <c r="N318" s="54"/>
      <c r="O318" s="57"/>
      <c r="P318" s="54"/>
      <c r="Q318" s="55"/>
      <c r="R318" s="54"/>
      <c r="S318" s="54"/>
      <c r="T318" s="57"/>
      <c r="U318" s="55"/>
      <c r="V318" s="46"/>
      <c r="W318" s="46"/>
    </row>
    <row r="319" spans="2:23" x14ac:dyDescent="0.2">
      <c r="B319" s="49"/>
      <c r="C319" s="50"/>
      <c r="D319" s="72"/>
      <c r="E319" s="49"/>
      <c r="F319" s="49"/>
      <c r="G319" s="51"/>
      <c r="H319" s="49"/>
      <c r="I319" s="51"/>
      <c r="J319" s="52"/>
      <c r="K319" s="66"/>
      <c r="L319" s="66"/>
      <c r="M319" s="57"/>
      <c r="N319" s="54"/>
      <c r="O319" s="57"/>
      <c r="P319" s="54"/>
      <c r="Q319" s="55"/>
      <c r="R319" s="54"/>
      <c r="S319" s="54"/>
      <c r="T319" s="57"/>
      <c r="U319" s="55"/>
      <c r="V319" s="46"/>
      <c r="W319" s="46"/>
    </row>
    <row r="320" spans="2:23" x14ac:dyDescent="0.2">
      <c r="B320" s="49"/>
      <c r="C320" s="50"/>
      <c r="D320" s="72"/>
      <c r="E320" s="49"/>
      <c r="F320" s="49"/>
      <c r="G320" s="51"/>
      <c r="H320" s="49"/>
      <c r="I320" s="51"/>
      <c r="J320" s="52"/>
      <c r="K320" s="66"/>
      <c r="L320" s="66"/>
      <c r="M320" s="57"/>
      <c r="N320" s="54"/>
      <c r="O320" s="57"/>
      <c r="P320" s="54"/>
      <c r="Q320" s="55"/>
      <c r="R320" s="54"/>
      <c r="S320" s="54"/>
      <c r="T320" s="57"/>
      <c r="U320" s="55"/>
      <c r="V320" s="46"/>
      <c r="W320" s="46"/>
    </row>
    <row r="321" spans="2:23" x14ac:dyDescent="0.2">
      <c r="B321" s="49"/>
      <c r="C321" s="50"/>
      <c r="D321" s="72"/>
      <c r="E321" s="49"/>
      <c r="F321" s="49"/>
      <c r="G321" s="51"/>
      <c r="H321" s="49"/>
      <c r="I321" s="51"/>
      <c r="J321" s="52"/>
      <c r="K321" s="66"/>
      <c r="L321" s="66"/>
      <c r="M321" s="57"/>
      <c r="N321" s="54"/>
      <c r="O321" s="57"/>
      <c r="P321" s="54"/>
      <c r="Q321" s="55"/>
      <c r="R321" s="54"/>
      <c r="S321" s="54"/>
      <c r="T321" s="57"/>
      <c r="U321" s="55"/>
      <c r="V321" s="46"/>
      <c r="W321" s="46"/>
    </row>
    <row r="322" spans="2:23" x14ac:dyDescent="0.2">
      <c r="B322" s="49"/>
      <c r="C322" s="50"/>
      <c r="D322" s="72"/>
      <c r="E322" s="49"/>
      <c r="F322" s="49"/>
      <c r="G322" s="51"/>
      <c r="H322" s="49"/>
      <c r="I322" s="51"/>
      <c r="J322" s="52"/>
      <c r="K322" s="66"/>
      <c r="L322" s="66"/>
      <c r="M322" s="57"/>
      <c r="N322" s="54"/>
      <c r="O322" s="57"/>
      <c r="P322" s="54"/>
      <c r="Q322" s="55"/>
      <c r="R322" s="54"/>
      <c r="S322" s="54"/>
      <c r="T322" s="57"/>
      <c r="U322" s="55"/>
      <c r="V322" s="46"/>
      <c r="W322" s="46"/>
    </row>
    <row r="323" spans="2:23" x14ac:dyDescent="0.2">
      <c r="B323" s="49"/>
      <c r="C323" s="50"/>
      <c r="D323" s="72"/>
      <c r="E323" s="49"/>
      <c r="F323" s="49"/>
      <c r="G323" s="51"/>
      <c r="H323" s="49"/>
      <c r="I323" s="51"/>
      <c r="J323" s="52"/>
      <c r="K323" s="66"/>
      <c r="L323" s="66"/>
      <c r="M323" s="57"/>
      <c r="N323" s="54"/>
      <c r="O323" s="57"/>
      <c r="P323" s="54"/>
      <c r="Q323" s="55"/>
      <c r="R323" s="54"/>
      <c r="S323" s="54"/>
      <c r="T323" s="57"/>
      <c r="U323" s="55"/>
      <c r="V323" s="46"/>
      <c r="W323" s="46"/>
    </row>
    <row r="324" spans="2:23" x14ac:dyDescent="0.2">
      <c r="B324" s="49"/>
      <c r="C324" s="50"/>
      <c r="D324" s="72"/>
      <c r="E324" s="49"/>
      <c r="F324" s="49"/>
      <c r="G324" s="51"/>
      <c r="H324" s="49"/>
      <c r="I324" s="51"/>
      <c r="J324" s="52"/>
      <c r="K324" s="66"/>
      <c r="L324" s="66"/>
      <c r="M324" s="57"/>
      <c r="N324" s="54"/>
      <c r="O324" s="57"/>
      <c r="P324" s="54"/>
      <c r="Q324" s="55"/>
      <c r="R324" s="54"/>
      <c r="S324" s="54"/>
      <c r="T324" s="57"/>
      <c r="U324" s="55"/>
      <c r="V324" s="46"/>
      <c r="W324" s="46"/>
    </row>
    <row r="325" spans="2:23" x14ac:dyDescent="0.2">
      <c r="B325" s="49"/>
      <c r="C325" s="50"/>
      <c r="D325" s="72"/>
      <c r="E325" s="49"/>
      <c r="F325" s="49"/>
      <c r="G325" s="51"/>
      <c r="H325" s="49"/>
      <c r="I325" s="51"/>
      <c r="J325" s="52"/>
      <c r="K325" s="66"/>
      <c r="L325" s="66"/>
      <c r="M325" s="57"/>
      <c r="N325" s="54"/>
      <c r="O325" s="57"/>
      <c r="P325" s="54"/>
      <c r="Q325" s="55"/>
      <c r="R325" s="54"/>
      <c r="S325" s="54"/>
      <c r="T325" s="57"/>
      <c r="U325" s="55"/>
      <c r="V325" s="46"/>
      <c r="W325" s="46"/>
    </row>
    <row r="326" spans="2:23" x14ac:dyDescent="0.2">
      <c r="B326" s="49"/>
      <c r="C326" s="50"/>
      <c r="D326" s="72"/>
      <c r="E326" s="49"/>
      <c r="F326" s="49"/>
      <c r="G326" s="51"/>
      <c r="H326" s="49"/>
      <c r="I326" s="51"/>
      <c r="J326" s="52"/>
      <c r="K326" s="66"/>
      <c r="L326" s="66"/>
      <c r="M326" s="57"/>
      <c r="N326" s="54"/>
      <c r="O326" s="57"/>
      <c r="P326" s="54"/>
      <c r="Q326" s="55"/>
      <c r="R326" s="54"/>
      <c r="S326" s="54"/>
      <c r="T326" s="57"/>
      <c r="U326" s="55"/>
      <c r="V326" s="46"/>
      <c r="W326" s="46"/>
    </row>
    <row r="327" spans="2:23" x14ac:dyDescent="0.2">
      <c r="B327" s="49"/>
      <c r="C327" s="50"/>
      <c r="D327" s="72"/>
      <c r="E327" s="49"/>
      <c r="F327" s="49"/>
      <c r="G327" s="51"/>
      <c r="H327" s="49"/>
      <c r="I327" s="51"/>
      <c r="J327" s="52"/>
      <c r="K327" s="66"/>
      <c r="L327" s="66"/>
      <c r="M327" s="57"/>
      <c r="N327" s="54"/>
      <c r="O327" s="57"/>
      <c r="P327" s="54"/>
      <c r="Q327" s="55"/>
      <c r="R327" s="54"/>
      <c r="S327" s="54"/>
      <c r="T327" s="57"/>
      <c r="U327" s="55"/>
      <c r="V327" s="46"/>
      <c r="W327" s="46"/>
    </row>
    <row r="328" spans="2:23" x14ac:dyDescent="0.2">
      <c r="B328" s="49"/>
      <c r="C328" s="50"/>
      <c r="D328" s="72"/>
      <c r="E328" s="49"/>
      <c r="F328" s="49"/>
      <c r="G328" s="51"/>
      <c r="H328" s="49"/>
      <c r="I328" s="51"/>
      <c r="J328" s="52"/>
      <c r="K328" s="66"/>
      <c r="L328" s="66"/>
      <c r="M328" s="57"/>
      <c r="N328" s="54"/>
      <c r="O328" s="57"/>
      <c r="P328" s="54"/>
      <c r="Q328" s="55"/>
      <c r="R328" s="54"/>
      <c r="S328" s="54"/>
      <c r="T328" s="57"/>
      <c r="U328" s="55"/>
      <c r="V328" s="46"/>
      <c r="W328" s="46"/>
    </row>
    <row r="329" spans="2:23" x14ac:dyDescent="0.2">
      <c r="B329" s="49"/>
      <c r="C329" s="50"/>
      <c r="D329" s="72"/>
      <c r="E329" s="49"/>
      <c r="F329" s="49"/>
      <c r="G329" s="51"/>
      <c r="H329" s="49"/>
      <c r="I329" s="51"/>
      <c r="J329" s="52"/>
      <c r="K329" s="66"/>
      <c r="L329" s="66"/>
      <c r="M329" s="57"/>
      <c r="N329" s="54"/>
      <c r="O329" s="57"/>
      <c r="P329" s="54"/>
      <c r="Q329" s="55"/>
      <c r="R329" s="54"/>
      <c r="S329" s="54"/>
      <c r="T329" s="57"/>
      <c r="U329" s="55"/>
      <c r="V329" s="46"/>
      <c r="W329" s="46"/>
    </row>
    <row r="330" spans="2:23" x14ac:dyDescent="0.2">
      <c r="B330" s="49"/>
      <c r="C330" s="50"/>
      <c r="D330" s="72"/>
      <c r="E330" s="49"/>
      <c r="F330" s="49"/>
      <c r="G330" s="51"/>
      <c r="H330" s="49"/>
      <c r="I330" s="51"/>
      <c r="J330" s="52"/>
      <c r="K330" s="66"/>
      <c r="L330" s="66"/>
      <c r="M330" s="57"/>
      <c r="N330" s="54"/>
      <c r="O330" s="57"/>
      <c r="P330" s="54"/>
      <c r="Q330" s="55"/>
      <c r="R330" s="54"/>
      <c r="S330" s="54"/>
      <c r="T330" s="57"/>
      <c r="U330" s="55"/>
      <c r="V330" s="46"/>
      <c r="W330" s="46"/>
    </row>
    <row r="331" spans="2:23" x14ac:dyDescent="0.2">
      <c r="B331" s="49"/>
      <c r="C331" s="50"/>
      <c r="D331" s="72"/>
      <c r="E331" s="49"/>
      <c r="F331" s="49"/>
      <c r="G331" s="51"/>
      <c r="H331" s="49"/>
      <c r="I331" s="51"/>
      <c r="J331" s="52"/>
      <c r="K331" s="66"/>
      <c r="L331" s="66"/>
      <c r="M331" s="57"/>
      <c r="N331" s="54"/>
      <c r="O331" s="57"/>
      <c r="P331" s="54"/>
      <c r="Q331" s="55"/>
      <c r="R331" s="54"/>
      <c r="S331" s="54"/>
      <c r="T331" s="57"/>
      <c r="U331" s="55"/>
      <c r="V331" s="46"/>
      <c r="W331" s="46"/>
    </row>
    <row r="332" spans="2:23" x14ac:dyDescent="0.2">
      <c r="B332" s="49"/>
      <c r="C332" s="50"/>
      <c r="D332" s="72"/>
      <c r="E332" s="49"/>
      <c r="F332" s="49"/>
      <c r="G332" s="51"/>
      <c r="H332" s="49"/>
      <c r="I332" s="51"/>
      <c r="J332" s="52"/>
      <c r="K332" s="66"/>
      <c r="L332" s="66"/>
      <c r="M332" s="57"/>
      <c r="N332" s="54"/>
      <c r="O332" s="57"/>
      <c r="P332" s="54"/>
      <c r="Q332" s="55"/>
      <c r="R332" s="54"/>
      <c r="S332" s="54"/>
      <c r="T332" s="57"/>
      <c r="U332" s="55"/>
      <c r="V332" s="46"/>
      <c r="W332" s="46"/>
    </row>
    <row r="333" spans="2:23" x14ac:dyDescent="0.2">
      <c r="B333" s="49"/>
      <c r="C333" s="50"/>
      <c r="D333" s="72"/>
      <c r="E333" s="49"/>
      <c r="F333" s="49"/>
      <c r="G333" s="51"/>
      <c r="H333" s="49"/>
      <c r="I333" s="51"/>
      <c r="J333" s="52"/>
      <c r="K333" s="66"/>
      <c r="L333" s="66"/>
      <c r="M333" s="57"/>
      <c r="N333" s="54"/>
      <c r="O333" s="57"/>
      <c r="P333" s="54"/>
      <c r="Q333" s="55"/>
      <c r="R333" s="54"/>
      <c r="S333" s="54"/>
      <c r="T333" s="57"/>
      <c r="U333" s="55"/>
      <c r="V333" s="46"/>
      <c r="W333" s="46"/>
    </row>
    <row r="334" spans="2:23" x14ac:dyDescent="0.2">
      <c r="B334" s="49"/>
      <c r="C334" s="50"/>
      <c r="D334" s="72"/>
      <c r="E334" s="49"/>
      <c r="F334" s="49"/>
      <c r="G334" s="51"/>
      <c r="H334" s="49"/>
      <c r="I334" s="51"/>
      <c r="J334" s="52"/>
      <c r="K334" s="66"/>
      <c r="L334" s="66"/>
      <c r="M334" s="57"/>
      <c r="N334" s="54"/>
      <c r="O334" s="57"/>
      <c r="P334" s="54"/>
      <c r="Q334" s="55"/>
      <c r="R334" s="54"/>
      <c r="S334" s="54"/>
      <c r="T334" s="57"/>
      <c r="U334" s="55"/>
      <c r="V334" s="46"/>
      <c r="W334" s="46"/>
    </row>
    <row r="335" spans="2:23" x14ac:dyDescent="0.2">
      <c r="B335" s="49"/>
      <c r="C335" s="50"/>
      <c r="D335" s="72"/>
      <c r="E335" s="49"/>
      <c r="F335" s="49"/>
      <c r="G335" s="51"/>
      <c r="H335" s="49"/>
      <c r="I335" s="51"/>
      <c r="J335" s="52"/>
      <c r="K335" s="66"/>
      <c r="L335" s="66"/>
      <c r="M335" s="57"/>
      <c r="N335" s="54"/>
      <c r="O335" s="57"/>
      <c r="P335" s="54"/>
      <c r="Q335" s="55"/>
      <c r="R335" s="54"/>
      <c r="S335" s="54"/>
      <c r="T335" s="57"/>
      <c r="U335" s="55"/>
      <c r="V335" s="46"/>
      <c r="W335" s="46"/>
    </row>
    <row r="336" spans="2:23" x14ac:dyDescent="0.2">
      <c r="B336" s="49"/>
      <c r="C336" s="50"/>
      <c r="D336" s="72"/>
      <c r="E336" s="49"/>
      <c r="F336" s="49"/>
      <c r="G336" s="51"/>
      <c r="H336" s="49"/>
      <c r="I336" s="51"/>
      <c r="J336" s="52"/>
      <c r="K336" s="66"/>
      <c r="L336" s="66"/>
      <c r="M336" s="57"/>
      <c r="N336" s="54"/>
      <c r="O336" s="57"/>
      <c r="P336" s="54"/>
      <c r="Q336" s="55"/>
      <c r="R336" s="54"/>
      <c r="S336" s="54"/>
      <c r="T336" s="57"/>
      <c r="U336" s="55"/>
      <c r="V336" s="46"/>
      <c r="W336" s="46"/>
    </row>
    <row r="337" spans="2:23" x14ac:dyDescent="0.2">
      <c r="B337" s="49"/>
      <c r="C337" s="50"/>
      <c r="D337" s="72"/>
      <c r="E337" s="49"/>
      <c r="F337" s="49"/>
      <c r="G337" s="51"/>
      <c r="H337" s="49"/>
      <c r="I337" s="51"/>
      <c r="J337" s="52"/>
      <c r="K337" s="66"/>
      <c r="L337" s="66"/>
      <c r="M337" s="57"/>
      <c r="N337" s="54"/>
      <c r="O337" s="57"/>
      <c r="P337" s="54"/>
      <c r="Q337" s="55"/>
      <c r="R337" s="54"/>
      <c r="S337" s="54"/>
      <c r="T337" s="57"/>
      <c r="U337" s="55"/>
      <c r="V337" s="46"/>
      <c r="W337" s="46"/>
    </row>
    <row r="338" spans="2:23" x14ac:dyDescent="0.2">
      <c r="B338" s="49"/>
      <c r="C338" s="50"/>
      <c r="D338" s="72"/>
      <c r="E338" s="49"/>
      <c r="F338" s="49"/>
      <c r="G338" s="51"/>
      <c r="H338" s="49"/>
      <c r="I338" s="51"/>
      <c r="J338" s="52"/>
      <c r="K338" s="66"/>
      <c r="L338" s="66"/>
      <c r="M338" s="57"/>
      <c r="N338" s="54"/>
      <c r="O338" s="57"/>
      <c r="P338" s="54"/>
      <c r="Q338" s="55"/>
      <c r="R338" s="54"/>
      <c r="S338" s="54"/>
      <c r="T338" s="57"/>
      <c r="U338" s="55"/>
      <c r="V338" s="46"/>
      <c r="W338" s="46"/>
    </row>
    <row r="339" spans="2:23" x14ac:dyDescent="0.2">
      <c r="B339" s="49"/>
      <c r="C339" s="50"/>
      <c r="D339" s="72"/>
      <c r="E339" s="49"/>
      <c r="F339" s="49"/>
      <c r="G339" s="51"/>
      <c r="H339" s="49"/>
      <c r="I339" s="51"/>
      <c r="J339" s="52"/>
      <c r="K339" s="66"/>
      <c r="L339" s="66"/>
      <c r="M339" s="57"/>
      <c r="N339" s="54"/>
      <c r="O339" s="57"/>
      <c r="P339" s="54"/>
      <c r="Q339" s="55"/>
      <c r="R339" s="54"/>
      <c r="S339" s="54"/>
      <c r="T339" s="57"/>
      <c r="U339" s="55"/>
      <c r="V339" s="46"/>
      <c r="W339" s="46"/>
    </row>
    <row r="340" spans="2:23" x14ac:dyDescent="0.2">
      <c r="B340" s="49"/>
      <c r="C340" s="50"/>
      <c r="D340" s="72"/>
      <c r="E340" s="49"/>
      <c r="F340" s="49"/>
      <c r="G340" s="51"/>
      <c r="H340" s="49"/>
      <c r="I340" s="51"/>
      <c r="J340" s="52"/>
      <c r="K340" s="66"/>
      <c r="L340" s="66"/>
      <c r="M340" s="57"/>
      <c r="N340" s="54"/>
      <c r="O340" s="57"/>
      <c r="P340" s="54"/>
      <c r="Q340" s="55"/>
      <c r="R340" s="54"/>
      <c r="S340" s="54"/>
      <c r="T340" s="57"/>
      <c r="U340" s="55"/>
      <c r="V340" s="46"/>
      <c r="W340" s="46"/>
    </row>
    <row r="341" spans="2:23" x14ac:dyDescent="0.2">
      <c r="B341" s="49"/>
      <c r="C341" s="50"/>
      <c r="D341" s="72"/>
      <c r="E341" s="49"/>
      <c r="F341" s="49"/>
      <c r="G341" s="51"/>
      <c r="H341" s="49"/>
      <c r="I341" s="51"/>
      <c r="J341" s="52"/>
      <c r="K341" s="66"/>
      <c r="L341" s="66"/>
      <c r="M341" s="57"/>
      <c r="N341" s="54"/>
      <c r="O341" s="57"/>
      <c r="P341" s="54"/>
      <c r="Q341" s="55"/>
      <c r="R341" s="54"/>
      <c r="S341" s="54"/>
      <c r="T341" s="57"/>
      <c r="U341" s="55"/>
      <c r="V341" s="46"/>
      <c r="W341" s="46"/>
    </row>
    <row r="342" spans="2:23" x14ac:dyDescent="0.2">
      <c r="B342" s="49"/>
      <c r="C342" s="50"/>
      <c r="D342" s="72"/>
      <c r="E342" s="49"/>
      <c r="F342" s="49"/>
      <c r="G342" s="51"/>
      <c r="H342" s="49"/>
      <c r="I342" s="51"/>
      <c r="J342" s="52"/>
      <c r="K342" s="66"/>
      <c r="L342" s="66"/>
      <c r="M342" s="57"/>
      <c r="N342" s="54"/>
      <c r="O342" s="57"/>
      <c r="P342" s="54"/>
      <c r="Q342" s="55"/>
      <c r="R342" s="54"/>
      <c r="S342" s="54"/>
      <c r="T342" s="57"/>
      <c r="U342" s="55"/>
      <c r="V342" s="46"/>
      <c r="W342" s="46"/>
    </row>
    <row r="343" spans="2:23" x14ac:dyDescent="0.2">
      <c r="B343" s="49"/>
      <c r="C343" s="50"/>
      <c r="D343" s="72"/>
      <c r="E343" s="49"/>
      <c r="F343" s="49"/>
      <c r="G343" s="51"/>
      <c r="H343" s="49"/>
      <c r="I343" s="51"/>
      <c r="J343" s="52"/>
      <c r="K343" s="66"/>
      <c r="L343" s="66"/>
      <c r="M343" s="57"/>
      <c r="N343" s="54"/>
      <c r="O343" s="57"/>
      <c r="P343" s="54"/>
      <c r="Q343" s="55"/>
      <c r="R343" s="54"/>
      <c r="S343" s="54"/>
      <c r="T343" s="57"/>
      <c r="U343" s="55"/>
      <c r="V343" s="46"/>
      <c r="W343" s="46"/>
    </row>
    <row r="344" spans="2:23" x14ac:dyDescent="0.2">
      <c r="B344" s="49"/>
      <c r="C344" s="50"/>
      <c r="D344" s="72"/>
      <c r="E344" s="49"/>
      <c r="F344" s="49"/>
      <c r="G344" s="51"/>
      <c r="H344" s="49"/>
      <c r="I344" s="51"/>
      <c r="J344" s="52"/>
      <c r="K344" s="66"/>
      <c r="L344" s="66"/>
      <c r="M344" s="57"/>
      <c r="N344" s="54"/>
      <c r="O344" s="57"/>
      <c r="P344" s="54"/>
      <c r="Q344" s="55"/>
      <c r="R344" s="54"/>
      <c r="S344" s="54"/>
      <c r="T344" s="57"/>
      <c r="U344" s="55"/>
      <c r="V344" s="46"/>
      <c r="W344" s="46"/>
    </row>
    <row r="345" spans="2:23" x14ac:dyDescent="0.2">
      <c r="B345" s="49"/>
      <c r="C345" s="50"/>
      <c r="D345" s="72"/>
      <c r="E345" s="49"/>
      <c r="F345" s="49"/>
      <c r="G345" s="51"/>
      <c r="H345" s="49"/>
      <c r="I345" s="51"/>
      <c r="J345" s="52"/>
      <c r="K345" s="66"/>
      <c r="L345" s="66"/>
      <c r="M345" s="57"/>
      <c r="N345" s="54"/>
      <c r="O345" s="57"/>
      <c r="P345" s="54"/>
      <c r="Q345" s="55"/>
      <c r="R345" s="54"/>
      <c r="S345" s="54"/>
      <c r="T345" s="57"/>
      <c r="U345" s="55"/>
      <c r="V345" s="46"/>
      <c r="W345" s="46"/>
    </row>
    <row r="346" spans="2:23" x14ac:dyDescent="0.2">
      <c r="B346" s="49"/>
      <c r="C346" s="50"/>
      <c r="D346" s="72"/>
      <c r="E346" s="49"/>
      <c r="F346" s="49"/>
      <c r="G346" s="51"/>
      <c r="H346" s="49"/>
      <c r="I346" s="51"/>
      <c r="J346" s="52"/>
      <c r="K346" s="66"/>
      <c r="L346" s="66"/>
      <c r="M346" s="57"/>
      <c r="N346" s="54"/>
      <c r="O346" s="57"/>
      <c r="P346" s="54"/>
      <c r="Q346" s="55"/>
      <c r="R346" s="54"/>
      <c r="S346" s="54"/>
      <c r="T346" s="57"/>
      <c r="U346" s="55"/>
      <c r="V346" s="46"/>
      <c r="W346" s="46"/>
    </row>
    <row r="347" spans="2:23" x14ac:dyDescent="0.2">
      <c r="B347" s="49"/>
      <c r="C347" s="50"/>
      <c r="D347" s="72"/>
      <c r="E347" s="49"/>
      <c r="F347" s="49"/>
      <c r="G347" s="51"/>
      <c r="H347" s="49"/>
      <c r="I347" s="51"/>
      <c r="J347" s="52"/>
      <c r="K347" s="66"/>
      <c r="L347" s="66"/>
      <c r="M347" s="57"/>
      <c r="N347" s="54"/>
      <c r="O347" s="57"/>
      <c r="P347" s="54"/>
      <c r="Q347" s="55"/>
      <c r="R347" s="54"/>
      <c r="S347" s="54"/>
      <c r="T347" s="57"/>
      <c r="U347" s="55"/>
      <c r="V347" s="46"/>
      <c r="W347" s="46"/>
    </row>
    <row r="348" spans="2:23" x14ac:dyDescent="0.2">
      <c r="B348" s="49"/>
      <c r="C348" s="50"/>
      <c r="D348" s="72"/>
      <c r="E348" s="49"/>
      <c r="F348" s="49"/>
      <c r="G348" s="51"/>
      <c r="H348" s="49"/>
      <c r="I348" s="51"/>
      <c r="J348" s="52"/>
      <c r="K348" s="66"/>
      <c r="L348" s="66"/>
      <c r="M348" s="57"/>
      <c r="N348" s="54"/>
      <c r="O348" s="57"/>
      <c r="P348" s="54"/>
      <c r="Q348" s="55"/>
      <c r="R348" s="54"/>
      <c r="S348" s="54"/>
      <c r="T348" s="57"/>
      <c r="U348" s="55"/>
      <c r="V348" s="46"/>
      <c r="W348" s="46"/>
    </row>
    <row r="349" spans="2:23" x14ac:dyDescent="0.2">
      <c r="B349" s="49"/>
      <c r="C349" s="50"/>
      <c r="D349" s="72"/>
      <c r="E349" s="49"/>
      <c r="F349" s="49"/>
      <c r="G349" s="51"/>
      <c r="H349" s="49"/>
      <c r="I349" s="51"/>
      <c r="J349" s="52"/>
      <c r="K349" s="66"/>
      <c r="L349" s="66"/>
      <c r="M349" s="57"/>
      <c r="N349" s="54"/>
      <c r="O349" s="57"/>
      <c r="P349" s="54"/>
      <c r="Q349" s="55"/>
      <c r="R349" s="54"/>
      <c r="S349" s="54"/>
      <c r="T349" s="57"/>
      <c r="U349" s="55"/>
      <c r="V349" s="46"/>
      <c r="W349" s="46"/>
    </row>
    <row r="350" spans="2:23" x14ac:dyDescent="0.2">
      <c r="B350" s="49"/>
      <c r="C350" s="50"/>
      <c r="D350" s="72"/>
      <c r="E350" s="49"/>
      <c r="F350" s="49"/>
      <c r="G350" s="51"/>
      <c r="H350" s="49"/>
      <c r="I350" s="51"/>
      <c r="J350" s="52"/>
      <c r="K350" s="66"/>
      <c r="L350" s="66"/>
      <c r="M350" s="57"/>
      <c r="N350" s="54"/>
      <c r="O350" s="57"/>
      <c r="P350" s="54"/>
      <c r="Q350" s="55"/>
      <c r="R350" s="54"/>
      <c r="S350" s="54"/>
      <c r="T350" s="57"/>
      <c r="U350" s="55"/>
      <c r="V350" s="46"/>
      <c r="W350" s="46"/>
    </row>
    <row r="351" spans="2:23" x14ac:dyDescent="0.2">
      <c r="B351" s="49"/>
      <c r="C351" s="50"/>
      <c r="D351" s="72"/>
      <c r="E351" s="49"/>
      <c r="F351" s="49"/>
      <c r="G351" s="51"/>
      <c r="H351" s="49"/>
      <c r="I351" s="51"/>
      <c r="J351" s="52"/>
      <c r="K351" s="66"/>
      <c r="L351" s="66"/>
      <c r="M351" s="57"/>
      <c r="N351" s="54"/>
      <c r="O351" s="57"/>
      <c r="P351" s="54"/>
      <c r="Q351" s="55"/>
      <c r="R351" s="54"/>
      <c r="S351" s="54"/>
      <c r="T351" s="57"/>
      <c r="U351" s="55"/>
      <c r="V351" s="46"/>
      <c r="W351" s="46"/>
    </row>
    <row r="352" spans="2:23" x14ac:dyDescent="0.2">
      <c r="B352" s="49"/>
      <c r="C352" s="50"/>
      <c r="D352" s="72"/>
      <c r="E352" s="49"/>
      <c r="F352" s="49"/>
      <c r="G352" s="51"/>
      <c r="H352" s="49"/>
      <c r="I352" s="51"/>
      <c r="J352" s="52"/>
      <c r="K352" s="66"/>
      <c r="L352" s="66"/>
      <c r="M352" s="57"/>
      <c r="N352" s="54"/>
      <c r="O352" s="57"/>
      <c r="P352" s="54"/>
      <c r="Q352" s="55"/>
      <c r="R352" s="54"/>
      <c r="S352" s="54"/>
      <c r="T352" s="57"/>
      <c r="U352" s="55"/>
      <c r="V352" s="46"/>
      <c r="W352" s="46"/>
    </row>
    <row r="353" spans="2:23" x14ac:dyDescent="0.2">
      <c r="B353" s="49"/>
      <c r="C353" s="50"/>
      <c r="D353" s="72"/>
      <c r="E353" s="49"/>
      <c r="F353" s="49"/>
      <c r="G353" s="51"/>
      <c r="H353" s="49"/>
      <c r="I353" s="51"/>
      <c r="J353" s="52"/>
      <c r="K353" s="66"/>
      <c r="L353" s="66"/>
      <c r="M353" s="57"/>
      <c r="N353" s="54"/>
      <c r="O353" s="57"/>
      <c r="P353" s="54"/>
      <c r="Q353" s="55"/>
      <c r="R353" s="54"/>
      <c r="S353" s="54"/>
      <c r="T353" s="57"/>
      <c r="U353" s="55"/>
      <c r="V353" s="46"/>
      <c r="W353" s="46"/>
    </row>
    <row r="354" spans="2:23" x14ac:dyDescent="0.2">
      <c r="B354" s="49"/>
      <c r="C354" s="50"/>
      <c r="D354" s="72"/>
      <c r="E354" s="49"/>
      <c r="F354" s="49"/>
      <c r="G354" s="51"/>
      <c r="H354" s="49"/>
      <c r="I354" s="51"/>
      <c r="J354" s="52"/>
      <c r="K354" s="66"/>
      <c r="L354" s="66"/>
      <c r="M354" s="57"/>
      <c r="N354" s="54"/>
      <c r="O354" s="57"/>
      <c r="P354" s="54"/>
      <c r="Q354" s="55"/>
      <c r="R354" s="54"/>
      <c r="S354" s="54"/>
      <c r="T354" s="57"/>
      <c r="U354" s="55"/>
      <c r="V354" s="46"/>
      <c r="W354" s="46"/>
    </row>
    <row r="355" spans="2:23" x14ac:dyDescent="0.2">
      <c r="B355" s="49"/>
      <c r="C355" s="50"/>
      <c r="D355" s="72"/>
      <c r="E355" s="49"/>
      <c r="F355" s="49"/>
      <c r="G355" s="51"/>
      <c r="H355" s="49"/>
      <c r="I355" s="51"/>
      <c r="J355" s="52"/>
      <c r="K355" s="66"/>
      <c r="L355" s="66"/>
      <c r="M355" s="57"/>
      <c r="N355" s="54"/>
      <c r="O355" s="57"/>
      <c r="P355" s="54"/>
      <c r="Q355" s="55"/>
      <c r="R355" s="54"/>
      <c r="S355" s="54"/>
      <c r="T355" s="57"/>
      <c r="U355" s="55"/>
      <c r="V355" s="46"/>
      <c r="W355" s="46"/>
    </row>
    <row r="356" spans="2:23" x14ac:dyDescent="0.2">
      <c r="B356" s="49"/>
      <c r="C356" s="50"/>
      <c r="D356" s="72"/>
      <c r="E356" s="49"/>
      <c r="F356" s="49"/>
      <c r="G356" s="51"/>
      <c r="H356" s="49"/>
      <c r="I356" s="51"/>
      <c r="J356" s="52"/>
      <c r="K356" s="66"/>
      <c r="L356" s="66"/>
      <c r="M356" s="57"/>
      <c r="N356" s="54"/>
      <c r="O356" s="57"/>
      <c r="P356" s="54"/>
      <c r="Q356" s="55"/>
      <c r="R356" s="54"/>
      <c r="S356" s="54"/>
      <c r="T356" s="57"/>
      <c r="U356" s="55"/>
      <c r="V356" s="46"/>
      <c r="W356" s="46"/>
    </row>
    <row r="357" spans="2:23" x14ac:dyDescent="0.2">
      <c r="B357" s="49"/>
      <c r="C357" s="50"/>
      <c r="D357" s="72"/>
      <c r="E357" s="49"/>
      <c r="F357" s="49"/>
      <c r="G357" s="51"/>
      <c r="H357" s="49"/>
      <c r="I357" s="51"/>
      <c r="J357" s="52"/>
      <c r="K357" s="66"/>
      <c r="L357" s="66"/>
      <c r="M357" s="57"/>
      <c r="N357" s="54"/>
      <c r="O357" s="57"/>
      <c r="P357" s="54"/>
      <c r="Q357" s="55"/>
      <c r="R357" s="54"/>
      <c r="S357" s="54"/>
      <c r="T357" s="57"/>
      <c r="U357" s="55"/>
      <c r="V357" s="46"/>
      <c r="W357" s="46"/>
    </row>
    <row r="358" spans="2:23" x14ac:dyDescent="0.2">
      <c r="B358" s="49"/>
      <c r="C358" s="50"/>
      <c r="D358" s="72"/>
      <c r="E358" s="49"/>
      <c r="F358" s="49"/>
      <c r="G358" s="51"/>
      <c r="H358" s="49"/>
      <c r="I358" s="51"/>
      <c r="J358" s="52"/>
      <c r="K358" s="66"/>
      <c r="L358" s="66"/>
      <c r="M358" s="57"/>
      <c r="N358" s="54"/>
      <c r="O358" s="57"/>
      <c r="P358" s="54"/>
      <c r="Q358" s="55"/>
      <c r="R358" s="54"/>
      <c r="S358" s="54"/>
      <c r="T358" s="57"/>
      <c r="U358" s="55"/>
      <c r="V358" s="46"/>
      <c r="W358" s="46"/>
    </row>
    <row r="359" spans="2:23" x14ac:dyDescent="0.2">
      <c r="B359" s="49"/>
      <c r="C359" s="50"/>
      <c r="D359" s="72"/>
      <c r="E359" s="49"/>
      <c r="F359" s="49"/>
      <c r="G359" s="51"/>
      <c r="H359" s="49"/>
      <c r="I359" s="51"/>
      <c r="J359" s="52"/>
      <c r="K359" s="66"/>
      <c r="L359" s="66"/>
      <c r="M359" s="57"/>
      <c r="N359" s="54"/>
      <c r="O359" s="57"/>
      <c r="P359" s="54"/>
      <c r="Q359" s="55"/>
      <c r="R359" s="54"/>
      <c r="S359" s="54"/>
      <c r="T359" s="57"/>
      <c r="U359" s="55"/>
      <c r="V359" s="46"/>
      <c r="W359" s="46"/>
    </row>
    <row r="360" spans="2:23" x14ac:dyDescent="0.2">
      <c r="B360" s="49"/>
      <c r="C360" s="50"/>
      <c r="D360" s="72"/>
      <c r="E360" s="49"/>
      <c r="F360" s="49"/>
      <c r="G360" s="51"/>
      <c r="H360" s="49"/>
      <c r="I360" s="51"/>
      <c r="J360" s="52"/>
      <c r="K360" s="66"/>
      <c r="L360" s="66"/>
      <c r="M360" s="57"/>
      <c r="N360" s="54"/>
      <c r="O360" s="57"/>
      <c r="P360" s="54"/>
      <c r="Q360" s="55"/>
      <c r="R360" s="54"/>
      <c r="S360" s="54"/>
      <c r="T360" s="57"/>
      <c r="U360" s="55"/>
      <c r="V360" s="46"/>
      <c r="W360" s="46"/>
    </row>
    <row r="361" spans="2:23" x14ac:dyDescent="0.2">
      <c r="B361" s="49"/>
      <c r="C361" s="50"/>
      <c r="D361" s="72"/>
      <c r="E361" s="49"/>
      <c r="F361" s="49"/>
      <c r="G361" s="51"/>
      <c r="H361" s="49"/>
      <c r="I361" s="51"/>
      <c r="J361" s="52"/>
      <c r="K361" s="66"/>
      <c r="L361" s="66"/>
      <c r="M361" s="57"/>
      <c r="N361" s="54"/>
      <c r="O361" s="57"/>
      <c r="P361" s="54"/>
      <c r="Q361" s="55"/>
      <c r="R361" s="54"/>
      <c r="S361" s="54"/>
      <c r="T361" s="57"/>
      <c r="U361" s="55"/>
      <c r="V361" s="46"/>
      <c r="W361" s="46"/>
    </row>
    <row r="362" spans="2:23" x14ac:dyDescent="0.2">
      <c r="B362" s="49"/>
      <c r="C362" s="50"/>
      <c r="D362" s="72"/>
      <c r="E362" s="49"/>
      <c r="F362" s="49"/>
      <c r="G362" s="51"/>
      <c r="H362" s="49"/>
      <c r="I362" s="51"/>
      <c r="J362" s="52"/>
      <c r="K362" s="66"/>
      <c r="L362" s="66"/>
      <c r="M362" s="57"/>
      <c r="N362" s="54"/>
      <c r="O362" s="57"/>
      <c r="P362" s="54"/>
      <c r="Q362" s="55"/>
      <c r="R362" s="54"/>
      <c r="S362" s="54"/>
      <c r="T362" s="57"/>
      <c r="U362" s="55"/>
      <c r="V362" s="46"/>
      <c r="W362" s="46"/>
    </row>
    <row r="363" spans="2:23" x14ac:dyDescent="0.2">
      <c r="B363" s="49"/>
      <c r="C363" s="50"/>
      <c r="D363" s="72"/>
      <c r="E363" s="49"/>
      <c r="F363" s="49"/>
      <c r="G363" s="51"/>
      <c r="H363" s="49"/>
      <c r="I363" s="51"/>
      <c r="J363" s="52"/>
      <c r="K363" s="66"/>
      <c r="L363" s="66"/>
      <c r="M363" s="57"/>
      <c r="N363" s="54"/>
      <c r="O363" s="57"/>
      <c r="P363" s="54"/>
      <c r="Q363" s="55"/>
      <c r="R363" s="54"/>
      <c r="S363" s="54"/>
      <c r="T363" s="57"/>
      <c r="U363" s="55"/>
      <c r="V363" s="46"/>
      <c r="W363" s="46"/>
    </row>
    <row r="364" spans="2:23" x14ac:dyDescent="0.2">
      <c r="B364" s="49"/>
      <c r="C364" s="50"/>
      <c r="D364" s="72"/>
      <c r="E364" s="49"/>
      <c r="F364" s="49"/>
      <c r="G364" s="51"/>
      <c r="H364" s="49"/>
      <c r="I364" s="51"/>
      <c r="J364" s="52"/>
      <c r="K364" s="66"/>
      <c r="L364" s="66"/>
      <c r="M364" s="57"/>
      <c r="N364" s="54"/>
      <c r="O364" s="57"/>
      <c r="P364" s="54"/>
      <c r="Q364" s="55"/>
      <c r="R364" s="54"/>
      <c r="S364" s="54"/>
      <c r="T364" s="57"/>
      <c r="U364" s="55"/>
      <c r="V364" s="46"/>
      <c r="W364" s="46"/>
    </row>
    <row r="365" spans="2:23" x14ac:dyDescent="0.2">
      <c r="B365" s="49"/>
      <c r="C365" s="50"/>
      <c r="D365" s="72"/>
      <c r="E365" s="49"/>
      <c r="F365" s="49"/>
      <c r="G365" s="51"/>
      <c r="H365" s="49"/>
      <c r="I365" s="51"/>
      <c r="J365" s="52"/>
      <c r="K365" s="66"/>
      <c r="L365" s="66"/>
      <c r="M365" s="57"/>
      <c r="N365" s="54"/>
      <c r="O365" s="57"/>
      <c r="P365" s="54"/>
      <c r="Q365" s="55"/>
      <c r="R365" s="54"/>
      <c r="S365" s="54"/>
      <c r="T365" s="57"/>
      <c r="U365" s="55"/>
      <c r="V365" s="46"/>
      <c r="W365" s="46"/>
    </row>
    <row r="366" spans="2:23" x14ac:dyDescent="0.2">
      <c r="B366" s="49"/>
      <c r="C366" s="50"/>
      <c r="D366" s="72"/>
      <c r="E366" s="49"/>
      <c r="F366" s="49"/>
      <c r="G366" s="51"/>
      <c r="H366" s="49"/>
      <c r="I366" s="51"/>
      <c r="J366" s="52"/>
      <c r="K366" s="66"/>
      <c r="L366" s="66"/>
      <c r="M366" s="57"/>
      <c r="N366" s="54"/>
      <c r="O366" s="57"/>
      <c r="P366" s="54"/>
      <c r="Q366" s="55"/>
      <c r="R366" s="54"/>
      <c r="S366" s="54"/>
      <c r="T366" s="57"/>
      <c r="U366" s="55"/>
      <c r="V366" s="46"/>
      <c r="W366" s="46"/>
    </row>
    <row r="367" spans="2:23" x14ac:dyDescent="0.2">
      <c r="B367" s="49"/>
      <c r="C367" s="50"/>
      <c r="D367" s="72"/>
      <c r="E367" s="49"/>
      <c r="F367" s="49"/>
      <c r="G367" s="51"/>
      <c r="H367" s="49"/>
      <c r="I367" s="51"/>
      <c r="J367" s="52"/>
      <c r="K367" s="66"/>
      <c r="L367" s="66"/>
      <c r="M367" s="57"/>
      <c r="N367" s="54"/>
      <c r="O367" s="57"/>
      <c r="P367" s="54"/>
      <c r="Q367" s="55"/>
      <c r="R367" s="54"/>
      <c r="S367" s="54"/>
      <c r="T367" s="57"/>
      <c r="U367" s="55"/>
      <c r="V367" s="46"/>
      <c r="W367" s="46"/>
    </row>
    <row r="368" spans="2:23" x14ac:dyDescent="0.2">
      <c r="B368" s="49"/>
      <c r="C368" s="50"/>
      <c r="D368" s="72"/>
      <c r="E368" s="49"/>
      <c r="F368" s="49"/>
      <c r="G368" s="51"/>
      <c r="H368" s="49"/>
      <c r="I368" s="51"/>
      <c r="J368" s="52"/>
      <c r="K368" s="66"/>
      <c r="L368" s="66"/>
      <c r="M368" s="57"/>
      <c r="N368" s="54"/>
      <c r="O368" s="57"/>
      <c r="P368" s="54"/>
      <c r="Q368" s="55"/>
      <c r="R368" s="54"/>
      <c r="S368" s="54"/>
      <c r="T368" s="57"/>
      <c r="U368" s="55"/>
      <c r="V368" s="46"/>
      <c r="W368" s="46"/>
    </row>
    <row r="369" spans="2:23" x14ac:dyDescent="0.2">
      <c r="B369" s="49"/>
      <c r="C369" s="50"/>
      <c r="D369" s="72"/>
      <c r="E369" s="49"/>
      <c r="F369" s="49"/>
      <c r="G369" s="51"/>
      <c r="H369" s="49"/>
      <c r="I369" s="51"/>
      <c r="J369" s="52"/>
      <c r="K369" s="66"/>
      <c r="L369" s="66"/>
      <c r="M369" s="57"/>
      <c r="N369" s="54"/>
      <c r="O369" s="57"/>
      <c r="P369" s="54"/>
      <c r="Q369" s="55"/>
      <c r="R369" s="54"/>
      <c r="S369" s="54"/>
      <c r="T369" s="57"/>
      <c r="U369" s="55"/>
      <c r="V369" s="46"/>
      <c r="W369" s="46"/>
    </row>
    <row r="370" spans="2:23" x14ac:dyDescent="0.2">
      <c r="B370" s="49"/>
      <c r="C370" s="50"/>
      <c r="D370" s="72"/>
      <c r="E370" s="49"/>
      <c r="F370" s="49"/>
      <c r="G370" s="51"/>
      <c r="H370" s="49"/>
      <c r="I370" s="51"/>
      <c r="J370" s="52"/>
      <c r="K370" s="66"/>
      <c r="L370" s="66"/>
      <c r="M370" s="57"/>
      <c r="N370" s="54"/>
      <c r="O370" s="57"/>
      <c r="P370" s="54"/>
      <c r="Q370" s="55"/>
      <c r="R370" s="54"/>
      <c r="S370" s="54"/>
      <c r="T370" s="57"/>
      <c r="U370" s="55"/>
      <c r="V370" s="46"/>
      <c r="W370" s="46"/>
    </row>
    <row r="371" spans="2:23" x14ac:dyDescent="0.2">
      <c r="B371" s="49"/>
      <c r="C371" s="50"/>
      <c r="D371" s="72"/>
      <c r="E371" s="49"/>
      <c r="F371" s="49"/>
      <c r="G371" s="51"/>
      <c r="H371" s="49"/>
      <c r="I371" s="51"/>
      <c r="J371" s="52"/>
      <c r="K371" s="66"/>
      <c r="L371" s="66"/>
      <c r="M371" s="57"/>
      <c r="N371" s="54"/>
      <c r="O371" s="57"/>
      <c r="P371" s="54"/>
      <c r="Q371" s="55"/>
      <c r="R371" s="54"/>
      <c r="S371" s="54"/>
      <c r="T371" s="57"/>
      <c r="U371" s="55"/>
      <c r="V371" s="46"/>
      <c r="W371" s="46"/>
    </row>
    <row r="372" spans="2:23" x14ac:dyDescent="0.2">
      <c r="B372" s="49"/>
      <c r="C372" s="50"/>
      <c r="D372" s="72"/>
      <c r="E372" s="49"/>
      <c r="F372" s="49"/>
      <c r="G372" s="51"/>
      <c r="H372" s="49"/>
      <c r="I372" s="51"/>
      <c r="J372" s="52"/>
      <c r="K372" s="66"/>
      <c r="L372" s="66"/>
      <c r="M372" s="57"/>
      <c r="N372" s="54"/>
      <c r="O372" s="57"/>
      <c r="P372" s="54"/>
      <c r="Q372" s="55"/>
      <c r="R372" s="54"/>
      <c r="S372" s="54"/>
      <c r="T372" s="57"/>
      <c r="U372" s="55"/>
      <c r="V372" s="46"/>
      <c r="W372" s="46"/>
    </row>
    <row r="373" spans="2:23" x14ac:dyDescent="0.2">
      <c r="B373" s="49"/>
      <c r="C373" s="50"/>
      <c r="D373" s="72"/>
      <c r="E373" s="49"/>
      <c r="F373" s="49"/>
      <c r="G373" s="51"/>
      <c r="H373" s="49"/>
      <c r="I373" s="51"/>
      <c r="J373" s="52"/>
      <c r="K373" s="66"/>
      <c r="L373" s="66"/>
      <c r="M373" s="57"/>
      <c r="N373" s="54"/>
      <c r="O373" s="57"/>
      <c r="P373" s="54"/>
      <c r="Q373" s="55"/>
      <c r="R373" s="54"/>
      <c r="S373" s="54"/>
      <c r="T373" s="57"/>
      <c r="U373" s="55"/>
      <c r="V373" s="46"/>
      <c r="W373" s="46"/>
    </row>
    <row r="374" spans="2:23" x14ac:dyDescent="0.2">
      <c r="B374" s="49"/>
      <c r="C374" s="50"/>
      <c r="D374" s="72"/>
      <c r="E374" s="49"/>
      <c r="F374" s="49"/>
      <c r="G374" s="51"/>
      <c r="H374" s="49"/>
      <c r="I374" s="51"/>
      <c r="J374" s="52"/>
      <c r="K374" s="66"/>
      <c r="L374" s="66"/>
      <c r="M374" s="57"/>
      <c r="N374" s="54"/>
      <c r="O374" s="57"/>
      <c r="P374" s="54"/>
      <c r="Q374" s="55"/>
      <c r="R374" s="54"/>
      <c r="S374" s="54"/>
      <c r="T374" s="57"/>
      <c r="U374" s="55"/>
      <c r="V374" s="46"/>
      <c r="W374" s="46"/>
    </row>
    <row r="375" spans="2:23" x14ac:dyDescent="0.2">
      <c r="B375" s="49"/>
      <c r="C375" s="50"/>
      <c r="D375" s="72"/>
      <c r="E375" s="49"/>
      <c r="F375" s="49"/>
      <c r="G375" s="51"/>
      <c r="H375" s="49"/>
      <c r="I375" s="51"/>
      <c r="J375" s="52"/>
      <c r="K375" s="66"/>
      <c r="L375" s="66"/>
      <c r="M375" s="57"/>
      <c r="N375" s="54"/>
      <c r="O375" s="57"/>
      <c r="P375" s="54"/>
      <c r="Q375" s="55"/>
      <c r="R375" s="54"/>
      <c r="S375" s="54"/>
      <c r="T375" s="57"/>
      <c r="U375" s="55"/>
      <c r="V375" s="46"/>
      <c r="W375" s="46"/>
    </row>
    <row r="376" spans="2:23" x14ac:dyDescent="0.2">
      <c r="B376" s="49"/>
      <c r="C376" s="50"/>
      <c r="D376" s="72"/>
      <c r="E376" s="49"/>
      <c r="F376" s="49"/>
      <c r="G376" s="51"/>
      <c r="H376" s="49"/>
      <c r="I376" s="51"/>
      <c r="J376" s="52"/>
      <c r="K376" s="66"/>
      <c r="L376" s="66"/>
      <c r="M376" s="57"/>
      <c r="N376" s="54"/>
      <c r="O376" s="57"/>
      <c r="P376" s="54"/>
      <c r="Q376" s="55"/>
      <c r="R376" s="54"/>
      <c r="S376" s="54"/>
      <c r="T376" s="57"/>
      <c r="U376" s="55"/>
      <c r="V376" s="46"/>
      <c r="W376" s="46"/>
    </row>
    <row r="377" spans="2:23" x14ac:dyDescent="0.2">
      <c r="B377" s="49"/>
      <c r="C377" s="50"/>
      <c r="D377" s="72"/>
      <c r="E377" s="49"/>
      <c r="F377" s="49"/>
      <c r="G377" s="51"/>
      <c r="H377" s="49"/>
      <c r="I377" s="51"/>
      <c r="J377" s="52"/>
      <c r="K377" s="66"/>
      <c r="L377" s="66"/>
      <c r="M377" s="57"/>
      <c r="N377" s="54"/>
      <c r="O377" s="57"/>
      <c r="P377" s="54"/>
      <c r="Q377" s="55"/>
      <c r="R377" s="54"/>
      <c r="S377" s="54"/>
      <c r="T377" s="57"/>
      <c r="U377" s="55"/>
      <c r="V377" s="46"/>
      <c r="W377" s="46"/>
    </row>
    <row r="378" spans="2:23" x14ac:dyDescent="0.2">
      <c r="B378" s="49"/>
      <c r="C378" s="50"/>
      <c r="D378" s="72"/>
      <c r="E378" s="49"/>
      <c r="F378" s="49"/>
      <c r="G378" s="51"/>
      <c r="H378" s="49"/>
      <c r="I378" s="51"/>
      <c r="J378" s="52"/>
      <c r="K378" s="66"/>
      <c r="L378" s="66"/>
      <c r="M378" s="57"/>
      <c r="N378" s="54"/>
      <c r="O378" s="57"/>
      <c r="P378" s="54"/>
      <c r="Q378" s="55"/>
      <c r="R378" s="54"/>
      <c r="S378" s="54"/>
      <c r="T378" s="57"/>
      <c r="U378" s="55"/>
      <c r="V378" s="46"/>
      <c r="W378" s="46"/>
    </row>
    <row r="379" spans="2:23" x14ac:dyDescent="0.2">
      <c r="B379" s="49"/>
      <c r="C379" s="50"/>
      <c r="D379" s="72"/>
      <c r="E379" s="49"/>
      <c r="F379" s="49"/>
      <c r="G379" s="51"/>
      <c r="H379" s="49"/>
      <c r="I379" s="51"/>
      <c r="J379" s="52"/>
      <c r="K379" s="66"/>
      <c r="L379" s="66"/>
      <c r="M379" s="57"/>
      <c r="N379" s="54"/>
      <c r="O379" s="57"/>
      <c r="P379" s="54"/>
      <c r="Q379" s="55"/>
      <c r="R379" s="54"/>
      <c r="S379" s="54"/>
      <c r="T379" s="57"/>
      <c r="U379" s="55"/>
      <c r="V379" s="46"/>
      <c r="W379" s="46"/>
    </row>
    <row r="380" spans="2:23" x14ac:dyDescent="0.2">
      <c r="B380" s="49"/>
      <c r="C380" s="50"/>
      <c r="D380" s="72"/>
      <c r="E380" s="49"/>
      <c r="F380" s="49"/>
      <c r="G380" s="51"/>
      <c r="H380" s="49"/>
      <c r="I380" s="51"/>
      <c r="J380" s="52"/>
      <c r="K380" s="66"/>
      <c r="L380" s="66"/>
      <c r="M380" s="57"/>
      <c r="N380" s="54"/>
      <c r="O380" s="57"/>
      <c r="P380" s="54"/>
      <c r="Q380" s="55"/>
      <c r="R380" s="54"/>
      <c r="S380" s="54"/>
      <c r="T380" s="57"/>
      <c r="U380" s="55"/>
      <c r="V380" s="46"/>
      <c r="W380" s="46"/>
    </row>
    <row r="381" spans="2:23" x14ac:dyDescent="0.2">
      <c r="B381" s="49"/>
      <c r="C381" s="50"/>
      <c r="D381" s="72"/>
      <c r="E381" s="49"/>
      <c r="F381" s="49"/>
      <c r="G381" s="51"/>
      <c r="H381" s="49"/>
      <c r="I381" s="51"/>
      <c r="J381" s="52"/>
      <c r="K381" s="66"/>
      <c r="L381" s="66"/>
      <c r="M381" s="57"/>
      <c r="N381" s="54"/>
      <c r="O381" s="57"/>
      <c r="P381" s="54"/>
      <c r="Q381" s="55"/>
      <c r="R381" s="54"/>
      <c r="S381" s="54"/>
      <c r="T381" s="57"/>
      <c r="U381" s="55"/>
      <c r="V381" s="46"/>
      <c r="W381" s="46"/>
    </row>
    <row r="382" spans="2:23" x14ac:dyDescent="0.2">
      <c r="B382" s="49"/>
      <c r="C382" s="50"/>
      <c r="D382" s="72"/>
      <c r="E382" s="49"/>
      <c r="F382" s="49"/>
      <c r="G382" s="51"/>
      <c r="H382" s="49"/>
      <c r="I382" s="51"/>
      <c r="J382" s="52"/>
      <c r="K382" s="66"/>
      <c r="L382" s="66"/>
      <c r="M382" s="57"/>
      <c r="N382" s="54"/>
      <c r="O382" s="57"/>
      <c r="P382" s="54"/>
      <c r="Q382" s="55"/>
      <c r="R382" s="54"/>
      <c r="S382" s="54"/>
      <c r="T382" s="57"/>
      <c r="U382" s="55"/>
      <c r="V382" s="46"/>
      <c r="W382" s="46"/>
    </row>
    <row r="383" spans="2:23" x14ac:dyDescent="0.2">
      <c r="B383" s="49"/>
      <c r="C383" s="50"/>
      <c r="D383" s="72"/>
      <c r="E383" s="49"/>
      <c r="F383" s="49"/>
      <c r="G383" s="51"/>
      <c r="H383" s="49"/>
      <c r="I383" s="51"/>
      <c r="J383" s="52"/>
      <c r="K383" s="66"/>
      <c r="L383" s="66"/>
      <c r="M383" s="57"/>
      <c r="N383" s="54"/>
      <c r="O383" s="57"/>
      <c r="P383" s="54"/>
      <c r="Q383" s="55"/>
      <c r="R383" s="54"/>
      <c r="S383" s="54"/>
      <c r="T383" s="57"/>
      <c r="U383" s="55"/>
      <c r="V383" s="46"/>
      <c r="W383" s="46"/>
    </row>
    <row r="384" spans="2:23" x14ac:dyDescent="0.2">
      <c r="B384" s="49"/>
      <c r="C384" s="50"/>
      <c r="D384" s="72"/>
      <c r="E384" s="49"/>
      <c r="F384" s="49"/>
      <c r="G384" s="51"/>
      <c r="H384" s="49"/>
      <c r="I384" s="51"/>
      <c r="J384" s="52"/>
      <c r="K384" s="66"/>
      <c r="L384" s="66"/>
      <c r="M384" s="57"/>
      <c r="N384" s="54"/>
      <c r="O384" s="57"/>
      <c r="P384" s="54"/>
      <c r="Q384" s="55"/>
      <c r="R384" s="54"/>
      <c r="S384" s="54"/>
      <c r="T384" s="57"/>
      <c r="U384" s="55"/>
      <c r="V384" s="46"/>
      <c r="W384" s="46"/>
    </row>
    <row r="385" spans="2:23" x14ac:dyDescent="0.2">
      <c r="B385" s="49"/>
      <c r="C385" s="50"/>
      <c r="D385" s="72"/>
      <c r="E385" s="49"/>
      <c r="F385" s="49"/>
      <c r="G385" s="51"/>
      <c r="H385" s="49"/>
      <c r="I385" s="51"/>
      <c r="J385" s="52"/>
      <c r="K385" s="66"/>
      <c r="L385" s="66"/>
      <c r="M385" s="57"/>
      <c r="N385" s="54"/>
      <c r="O385" s="57"/>
      <c r="P385" s="54"/>
      <c r="Q385" s="55"/>
      <c r="R385" s="54"/>
      <c r="S385" s="54"/>
      <c r="T385" s="57"/>
      <c r="U385" s="55"/>
      <c r="V385" s="46"/>
      <c r="W385" s="46"/>
    </row>
    <row r="386" spans="2:23" x14ac:dyDescent="0.2">
      <c r="B386" s="49"/>
      <c r="C386" s="50"/>
      <c r="D386" s="72"/>
      <c r="E386" s="49"/>
      <c r="F386" s="49"/>
      <c r="G386" s="51"/>
      <c r="H386" s="49"/>
      <c r="I386" s="51"/>
      <c r="J386" s="52"/>
      <c r="K386" s="66"/>
      <c r="L386" s="66"/>
      <c r="M386" s="57"/>
      <c r="N386" s="54"/>
      <c r="O386" s="57"/>
      <c r="P386" s="54"/>
      <c r="Q386" s="55"/>
      <c r="R386" s="54"/>
      <c r="S386" s="54"/>
      <c r="T386" s="57"/>
      <c r="U386" s="55"/>
      <c r="V386" s="46"/>
      <c r="W386" s="46"/>
    </row>
    <row r="387" spans="2:23" x14ac:dyDescent="0.2">
      <c r="B387" s="49"/>
      <c r="C387" s="50"/>
      <c r="D387" s="72"/>
      <c r="E387" s="49"/>
      <c r="F387" s="49"/>
      <c r="G387" s="51"/>
      <c r="H387" s="49"/>
      <c r="I387" s="51"/>
      <c r="J387" s="52"/>
      <c r="K387" s="66"/>
      <c r="L387" s="66"/>
      <c r="M387" s="57"/>
      <c r="N387" s="54"/>
      <c r="O387" s="57"/>
      <c r="P387" s="54"/>
      <c r="Q387" s="55"/>
      <c r="R387" s="54"/>
      <c r="S387" s="54"/>
      <c r="T387" s="57"/>
      <c r="U387" s="55"/>
      <c r="V387" s="46"/>
      <c r="W387" s="46"/>
    </row>
    <row r="388" spans="2:23" x14ac:dyDescent="0.2">
      <c r="B388" s="49"/>
      <c r="C388" s="50"/>
      <c r="D388" s="72"/>
      <c r="E388" s="49"/>
      <c r="F388" s="49"/>
      <c r="G388" s="51"/>
      <c r="H388" s="49"/>
      <c r="I388" s="51"/>
      <c r="J388" s="52"/>
      <c r="K388" s="66"/>
      <c r="L388" s="66"/>
      <c r="M388" s="57"/>
      <c r="N388" s="54"/>
      <c r="O388" s="57"/>
      <c r="P388" s="54"/>
      <c r="Q388" s="55"/>
      <c r="R388" s="54"/>
      <c r="S388" s="54"/>
      <c r="T388" s="57"/>
      <c r="U388" s="55"/>
      <c r="V388" s="46"/>
      <c r="W388" s="46"/>
    </row>
    <row r="389" spans="2:23" x14ac:dyDescent="0.2">
      <c r="B389" s="49"/>
      <c r="C389" s="50"/>
      <c r="D389" s="72"/>
      <c r="E389" s="49"/>
      <c r="F389" s="49"/>
      <c r="G389" s="51"/>
      <c r="H389" s="49"/>
      <c r="I389" s="51"/>
      <c r="J389" s="52"/>
      <c r="K389" s="66"/>
      <c r="L389" s="66"/>
      <c r="M389" s="57"/>
      <c r="N389" s="54"/>
      <c r="O389" s="57"/>
      <c r="P389" s="54"/>
      <c r="Q389" s="55"/>
      <c r="R389" s="54"/>
      <c r="S389" s="54"/>
      <c r="T389" s="57"/>
      <c r="U389" s="55"/>
      <c r="V389" s="46"/>
      <c r="W389" s="46"/>
    </row>
    <row r="390" spans="2:23" x14ac:dyDescent="0.2">
      <c r="B390" s="49"/>
      <c r="C390" s="50"/>
      <c r="D390" s="72"/>
      <c r="E390" s="49"/>
      <c r="F390" s="49"/>
      <c r="G390" s="51"/>
      <c r="H390" s="49"/>
      <c r="I390" s="51"/>
      <c r="J390" s="52"/>
      <c r="K390" s="66"/>
      <c r="L390" s="66"/>
      <c r="M390" s="57"/>
      <c r="N390" s="54"/>
      <c r="O390" s="57"/>
      <c r="P390" s="54"/>
      <c r="Q390" s="55"/>
      <c r="R390" s="54"/>
      <c r="S390" s="54"/>
      <c r="T390" s="57"/>
      <c r="U390" s="55"/>
      <c r="V390" s="46"/>
      <c r="W390" s="46"/>
    </row>
    <row r="391" spans="2:23" x14ac:dyDescent="0.2">
      <c r="B391" s="49"/>
      <c r="C391" s="50"/>
      <c r="D391" s="72"/>
      <c r="E391" s="49"/>
      <c r="F391" s="49"/>
      <c r="G391" s="51"/>
      <c r="H391" s="49"/>
      <c r="I391" s="51"/>
      <c r="J391" s="52"/>
      <c r="K391" s="66"/>
      <c r="L391" s="66"/>
      <c r="M391" s="57"/>
      <c r="N391" s="54"/>
      <c r="O391" s="57"/>
      <c r="P391" s="54"/>
      <c r="Q391" s="55"/>
      <c r="R391" s="54"/>
      <c r="S391" s="54"/>
      <c r="T391" s="57"/>
      <c r="U391" s="55"/>
      <c r="V391" s="46"/>
      <c r="W391" s="46"/>
    </row>
    <row r="392" spans="2:23" x14ac:dyDescent="0.2">
      <c r="B392" s="49"/>
      <c r="C392" s="50"/>
      <c r="D392" s="72"/>
      <c r="E392" s="49"/>
      <c r="F392" s="49"/>
      <c r="G392" s="51"/>
      <c r="H392" s="49"/>
      <c r="I392" s="51"/>
      <c r="J392" s="52"/>
      <c r="K392" s="66"/>
      <c r="L392" s="66"/>
      <c r="M392" s="57"/>
      <c r="N392" s="54"/>
      <c r="O392" s="57"/>
      <c r="P392" s="54"/>
      <c r="Q392" s="55"/>
      <c r="R392" s="54"/>
      <c r="S392" s="54"/>
      <c r="T392" s="57"/>
      <c r="U392" s="55"/>
      <c r="V392" s="46"/>
      <c r="W392" s="46"/>
    </row>
    <row r="393" spans="2:23" x14ac:dyDescent="0.2">
      <c r="B393" s="49"/>
      <c r="C393" s="50"/>
      <c r="D393" s="72"/>
      <c r="E393" s="49"/>
      <c r="F393" s="49"/>
      <c r="G393" s="51"/>
      <c r="H393" s="49"/>
      <c r="I393" s="51"/>
      <c r="J393" s="52"/>
      <c r="K393" s="66"/>
      <c r="L393" s="66"/>
      <c r="M393" s="57"/>
      <c r="N393" s="54"/>
      <c r="O393" s="57"/>
      <c r="P393" s="54"/>
      <c r="Q393" s="55"/>
      <c r="R393" s="54"/>
      <c r="S393" s="54"/>
      <c r="T393" s="57"/>
      <c r="U393" s="55"/>
      <c r="V393" s="46"/>
      <c r="W393" s="46"/>
    </row>
    <row r="394" spans="2:23" x14ac:dyDescent="0.2">
      <c r="B394" s="49"/>
      <c r="C394" s="50"/>
      <c r="D394" s="72"/>
      <c r="E394" s="49"/>
      <c r="F394" s="49"/>
      <c r="G394" s="51"/>
      <c r="H394" s="49"/>
      <c r="I394" s="51"/>
      <c r="J394" s="52"/>
      <c r="K394" s="66"/>
      <c r="L394" s="66"/>
      <c r="M394" s="57"/>
      <c r="N394" s="54"/>
      <c r="O394" s="57"/>
      <c r="P394" s="54"/>
      <c r="Q394" s="55"/>
      <c r="R394" s="54"/>
      <c r="S394" s="54"/>
      <c r="T394" s="57"/>
      <c r="U394" s="55"/>
      <c r="V394" s="46"/>
      <c r="W394" s="46"/>
    </row>
    <row r="395" spans="2:23" x14ac:dyDescent="0.2">
      <c r="B395" s="49"/>
      <c r="C395" s="50"/>
      <c r="D395" s="72"/>
      <c r="E395" s="49"/>
      <c r="F395" s="49"/>
      <c r="G395" s="51"/>
      <c r="H395" s="49"/>
      <c r="I395" s="51"/>
      <c r="J395" s="52"/>
      <c r="K395" s="66"/>
      <c r="L395" s="66"/>
      <c r="M395" s="57"/>
      <c r="N395" s="54"/>
      <c r="O395" s="57"/>
      <c r="P395" s="54"/>
      <c r="Q395" s="55"/>
      <c r="R395" s="54"/>
      <c r="S395" s="54"/>
      <c r="T395" s="57"/>
      <c r="U395" s="55"/>
      <c r="V395" s="46"/>
      <c r="W395" s="46"/>
    </row>
    <row r="396" spans="2:23" x14ac:dyDescent="0.2">
      <c r="B396" s="49"/>
      <c r="C396" s="50"/>
      <c r="D396" s="72"/>
      <c r="E396" s="49"/>
      <c r="F396" s="49"/>
      <c r="G396" s="51"/>
      <c r="H396" s="49"/>
      <c r="I396" s="51"/>
      <c r="J396" s="52"/>
      <c r="K396" s="66"/>
      <c r="L396" s="66"/>
      <c r="M396" s="57"/>
      <c r="N396" s="54"/>
      <c r="O396" s="57"/>
      <c r="P396" s="54"/>
      <c r="Q396" s="55"/>
      <c r="R396" s="54"/>
      <c r="S396" s="54"/>
      <c r="T396" s="57"/>
      <c r="U396" s="55"/>
      <c r="V396" s="46"/>
      <c r="W396" s="46"/>
    </row>
    <row r="397" spans="2:23" x14ac:dyDescent="0.2">
      <c r="B397" s="49"/>
      <c r="C397" s="50"/>
      <c r="D397" s="72"/>
      <c r="E397" s="49"/>
      <c r="F397" s="49"/>
      <c r="G397" s="51"/>
      <c r="H397" s="49"/>
      <c r="I397" s="51"/>
      <c r="J397" s="52"/>
      <c r="K397" s="66"/>
      <c r="L397" s="66"/>
      <c r="M397" s="57"/>
      <c r="N397" s="54"/>
      <c r="O397" s="57"/>
      <c r="P397" s="54"/>
      <c r="Q397" s="55"/>
      <c r="R397" s="54"/>
      <c r="S397" s="54"/>
      <c r="T397" s="57"/>
      <c r="U397" s="55"/>
      <c r="V397" s="46"/>
      <c r="W397" s="46"/>
    </row>
    <row r="398" spans="2:23" x14ac:dyDescent="0.2">
      <c r="B398" s="49"/>
      <c r="C398" s="50"/>
      <c r="D398" s="72"/>
      <c r="E398" s="49"/>
      <c r="F398" s="49"/>
      <c r="G398" s="51"/>
      <c r="H398" s="49"/>
      <c r="I398" s="51"/>
      <c r="J398" s="52"/>
      <c r="K398" s="66"/>
      <c r="L398" s="66"/>
      <c r="M398" s="57"/>
      <c r="N398" s="54"/>
      <c r="O398" s="57"/>
      <c r="P398" s="54"/>
      <c r="Q398" s="55"/>
      <c r="R398" s="54"/>
      <c r="S398" s="54"/>
      <c r="T398" s="57"/>
      <c r="U398" s="55"/>
      <c r="V398" s="46"/>
      <c r="W398" s="46"/>
    </row>
    <row r="399" spans="2:23" x14ac:dyDescent="0.2">
      <c r="B399" s="49"/>
      <c r="C399" s="50"/>
      <c r="D399" s="72"/>
      <c r="E399" s="49"/>
      <c r="F399" s="49"/>
      <c r="G399" s="51"/>
      <c r="H399" s="49"/>
      <c r="I399" s="51"/>
      <c r="J399" s="52"/>
      <c r="K399" s="66"/>
      <c r="L399" s="66"/>
      <c r="M399" s="57"/>
      <c r="N399" s="54"/>
      <c r="O399" s="57"/>
      <c r="P399" s="54"/>
      <c r="Q399" s="55"/>
      <c r="R399" s="54"/>
      <c r="S399" s="54"/>
      <c r="T399" s="57"/>
      <c r="U399" s="55"/>
      <c r="V399" s="46"/>
      <c r="W399" s="46"/>
    </row>
    <row r="400" spans="2:23" x14ac:dyDescent="0.2">
      <c r="B400" s="49"/>
      <c r="C400" s="50"/>
      <c r="D400" s="72"/>
      <c r="E400" s="49"/>
      <c r="F400" s="49"/>
      <c r="G400" s="51"/>
      <c r="H400" s="49"/>
      <c r="I400" s="51"/>
      <c r="J400" s="52"/>
      <c r="K400" s="66"/>
      <c r="L400" s="66"/>
      <c r="M400" s="57"/>
      <c r="N400" s="54"/>
      <c r="O400" s="57"/>
      <c r="P400" s="54"/>
      <c r="Q400" s="55"/>
      <c r="R400" s="54"/>
      <c r="S400" s="54"/>
      <c r="T400" s="57"/>
      <c r="U400" s="55"/>
      <c r="V400" s="46"/>
      <c r="W400" s="46"/>
    </row>
    <row r="401" spans="2:23" x14ac:dyDescent="0.2">
      <c r="B401" s="49"/>
      <c r="C401" s="50"/>
      <c r="D401" s="72"/>
      <c r="E401" s="49"/>
      <c r="F401" s="49"/>
      <c r="G401" s="51"/>
      <c r="H401" s="49"/>
      <c r="I401" s="51"/>
      <c r="J401" s="52"/>
      <c r="K401" s="66"/>
      <c r="L401" s="66"/>
      <c r="M401" s="57"/>
      <c r="N401" s="54"/>
      <c r="O401" s="57"/>
      <c r="P401" s="54"/>
      <c r="Q401" s="55"/>
      <c r="R401" s="54"/>
      <c r="S401" s="54"/>
      <c r="T401" s="57"/>
      <c r="U401" s="55"/>
      <c r="V401" s="46"/>
      <c r="W401" s="46"/>
    </row>
    <row r="402" spans="2:23" x14ac:dyDescent="0.2">
      <c r="B402" s="49"/>
      <c r="C402" s="50"/>
      <c r="D402" s="72"/>
      <c r="E402" s="49"/>
      <c r="F402" s="49"/>
      <c r="G402" s="51"/>
      <c r="H402" s="49"/>
      <c r="I402" s="51"/>
      <c r="J402" s="52"/>
      <c r="K402" s="66"/>
      <c r="L402" s="66"/>
      <c r="M402" s="57"/>
      <c r="N402" s="54"/>
      <c r="O402" s="57"/>
      <c r="P402" s="54"/>
      <c r="Q402" s="55"/>
      <c r="R402" s="54"/>
      <c r="S402" s="54"/>
      <c r="T402" s="57"/>
      <c r="U402" s="55"/>
      <c r="V402" s="46"/>
      <c r="W402" s="46"/>
    </row>
    <row r="403" spans="2:23" x14ac:dyDescent="0.2">
      <c r="B403" s="49"/>
      <c r="C403" s="50"/>
      <c r="D403" s="72"/>
      <c r="E403" s="49"/>
      <c r="F403" s="49"/>
      <c r="G403" s="51"/>
      <c r="H403" s="49"/>
      <c r="I403" s="51"/>
      <c r="J403" s="52"/>
      <c r="K403" s="66"/>
      <c r="L403" s="66"/>
      <c r="M403" s="57"/>
      <c r="N403" s="54"/>
      <c r="O403" s="57"/>
      <c r="P403" s="54"/>
      <c r="Q403" s="55"/>
      <c r="R403" s="54"/>
      <c r="S403" s="54"/>
      <c r="T403" s="57"/>
      <c r="U403" s="55"/>
      <c r="V403" s="46"/>
      <c r="W403" s="46"/>
    </row>
    <row r="404" spans="2:23" x14ac:dyDescent="0.2">
      <c r="B404" s="49"/>
      <c r="C404" s="50"/>
      <c r="D404" s="72"/>
      <c r="E404" s="49"/>
      <c r="F404" s="49"/>
      <c r="G404" s="51"/>
      <c r="H404" s="49"/>
      <c r="I404" s="51"/>
      <c r="J404" s="52"/>
      <c r="K404" s="66"/>
      <c r="L404" s="66"/>
      <c r="M404" s="57"/>
      <c r="N404" s="54"/>
      <c r="O404" s="57"/>
      <c r="P404" s="54"/>
      <c r="Q404" s="55"/>
      <c r="R404" s="54"/>
      <c r="S404" s="54"/>
      <c r="T404" s="57"/>
      <c r="U404" s="55"/>
      <c r="V404" s="46"/>
      <c r="W404" s="46"/>
    </row>
    <row r="405" spans="2:23" x14ac:dyDescent="0.2">
      <c r="B405" s="49"/>
      <c r="C405" s="50"/>
      <c r="D405" s="72"/>
      <c r="E405" s="49"/>
      <c r="F405" s="49"/>
      <c r="G405" s="51"/>
      <c r="H405" s="49"/>
      <c r="I405" s="51"/>
      <c r="J405" s="52"/>
      <c r="K405" s="66"/>
      <c r="L405" s="66"/>
      <c r="M405" s="57"/>
      <c r="N405" s="54"/>
      <c r="O405" s="57"/>
      <c r="P405" s="54"/>
      <c r="Q405" s="55"/>
      <c r="R405" s="54"/>
      <c r="S405" s="54"/>
      <c r="T405" s="57"/>
      <c r="U405" s="55"/>
      <c r="V405" s="46"/>
      <c r="W405" s="46"/>
    </row>
    <row r="406" spans="2:23" x14ac:dyDescent="0.2">
      <c r="B406" s="49"/>
      <c r="C406" s="50"/>
      <c r="D406" s="72"/>
      <c r="E406" s="49"/>
      <c r="F406" s="49"/>
      <c r="G406" s="51"/>
      <c r="H406" s="49"/>
      <c r="I406" s="51"/>
      <c r="J406" s="52"/>
      <c r="K406" s="66"/>
      <c r="L406" s="66"/>
      <c r="M406" s="57"/>
      <c r="N406" s="54"/>
      <c r="O406" s="57"/>
      <c r="P406" s="54"/>
      <c r="Q406" s="55"/>
      <c r="R406" s="54"/>
      <c r="S406" s="54"/>
      <c r="T406" s="57"/>
      <c r="U406" s="55"/>
      <c r="V406" s="46"/>
      <c r="W406" s="46"/>
    </row>
    <row r="407" spans="2:23" x14ac:dyDescent="0.2">
      <c r="B407" s="49"/>
      <c r="C407" s="50"/>
      <c r="D407" s="72"/>
      <c r="E407" s="49"/>
      <c r="F407" s="49"/>
      <c r="G407" s="51"/>
      <c r="H407" s="49"/>
      <c r="I407" s="51"/>
      <c r="J407" s="52"/>
      <c r="K407" s="66"/>
      <c r="L407" s="66"/>
      <c r="M407" s="57"/>
      <c r="N407" s="54"/>
      <c r="O407" s="57"/>
      <c r="P407" s="54"/>
      <c r="Q407" s="55"/>
      <c r="R407" s="54"/>
      <c r="S407" s="54"/>
      <c r="T407" s="57"/>
      <c r="U407" s="55"/>
      <c r="V407" s="46"/>
      <c r="W407" s="46"/>
    </row>
    <row r="408" spans="2:23" x14ac:dyDescent="0.2">
      <c r="B408" s="49"/>
      <c r="C408" s="50"/>
      <c r="D408" s="72"/>
      <c r="E408" s="49"/>
      <c r="F408" s="49"/>
      <c r="G408" s="51"/>
      <c r="H408" s="49"/>
      <c r="I408" s="51"/>
      <c r="J408" s="52"/>
      <c r="K408" s="66"/>
      <c r="L408" s="66"/>
      <c r="M408" s="57"/>
      <c r="N408" s="54"/>
      <c r="O408" s="57"/>
      <c r="P408" s="54"/>
      <c r="Q408" s="55"/>
      <c r="R408" s="54"/>
      <c r="S408" s="54"/>
      <c r="T408" s="57"/>
      <c r="U408" s="55"/>
      <c r="V408" s="46"/>
      <c r="W408" s="46"/>
    </row>
    <row r="409" spans="2:23" x14ac:dyDescent="0.2">
      <c r="B409" s="49"/>
      <c r="C409" s="50"/>
      <c r="D409" s="72"/>
      <c r="E409" s="49"/>
      <c r="F409" s="49"/>
      <c r="G409" s="51"/>
      <c r="H409" s="49"/>
      <c r="I409" s="51"/>
      <c r="J409" s="52"/>
      <c r="K409" s="66"/>
      <c r="L409" s="66"/>
      <c r="M409" s="57"/>
      <c r="N409" s="54"/>
      <c r="O409" s="57"/>
      <c r="P409" s="54"/>
      <c r="Q409" s="55"/>
      <c r="R409" s="54"/>
      <c r="S409" s="54"/>
      <c r="T409" s="57"/>
      <c r="U409" s="55"/>
      <c r="V409" s="46"/>
      <c r="W409" s="46"/>
    </row>
    <row r="410" spans="2:23" x14ac:dyDescent="0.2">
      <c r="B410" s="49"/>
      <c r="C410" s="50"/>
      <c r="D410" s="72"/>
      <c r="E410" s="49"/>
      <c r="F410" s="49"/>
      <c r="G410" s="51"/>
      <c r="H410" s="49"/>
      <c r="I410" s="51"/>
      <c r="J410" s="52"/>
      <c r="K410" s="66"/>
      <c r="L410" s="66"/>
      <c r="M410" s="57"/>
      <c r="N410" s="54"/>
      <c r="O410" s="57"/>
      <c r="P410" s="54"/>
      <c r="Q410" s="55"/>
      <c r="R410" s="54"/>
      <c r="S410" s="54"/>
      <c r="T410" s="57"/>
      <c r="U410" s="55"/>
      <c r="V410" s="46"/>
      <c r="W410" s="46"/>
    </row>
    <row r="411" spans="2:23" x14ac:dyDescent="0.2">
      <c r="B411" s="49"/>
      <c r="C411" s="50"/>
      <c r="D411" s="72"/>
      <c r="E411" s="49"/>
      <c r="F411" s="49"/>
      <c r="G411" s="51"/>
      <c r="H411" s="49"/>
      <c r="I411" s="51"/>
      <c r="J411" s="52"/>
      <c r="K411" s="66"/>
      <c r="L411" s="66"/>
      <c r="M411" s="57"/>
      <c r="N411" s="54"/>
      <c r="O411" s="57"/>
      <c r="P411" s="54"/>
      <c r="Q411" s="55"/>
      <c r="R411" s="54"/>
      <c r="S411" s="54"/>
      <c r="T411" s="57"/>
      <c r="U411" s="55"/>
      <c r="V411" s="46"/>
      <c r="W411" s="46"/>
    </row>
    <row r="412" spans="2:23" x14ac:dyDescent="0.2">
      <c r="B412" s="49"/>
      <c r="C412" s="50"/>
      <c r="D412" s="72"/>
      <c r="E412" s="49"/>
      <c r="F412" s="49"/>
      <c r="G412" s="51"/>
      <c r="H412" s="49"/>
      <c r="I412" s="51"/>
      <c r="J412" s="52"/>
      <c r="K412" s="66"/>
      <c r="L412" s="66"/>
      <c r="M412" s="57"/>
      <c r="N412" s="54"/>
      <c r="O412" s="57"/>
      <c r="P412" s="54"/>
      <c r="Q412" s="55"/>
      <c r="R412" s="54"/>
      <c r="S412" s="54"/>
      <c r="T412" s="57"/>
      <c r="U412" s="55"/>
      <c r="V412" s="46"/>
      <c r="W412" s="46"/>
    </row>
    <row r="413" spans="2:23" x14ac:dyDescent="0.2">
      <c r="B413" s="49"/>
      <c r="C413" s="50"/>
      <c r="D413" s="72"/>
      <c r="E413" s="49"/>
      <c r="F413" s="49"/>
      <c r="G413" s="51"/>
      <c r="H413" s="49"/>
      <c r="I413" s="51"/>
      <c r="J413" s="52"/>
      <c r="K413" s="66"/>
      <c r="L413" s="66"/>
      <c r="M413" s="57"/>
      <c r="N413" s="54"/>
      <c r="O413" s="57"/>
      <c r="P413" s="54"/>
      <c r="Q413" s="55"/>
      <c r="R413" s="54"/>
      <c r="S413" s="54"/>
      <c r="T413" s="57"/>
      <c r="U413" s="55"/>
      <c r="V413" s="46"/>
      <c r="W413" s="46"/>
    </row>
    <row r="414" spans="2:23" x14ac:dyDescent="0.2">
      <c r="B414" s="49"/>
      <c r="C414" s="50"/>
      <c r="D414" s="72"/>
      <c r="E414" s="49"/>
      <c r="F414" s="49"/>
      <c r="G414" s="51"/>
      <c r="H414" s="49"/>
      <c r="I414" s="51"/>
      <c r="J414" s="52"/>
      <c r="K414" s="66"/>
      <c r="L414" s="66"/>
      <c r="M414" s="57"/>
      <c r="N414" s="54"/>
      <c r="O414" s="57"/>
      <c r="P414" s="54"/>
      <c r="Q414" s="55"/>
      <c r="R414" s="54"/>
      <c r="S414" s="54"/>
      <c r="T414" s="57"/>
      <c r="U414" s="55"/>
      <c r="V414" s="46"/>
      <c r="W414" s="46"/>
    </row>
    <row r="415" spans="2:23" x14ac:dyDescent="0.2">
      <c r="B415" s="49"/>
      <c r="C415" s="50"/>
      <c r="D415" s="72"/>
      <c r="E415" s="49"/>
      <c r="F415" s="49"/>
      <c r="G415" s="51"/>
      <c r="H415" s="49"/>
      <c r="I415" s="51"/>
      <c r="J415" s="52"/>
      <c r="K415" s="66"/>
      <c r="L415" s="66"/>
      <c r="M415" s="57"/>
      <c r="N415" s="54"/>
      <c r="O415" s="57"/>
      <c r="P415" s="54"/>
      <c r="Q415" s="55"/>
      <c r="R415" s="54"/>
      <c r="S415" s="54"/>
      <c r="T415" s="57"/>
      <c r="U415" s="55"/>
      <c r="V415" s="46"/>
      <c r="W415" s="46"/>
    </row>
    <row r="416" spans="2:23" x14ac:dyDescent="0.2">
      <c r="B416" s="49"/>
      <c r="C416" s="50"/>
      <c r="D416" s="72"/>
      <c r="E416" s="49"/>
      <c r="F416" s="49"/>
      <c r="G416" s="51"/>
      <c r="H416" s="49"/>
      <c r="I416" s="51"/>
      <c r="J416" s="52"/>
      <c r="K416" s="66"/>
      <c r="L416" s="66"/>
      <c r="M416" s="57"/>
      <c r="N416" s="54"/>
      <c r="O416" s="57"/>
      <c r="P416" s="54"/>
      <c r="Q416" s="55"/>
      <c r="R416" s="54"/>
      <c r="S416" s="54"/>
      <c r="T416" s="57"/>
      <c r="U416" s="55"/>
      <c r="V416" s="46"/>
      <c r="W416" s="46"/>
    </row>
    <row r="417" spans="2:23" x14ac:dyDescent="0.2">
      <c r="B417" s="49"/>
      <c r="C417" s="50"/>
      <c r="D417" s="72"/>
      <c r="E417" s="49"/>
      <c r="F417" s="49"/>
      <c r="G417" s="51"/>
      <c r="H417" s="49"/>
      <c r="I417" s="51"/>
      <c r="J417" s="52"/>
      <c r="K417" s="66"/>
      <c r="L417" s="66"/>
      <c r="M417" s="57"/>
      <c r="N417" s="54"/>
      <c r="O417" s="57"/>
      <c r="P417" s="54"/>
      <c r="Q417" s="55"/>
      <c r="R417" s="54"/>
      <c r="S417" s="54"/>
      <c r="T417" s="57"/>
      <c r="U417" s="55"/>
      <c r="V417" s="46"/>
      <c r="W417" s="46"/>
    </row>
    <row r="418" spans="2:23" x14ac:dyDescent="0.2">
      <c r="B418" s="49"/>
      <c r="C418" s="50"/>
      <c r="D418" s="72"/>
      <c r="E418" s="49"/>
      <c r="F418" s="49"/>
      <c r="G418" s="51"/>
      <c r="H418" s="49"/>
      <c r="I418" s="51"/>
      <c r="J418" s="52"/>
      <c r="K418" s="66"/>
      <c r="L418" s="66"/>
      <c r="M418" s="57"/>
      <c r="N418" s="54"/>
      <c r="O418" s="57"/>
      <c r="P418" s="54"/>
      <c r="Q418" s="55"/>
      <c r="R418" s="54"/>
      <c r="S418" s="54"/>
      <c r="T418" s="57"/>
      <c r="U418" s="55"/>
      <c r="V418" s="46"/>
      <c r="W418" s="46"/>
    </row>
    <row r="419" spans="2:23" x14ac:dyDescent="0.2">
      <c r="B419" s="49"/>
      <c r="C419" s="50"/>
      <c r="D419" s="72"/>
      <c r="E419" s="49"/>
      <c r="F419" s="49"/>
      <c r="G419" s="51"/>
      <c r="H419" s="49"/>
      <c r="I419" s="51"/>
      <c r="J419" s="52"/>
      <c r="K419" s="66"/>
      <c r="L419" s="66"/>
      <c r="M419" s="57"/>
      <c r="N419" s="54"/>
      <c r="O419" s="57"/>
      <c r="P419" s="54"/>
      <c r="Q419" s="55"/>
      <c r="R419" s="54"/>
      <c r="S419" s="54"/>
      <c r="T419" s="57"/>
      <c r="U419" s="55"/>
      <c r="V419" s="46"/>
      <c r="W419" s="46"/>
    </row>
    <row r="420" spans="2:23" x14ac:dyDescent="0.2">
      <c r="B420" s="49"/>
      <c r="C420" s="50"/>
      <c r="D420" s="72"/>
      <c r="E420" s="49"/>
      <c r="F420" s="49"/>
      <c r="G420" s="51"/>
      <c r="H420" s="49"/>
      <c r="I420" s="51"/>
      <c r="J420" s="52"/>
      <c r="K420" s="66"/>
      <c r="L420" s="66"/>
      <c r="M420" s="57"/>
      <c r="N420" s="54"/>
      <c r="O420" s="57"/>
      <c r="P420" s="54"/>
      <c r="Q420" s="55"/>
      <c r="R420" s="54"/>
      <c r="S420" s="54"/>
      <c r="T420" s="57"/>
      <c r="U420" s="55"/>
      <c r="V420" s="46"/>
      <c r="W420" s="46"/>
    </row>
    <row r="421" spans="2:23" x14ac:dyDescent="0.2">
      <c r="B421" s="49"/>
      <c r="C421" s="50"/>
      <c r="D421" s="72"/>
      <c r="E421" s="49"/>
      <c r="F421" s="49"/>
      <c r="G421" s="51"/>
      <c r="H421" s="49"/>
      <c r="I421" s="51"/>
      <c r="J421" s="52"/>
      <c r="K421" s="66"/>
      <c r="L421" s="66"/>
      <c r="M421" s="57"/>
      <c r="N421" s="54"/>
      <c r="O421" s="57"/>
      <c r="P421" s="54"/>
      <c r="Q421" s="55"/>
      <c r="R421" s="54"/>
      <c r="S421" s="54"/>
      <c r="T421" s="57"/>
      <c r="U421" s="55"/>
      <c r="V421" s="46"/>
      <c r="W421" s="46"/>
    </row>
    <row r="422" spans="2:23" x14ac:dyDescent="0.2">
      <c r="B422" s="49"/>
      <c r="C422" s="50"/>
      <c r="D422" s="72"/>
      <c r="E422" s="49"/>
      <c r="F422" s="49"/>
      <c r="G422" s="51"/>
      <c r="H422" s="49"/>
      <c r="I422" s="51"/>
      <c r="J422" s="52"/>
      <c r="K422" s="66"/>
      <c r="L422" s="66"/>
      <c r="M422" s="57"/>
      <c r="N422" s="54"/>
      <c r="O422" s="57"/>
      <c r="P422" s="54"/>
      <c r="Q422" s="55"/>
      <c r="R422" s="54"/>
      <c r="S422" s="54"/>
      <c r="T422" s="57"/>
      <c r="U422" s="55"/>
      <c r="V422" s="46"/>
      <c r="W422" s="46"/>
    </row>
    <row r="423" spans="2:23" x14ac:dyDescent="0.2">
      <c r="B423" s="49"/>
      <c r="C423" s="50"/>
      <c r="D423" s="72"/>
      <c r="E423" s="49"/>
      <c r="F423" s="49"/>
      <c r="G423" s="51"/>
      <c r="H423" s="49"/>
      <c r="I423" s="51"/>
      <c r="J423" s="52"/>
      <c r="K423" s="66"/>
      <c r="L423" s="66"/>
      <c r="M423" s="57"/>
      <c r="N423" s="54"/>
      <c r="O423" s="57"/>
      <c r="P423" s="54"/>
      <c r="Q423" s="55"/>
      <c r="R423" s="54"/>
      <c r="S423" s="54"/>
      <c r="T423" s="57"/>
      <c r="U423" s="55"/>
      <c r="V423" s="46"/>
      <c r="W423" s="46"/>
    </row>
    <row r="424" spans="2:23" x14ac:dyDescent="0.2">
      <c r="B424" s="49"/>
      <c r="C424" s="50"/>
      <c r="D424" s="72"/>
      <c r="E424" s="49"/>
      <c r="F424" s="49"/>
      <c r="G424" s="51"/>
      <c r="H424" s="49"/>
      <c r="I424" s="51"/>
      <c r="J424" s="52"/>
      <c r="K424" s="66"/>
      <c r="L424" s="66"/>
      <c r="M424" s="57"/>
      <c r="N424" s="54"/>
      <c r="O424" s="57"/>
      <c r="P424" s="54"/>
      <c r="Q424" s="55"/>
      <c r="R424" s="54"/>
      <c r="S424" s="54"/>
      <c r="T424" s="57"/>
      <c r="U424" s="55"/>
      <c r="V424" s="46"/>
      <c r="W424" s="46"/>
    </row>
    <row r="425" spans="2:23" x14ac:dyDescent="0.2">
      <c r="B425" s="49"/>
      <c r="C425" s="50"/>
      <c r="D425" s="72"/>
      <c r="E425" s="49"/>
      <c r="F425" s="49"/>
      <c r="G425" s="51"/>
      <c r="H425" s="49"/>
      <c r="I425" s="51"/>
      <c r="J425" s="52"/>
      <c r="K425" s="66"/>
      <c r="L425" s="66"/>
      <c r="M425" s="57"/>
      <c r="N425" s="54"/>
      <c r="O425" s="57"/>
      <c r="P425" s="54"/>
      <c r="Q425" s="55"/>
      <c r="R425" s="54"/>
      <c r="S425" s="54"/>
      <c r="T425" s="57"/>
      <c r="U425" s="55"/>
      <c r="V425" s="46"/>
      <c r="W425" s="46"/>
    </row>
    <row r="426" spans="2:23" x14ac:dyDescent="0.2">
      <c r="B426" s="49"/>
      <c r="C426" s="50"/>
      <c r="D426" s="72"/>
      <c r="E426" s="49"/>
      <c r="F426" s="49"/>
      <c r="G426" s="51"/>
      <c r="H426" s="49"/>
      <c r="I426" s="51"/>
      <c r="J426" s="52"/>
      <c r="K426" s="66"/>
      <c r="L426" s="66"/>
      <c r="M426" s="57"/>
      <c r="N426" s="54"/>
      <c r="O426" s="57"/>
      <c r="P426" s="54"/>
      <c r="Q426" s="55"/>
      <c r="R426" s="54"/>
      <c r="S426" s="54"/>
      <c r="T426" s="57"/>
      <c r="U426" s="55"/>
      <c r="V426" s="46"/>
      <c r="W426" s="46"/>
    </row>
    <row r="427" spans="2:23" x14ac:dyDescent="0.2">
      <c r="B427" s="49"/>
      <c r="C427" s="50"/>
      <c r="D427" s="72"/>
      <c r="E427" s="49"/>
      <c r="F427" s="49"/>
      <c r="G427" s="51"/>
      <c r="H427" s="49"/>
      <c r="I427" s="51"/>
      <c r="J427" s="52"/>
      <c r="K427" s="66"/>
      <c r="L427" s="66"/>
      <c r="M427" s="57"/>
      <c r="N427" s="54"/>
      <c r="O427" s="57"/>
      <c r="P427" s="54"/>
      <c r="Q427" s="55"/>
      <c r="R427" s="54"/>
      <c r="S427" s="54"/>
      <c r="T427" s="57"/>
      <c r="U427" s="55"/>
      <c r="V427" s="46"/>
      <c r="W427" s="46"/>
    </row>
    <row r="428" spans="2:23" x14ac:dyDescent="0.2">
      <c r="B428" s="49"/>
      <c r="C428" s="50"/>
      <c r="D428" s="72"/>
      <c r="E428" s="49"/>
      <c r="F428" s="49"/>
      <c r="G428" s="51"/>
      <c r="H428" s="49"/>
      <c r="I428" s="51"/>
      <c r="J428" s="52"/>
      <c r="K428" s="66"/>
      <c r="L428" s="66"/>
      <c r="M428" s="57"/>
      <c r="N428" s="54"/>
      <c r="O428" s="57"/>
      <c r="P428" s="54"/>
      <c r="Q428" s="55"/>
      <c r="R428" s="54"/>
      <c r="S428" s="54"/>
      <c r="T428" s="57"/>
      <c r="U428" s="55"/>
      <c r="V428" s="46"/>
      <c r="W428" s="46"/>
    </row>
    <row r="429" spans="2:23" x14ac:dyDescent="0.2">
      <c r="B429" s="49"/>
      <c r="C429" s="50"/>
      <c r="D429" s="72"/>
      <c r="E429" s="49"/>
      <c r="F429" s="49"/>
      <c r="G429" s="51"/>
      <c r="H429" s="49"/>
      <c r="I429" s="51"/>
      <c r="J429" s="52"/>
      <c r="K429" s="66"/>
      <c r="L429" s="66"/>
      <c r="M429" s="57"/>
      <c r="N429" s="54"/>
      <c r="O429" s="57"/>
      <c r="P429" s="54"/>
      <c r="Q429" s="55"/>
      <c r="R429" s="54"/>
      <c r="S429" s="54"/>
      <c r="T429" s="57"/>
      <c r="U429" s="55"/>
      <c r="V429" s="46"/>
      <c r="W429" s="46"/>
    </row>
    <row r="430" spans="2:23" x14ac:dyDescent="0.2">
      <c r="B430" s="49"/>
      <c r="C430" s="50"/>
      <c r="D430" s="72"/>
      <c r="E430" s="49"/>
      <c r="F430" s="49"/>
      <c r="G430" s="51"/>
      <c r="H430" s="49"/>
      <c r="I430" s="51"/>
      <c r="J430" s="52"/>
      <c r="K430" s="66"/>
      <c r="L430" s="66"/>
      <c r="M430" s="57"/>
      <c r="N430" s="54"/>
      <c r="O430" s="57"/>
      <c r="P430" s="54"/>
      <c r="Q430" s="55"/>
      <c r="R430" s="54"/>
      <c r="S430" s="54"/>
      <c r="T430" s="57"/>
      <c r="U430" s="55"/>
      <c r="V430" s="46"/>
      <c r="W430" s="46"/>
    </row>
    <row r="431" spans="2:23" x14ac:dyDescent="0.2">
      <c r="B431" s="49"/>
      <c r="C431" s="50"/>
      <c r="D431" s="72"/>
      <c r="E431" s="49"/>
      <c r="F431" s="49"/>
      <c r="G431" s="51"/>
      <c r="H431" s="49"/>
      <c r="I431" s="51"/>
      <c r="J431" s="52"/>
      <c r="K431" s="66"/>
      <c r="L431" s="66"/>
      <c r="M431" s="57"/>
      <c r="N431" s="54"/>
      <c r="O431" s="57"/>
      <c r="P431" s="54"/>
      <c r="Q431" s="55"/>
      <c r="R431" s="54"/>
      <c r="S431" s="54"/>
      <c r="T431" s="57"/>
      <c r="U431" s="55"/>
      <c r="V431" s="46"/>
      <c r="W431" s="46"/>
    </row>
    <row r="432" spans="2:23" x14ac:dyDescent="0.2">
      <c r="B432" s="49"/>
      <c r="C432" s="50"/>
      <c r="D432" s="72"/>
      <c r="E432" s="49"/>
      <c r="F432" s="49"/>
      <c r="G432" s="51"/>
      <c r="H432" s="49"/>
      <c r="I432" s="51"/>
      <c r="J432" s="52"/>
      <c r="K432" s="66"/>
      <c r="L432" s="66"/>
      <c r="M432" s="57"/>
      <c r="N432" s="54"/>
      <c r="O432" s="57"/>
      <c r="P432" s="54"/>
      <c r="Q432" s="55"/>
      <c r="R432" s="54"/>
      <c r="S432" s="54"/>
      <c r="T432" s="57"/>
      <c r="U432" s="55"/>
      <c r="V432" s="46"/>
      <c r="W432" s="46"/>
    </row>
    <row r="433" spans="2:23" x14ac:dyDescent="0.2">
      <c r="B433" s="49"/>
      <c r="C433" s="50"/>
      <c r="D433" s="72"/>
      <c r="E433" s="49"/>
      <c r="F433" s="49"/>
      <c r="G433" s="51"/>
      <c r="H433" s="49"/>
      <c r="I433" s="51"/>
      <c r="J433" s="52"/>
      <c r="K433" s="66"/>
      <c r="L433" s="66"/>
      <c r="M433" s="57"/>
      <c r="N433" s="54"/>
      <c r="O433" s="57"/>
      <c r="P433" s="54"/>
      <c r="Q433" s="55"/>
      <c r="R433" s="54"/>
      <c r="S433" s="54"/>
      <c r="T433" s="57"/>
      <c r="U433" s="55"/>
      <c r="V433" s="46"/>
      <c r="W433" s="46"/>
    </row>
    <row r="434" spans="2:23" x14ac:dyDescent="0.2">
      <c r="B434" s="49"/>
      <c r="C434" s="50"/>
      <c r="D434" s="72"/>
      <c r="E434" s="49"/>
      <c r="F434" s="49"/>
      <c r="G434" s="51"/>
      <c r="H434" s="49"/>
      <c r="I434" s="51"/>
      <c r="J434" s="52"/>
      <c r="K434" s="66"/>
      <c r="L434" s="66"/>
      <c r="M434" s="57"/>
      <c r="N434" s="54"/>
      <c r="O434" s="57"/>
      <c r="P434" s="54"/>
      <c r="Q434" s="55"/>
      <c r="R434" s="54"/>
      <c r="S434" s="54"/>
      <c r="T434" s="57"/>
      <c r="U434" s="55"/>
      <c r="V434" s="46"/>
      <c r="W434" s="46"/>
    </row>
    <row r="435" spans="2:23" x14ac:dyDescent="0.2">
      <c r="B435" s="49"/>
      <c r="C435" s="50"/>
      <c r="D435" s="72"/>
      <c r="E435" s="49"/>
      <c r="F435" s="49"/>
      <c r="G435" s="51"/>
      <c r="H435" s="49"/>
      <c r="I435" s="51"/>
      <c r="J435" s="52"/>
      <c r="K435" s="66"/>
      <c r="L435" s="66"/>
      <c r="M435" s="57"/>
      <c r="N435" s="54"/>
      <c r="O435" s="57"/>
      <c r="P435" s="54"/>
      <c r="Q435" s="55"/>
      <c r="R435" s="54"/>
      <c r="S435" s="54"/>
      <c r="T435" s="57"/>
      <c r="U435" s="55"/>
      <c r="V435" s="46"/>
      <c r="W435" s="46"/>
    </row>
    <row r="436" spans="2:23" x14ac:dyDescent="0.2">
      <c r="B436" s="49"/>
      <c r="C436" s="50"/>
      <c r="D436" s="72"/>
      <c r="E436" s="49"/>
      <c r="F436" s="49"/>
      <c r="G436" s="51"/>
      <c r="H436" s="49"/>
      <c r="I436" s="51"/>
      <c r="J436" s="52"/>
      <c r="K436" s="66"/>
      <c r="L436" s="66"/>
      <c r="M436" s="57"/>
      <c r="N436" s="54"/>
      <c r="O436" s="57"/>
      <c r="P436" s="54"/>
      <c r="Q436" s="55"/>
      <c r="R436" s="54"/>
      <c r="S436" s="54"/>
      <c r="T436" s="57"/>
      <c r="U436" s="55"/>
      <c r="V436" s="46"/>
      <c r="W436" s="46"/>
    </row>
    <row r="437" spans="2:23" x14ac:dyDescent="0.2">
      <c r="B437" s="49"/>
      <c r="C437" s="50"/>
      <c r="D437" s="72"/>
      <c r="E437" s="49"/>
      <c r="F437" s="49"/>
      <c r="G437" s="51"/>
      <c r="H437" s="49"/>
      <c r="I437" s="51"/>
      <c r="J437" s="52"/>
      <c r="K437" s="66"/>
      <c r="L437" s="66"/>
      <c r="M437" s="57"/>
      <c r="N437" s="54"/>
      <c r="O437" s="57"/>
      <c r="P437" s="54"/>
      <c r="Q437" s="55"/>
      <c r="R437" s="54"/>
      <c r="S437" s="54"/>
      <c r="T437" s="57"/>
      <c r="U437" s="55"/>
      <c r="V437" s="46"/>
      <c r="W437" s="46"/>
    </row>
    <row r="438" spans="2:23" x14ac:dyDescent="0.2">
      <c r="B438" s="49"/>
      <c r="C438" s="50"/>
      <c r="D438" s="72"/>
      <c r="E438" s="49"/>
      <c r="F438" s="49"/>
      <c r="G438" s="51"/>
      <c r="H438" s="49"/>
      <c r="I438" s="51"/>
      <c r="J438" s="52"/>
      <c r="K438" s="66"/>
      <c r="L438" s="66"/>
      <c r="M438" s="57"/>
      <c r="N438" s="54"/>
      <c r="O438" s="57"/>
      <c r="P438" s="54"/>
      <c r="Q438" s="55"/>
      <c r="R438" s="54"/>
      <c r="S438" s="54"/>
      <c r="T438" s="57"/>
      <c r="U438" s="55"/>
      <c r="V438" s="46"/>
      <c r="W438" s="46"/>
    </row>
    <row r="439" spans="2:23" x14ac:dyDescent="0.2">
      <c r="B439" s="49"/>
      <c r="C439" s="50"/>
      <c r="D439" s="72"/>
      <c r="E439" s="49"/>
      <c r="F439" s="49"/>
      <c r="G439" s="51"/>
      <c r="H439" s="49"/>
      <c r="I439" s="51"/>
      <c r="J439" s="52"/>
      <c r="K439" s="66"/>
      <c r="L439" s="66"/>
      <c r="M439" s="57"/>
      <c r="N439" s="54"/>
      <c r="O439" s="57"/>
      <c r="P439" s="54"/>
      <c r="Q439" s="55"/>
      <c r="R439" s="54"/>
      <c r="S439" s="54"/>
      <c r="T439" s="57"/>
      <c r="U439" s="55"/>
      <c r="V439" s="46"/>
      <c r="W439" s="46"/>
    </row>
    <row r="440" spans="2:23" x14ac:dyDescent="0.2">
      <c r="B440" s="49"/>
      <c r="C440" s="50"/>
      <c r="D440" s="72"/>
      <c r="E440" s="49"/>
      <c r="F440" s="49"/>
      <c r="G440" s="51"/>
      <c r="H440" s="49"/>
      <c r="I440" s="51"/>
      <c r="J440" s="52"/>
      <c r="K440" s="66"/>
      <c r="L440" s="66"/>
      <c r="M440" s="57"/>
      <c r="N440" s="54"/>
      <c r="O440" s="57"/>
      <c r="P440" s="54"/>
      <c r="Q440" s="55"/>
      <c r="R440" s="54"/>
      <c r="S440" s="54"/>
      <c r="T440" s="57"/>
      <c r="U440" s="55"/>
      <c r="V440" s="46"/>
      <c r="W440" s="46"/>
    </row>
    <row r="441" spans="2:23" x14ac:dyDescent="0.2">
      <c r="B441" s="49"/>
      <c r="C441" s="50"/>
      <c r="D441" s="72"/>
      <c r="E441" s="49"/>
      <c r="F441" s="49"/>
      <c r="G441" s="51"/>
      <c r="H441" s="49"/>
      <c r="I441" s="51"/>
      <c r="J441" s="52"/>
      <c r="K441" s="66"/>
      <c r="L441" s="66"/>
      <c r="M441" s="57"/>
      <c r="N441" s="54"/>
      <c r="O441" s="57"/>
      <c r="P441" s="54"/>
      <c r="Q441" s="55"/>
      <c r="R441" s="54"/>
      <c r="S441" s="54"/>
      <c r="T441" s="57"/>
      <c r="U441" s="55"/>
      <c r="V441" s="46"/>
      <c r="W441" s="46"/>
    </row>
    <row r="442" spans="2:23" x14ac:dyDescent="0.2">
      <c r="B442" s="49"/>
      <c r="C442" s="50"/>
      <c r="D442" s="72"/>
      <c r="E442" s="49"/>
      <c r="F442" s="49"/>
      <c r="G442" s="51"/>
      <c r="H442" s="49"/>
      <c r="I442" s="51"/>
      <c r="J442" s="52"/>
      <c r="K442" s="66"/>
      <c r="L442" s="66"/>
      <c r="M442" s="57"/>
      <c r="N442" s="54"/>
      <c r="O442" s="57"/>
      <c r="P442" s="54"/>
      <c r="Q442" s="55"/>
      <c r="R442" s="54"/>
      <c r="S442" s="54"/>
      <c r="T442" s="57"/>
      <c r="U442" s="55"/>
      <c r="V442" s="46"/>
      <c r="W442" s="46"/>
    </row>
    <row r="443" spans="2:23" x14ac:dyDescent="0.2">
      <c r="B443" s="49"/>
      <c r="C443" s="50"/>
      <c r="D443" s="72"/>
      <c r="E443" s="49"/>
      <c r="F443" s="49"/>
      <c r="G443" s="51"/>
      <c r="H443" s="49"/>
      <c r="I443" s="51"/>
      <c r="J443" s="52"/>
      <c r="K443" s="66"/>
      <c r="L443" s="66"/>
      <c r="M443" s="57"/>
      <c r="N443" s="54"/>
      <c r="O443" s="57"/>
      <c r="P443" s="54"/>
      <c r="Q443" s="55"/>
      <c r="R443" s="54"/>
      <c r="S443" s="54"/>
      <c r="T443" s="57"/>
      <c r="U443" s="55"/>
      <c r="V443" s="46"/>
      <c r="W443" s="46"/>
    </row>
    <row r="444" spans="2:23" x14ac:dyDescent="0.2">
      <c r="B444" s="49"/>
      <c r="C444" s="50"/>
      <c r="D444" s="72"/>
      <c r="E444" s="49"/>
      <c r="F444" s="49"/>
      <c r="G444" s="51"/>
      <c r="H444" s="49"/>
      <c r="I444" s="51"/>
      <c r="J444" s="52"/>
      <c r="K444" s="66"/>
      <c r="L444" s="66"/>
      <c r="M444" s="57"/>
      <c r="N444" s="54"/>
      <c r="O444" s="57"/>
      <c r="P444" s="54"/>
      <c r="Q444" s="55"/>
      <c r="R444" s="54"/>
      <c r="S444" s="54"/>
      <c r="T444" s="57"/>
      <c r="U444" s="55"/>
      <c r="V444" s="46"/>
      <c r="W444" s="46"/>
    </row>
    <row r="445" spans="2:23" x14ac:dyDescent="0.2">
      <c r="B445" s="49"/>
      <c r="C445" s="50"/>
      <c r="D445" s="72"/>
      <c r="E445" s="49"/>
      <c r="F445" s="49"/>
      <c r="G445" s="51"/>
      <c r="H445" s="49"/>
      <c r="I445" s="51"/>
      <c r="J445" s="52"/>
      <c r="K445" s="66"/>
      <c r="L445" s="66"/>
      <c r="M445" s="57"/>
      <c r="N445" s="54"/>
      <c r="O445" s="57"/>
      <c r="P445" s="54"/>
      <c r="Q445" s="55"/>
      <c r="R445" s="54"/>
      <c r="S445" s="54"/>
      <c r="T445" s="57"/>
      <c r="U445" s="55"/>
      <c r="V445" s="46"/>
      <c r="W445" s="46"/>
    </row>
    <row r="446" spans="2:23" x14ac:dyDescent="0.2">
      <c r="B446" s="49"/>
      <c r="C446" s="50"/>
      <c r="D446" s="72"/>
      <c r="E446" s="49"/>
      <c r="F446" s="49"/>
      <c r="G446" s="51"/>
      <c r="H446" s="49"/>
      <c r="I446" s="51"/>
      <c r="J446" s="52"/>
      <c r="K446" s="66"/>
      <c r="L446" s="66"/>
      <c r="M446" s="57"/>
      <c r="N446" s="54"/>
      <c r="O446" s="57"/>
      <c r="P446" s="54"/>
      <c r="Q446" s="55"/>
      <c r="R446" s="54"/>
      <c r="S446" s="54"/>
      <c r="T446" s="57"/>
      <c r="U446" s="55"/>
      <c r="V446" s="46"/>
      <c r="W446" s="46"/>
    </row>
    <row r="447" spans="2:23" x14ac:dyDescent="0.2">
      <c r="B447" s="49"/>
      <c r="C447" s="50"/>
      <c r="D447" s="72"/>
      <c r="E447" s="49"/>
      <c r="F447" s="49"/>
      <c r="G447" s="51"/>
      <c r="H447" s="49"/>
      <c r="I447" s="51"/>
      <c r="J447" s="52"/>
      <c r="K447" s="66"/>
      <c r="L447" s="66"/>
      <c r="M447" s="57"/>
      <c r="N447" s="54"/>
      <c r="O447" s="57"/>
      <c r="P447" s="54"/>
      <c r="Q447" s="55"/>
      <c r="R447" s="54"/>
      <c r="S447" s="54"/>
      <c r="T447" s="57"/>
      <c r="U447" s="55"/>
      <c r="V447" s="46"/>
      <c r="W447" s="46"/>
    </row>
    <row r="448" spans="2:23" x14ac:dyDescent="0.2">
      <c r="B448" s="49"/>
      <c r="C448" s="50"/>
      <c r="D448" s="72"/>
      <c r="E448" s="49"/>
      <c r="F448" s="49"/>
      <c r="G448" s="51"/>
      <c r="H448" s="49"/>
      <c r="I448" s="51"/>
      <c r="J448" s="52"/>
      <c r="K448" s="66"/>
      <c r="L448" s="66"/>
      <c r="M448" s="57"/>
      <c r="N448" s="54"/>
      <c r="O448" s="57"/>
      <c r="P448" s="54"/>
      <c r="Q448" s="55"/>
      <c r="R448" s="54"/>
      <c r="S448" s="54"/>
      <c r="T448" s="57"/>
      <c r="U448" s="55"/>
      <c r="V448" s="46"/>
      <c r="W448" s="46"/>
    </row>
    <row r="449" spans="2:23" x14ac:dyDescent="0.2">
      <c r="B449" s="49"/>
      <c r="C449" s="50"/>
      <c r="D449" s="72"/>
      <c r="E449" s="49"/>
      <c r="F449" s="49"/>
      <c r="G449" s="51"/>
      <c r="H449" s="49"/>
      <c r="I449" s="51"/>
      <c r="J449" s="52"/>
      <c r="K449" s="66"/>
      <c r="L449" s="66"/>
      <c r="M449" s="57"/>
      <c r="N449" s="54"/>
      <c r="O449" s="57"/>
      <c r="P449" s="54"/>
      <c r="Q449" s="55"/>
      <c r="R449" s="54"/>
      <c r="S449" s="54"/>
      <c r="T449" s="57"/>
      <c r="U449" s="55"/>
      <c r="V449" s="46"/>
      <c r="W449" s="46"/>
    </row>
    <row r="450" spans="2:23" x14ac:dyDescent="0.2">
      <c r="B450" s="49"/>
      <c r="C450" s="50"/>
      <c r="D450" s="72"/>
      <c r="E450" s="49"/>
      <c r="F450" s="49"/>
      <c r="G450" s="51"/>
      <c r="H450" s="49"/>
      <c r="I450" s="51"/>
      <c r="J450" s="52"/>
      <c r="K450" s="66"/>
      <c r="L450" s="66"/>
      <c r="M450" s="57"/>
      <c r="N450" s="54"/>
      <c r="O450" s="57"/>
      <c r="P450" s="54"/>
      <c r="Q450" s="55"/>
      <c r="R450" s="54"/>
      <c r="S450" s="54"/>
      <c r="T450" s="57"/>
      <c r="U450" s="55"/>
      <c r="V450" s="46"/>
      <c r="W450" s="46"/>
    </row>
    <row r="451" spans="2:23" x14ac:dyDescent="0.2">
      <c r="B451" s="49"/>
      <c r="C451" s="50"/>
      <c r="D451" s="72"/>
      <c r="E451" s="49"/>
      <c r="F451" s="49"/>
      <c r="G451" s="51"/>
      <c r="H451" s="49"/>
      <c r="I451" s="51"/>
      <c r="J451" s="52"/>
      <c r="K451" s="66"/>
      <c r="L451" s="66"/>
      <c r="M451" s="57"/>
      <c r="N451" s="54"/>
      <c r="O451" s="57"/>
      <c r="P451" s="54"/>
      <c r="Q451" s="55"/>
      <c r="R451" s="54"/>
      <c r="S451" s="54"/>
      <c r="T451" s="57"/>
      <c r="U451" s="55"/>
      <c r="V451" s="46"/>
      <c r="W451" s="46"/>
    </row>
    <row r="452" spans="2:23" x14ac:dyDescent="0.2">
      <c r="B452" s="49"/>
      <c r="C452" s="50"/>
      <c r="D452" s="72"/>
      <c r="E452" s="49"/>
      <c r="F452" s="49"/>
      <c r="G452" s="51"/>
      <c r="H452" s="49"/>
      <c r="I452" s="51"/>
      <c r="J452" s="52"/>
      <c r="K452" s="66"/>
      <c r="L452" s="66"/>
      <c r="M452" s="57"/>
      <c r="N452" s="54"/>
      <c r="O452" s="57"/>
      <c r="P452" s="54"/>
      <c r="Q452" s="55"/>
      <c r="R452" s="54"/>
      <c r="S452" s="54"/>
      <c r="T452" s="57"/>
      <c r="U452" s="55"/>
      <c r="V452" s="46"/>
      <c r="W452" s="46"/>
    </row>
    <row r="453" spans="2:23" x14ac:dyDescent="0.2">
      <c r="B453" s="49"/>
      <c r="C453" s="50"/>
      <c r="D453" s="72"/>
      <c r="E453" s="49"/>
      <c r="F453" s="49"/>
      <c r="G453" s="51"/>
      <c r="H453" s="49"/>
      <c r="I453" s="51"/>
      <c r="J453" s="52"/>
      <c r="K453" s="66"/>
      <c r="L453" s="66"/>
      <c r="M453" s="57"/>
      <c r="N453" s="54"/>
      <c r="O453" s="57"/>
      <c r="P453" s="54"/>
      <c r="Q453" s="55"/>
      <c r="R453" s="54"/>
      <c r="S453" s="54"/>
      <c r="T453" s="57"/>
      <c r="U453" s="55"/>
      <c r="V453" s="46"/>
      <c r="W453" s="46"/>
    </row>
    <row r="454" spans="2:23" x14ac:dyDescent="0.2">
      <c r="B454" s="49"/>
      <c r="C454" s="50"/>
      <c r="D454" s="72"/>
      <c r="E454" s="49"/>
      <c r="F454" s="49"/>
      <c r="G454" s="51"/>
      <c r="H454" s="49"/>
      <c r="I454" s="51"/>
      <c r="J454" s="52"/>
      <c r="K454" s="66"/>
      <c r="L454" s="66"/>
      <c r="M454" s="57"/>
      <c r="N454" s="54"/>
      <c r="O454" s="57"/>
      <c r="P454" s="54"/>
      <c r="Q454" s="55"/>
      <c r="R454" s="54"/>
      <c r="S454" s="54"/>
      <c r="T454" s="57"/>
      <c r="U454" s="55"/>
      <c r="V454" s="46"/>
      <c r="W454" s="46"/>
    </row>
    <row r="455" spans="2:23" x14ac:dyDescent="0.2">
      <c r="B455" s="49"/>
      <c r="C455" s="50"/>
      <c r="D455" s="72"/>
      <c r="E455" s="49"/>
      <c r="F455" s="49"/>
      <c r="G455" s="51"/>
      <c r="H455" s="49"/>
      <c r="I455" s="51"/>
      <c r="J455" s="52"/>
      <c r="K455" s="66"/>
      <c r="L455" s="66"/>
      <c r="M455" s="57"/>
      <c r="N455" s="54"/>
      <c r="O455" s="57"/>
      <c r="P455" s="54"/>
      <c r="Q455" s="55"/>
      <c r="R455" s="54"/>
      <c r="S455" s="54"/>
      <c r="T455" s="57"/>
      <c r="U455" s="55"/>
      <c r="V455" s="46"/>
      <c r="W455" s="46"/>
    </row>
    <row r="456" spans="2:23" x14ac:dyDescent="0.2">
      <c r="B456" s="49"/>
      <c r="C456" s="50"/>
      <c r="D456" s="72"/>
      <c r="E456" s="49"/>
      <c r="F456" s="49"/>
      <c r="G456" s="51"/>
      <c r="H456" s="49"/>
      <c r="I456" s="51"/>
      <c r="J456" s="52"/>
      <c r="K456" s="66"/>
      <c r="L456" s="66"/>
      <c r="M456" s="57"/>
      <c r="N456" s="54"/>
      <c r="O456" s="57"/>
      <c r="P456" s="54"/>
      <c r="Q456" s="55"/>
      <c r="R456" s="54"/>
      <c r="S456" s="54"/>
      <c r="T456" s="57"/>
      <c r="U456" s="55"/>
      <c r="V456" s="46"/>
      <c r="W456" s="46"/>
    </row>
    <row r="457" spans="2:23" x14ac:dyDescent="0.2">
      <c r="B457" s="49"/>
      <c r="C457" s="50"/>
      <c r="D457" s="72"/>
      <c r="E457" s="49"/>
      <c r="F457" s="49"/>
      <c r="G457" s="51"/>
      <c r="H457" s="49"/>
      <c r="I457" s="51"/>
      <c r="J457" s="52"/>
      <c r="K457" s="66"/>
      <c r="L457" s="66"/>
      <c r="M457" s="57"/>
      <c r="N457" s="54"/>
      <c r="O457" s="57"/>
      <c r="P457" s="54"/>
      <c r="Q457" s="55"/>
      <c r="R457" s="54"/>
      <c r="S457" s="54"/>
      <c r="T457" s="57"/>
      <c r="U457" s="55"/>
      <c r="V457" s="46"/>
      <c r="W457" s="46"/>
    </row>
    <row r="458" spans="2:23" x14ac:dyDescent="0.2">
      <c r="B458" s="49"/>
      <c r="C458" s="50"/>
      <c r="D458" s="72"/>
      <c r="E458" s="49"/>
      <c r="F458" s="49"/>
      <c r="G458" s="51"/>
      <c r="H458" s="49"/>
      <c r="I458" s="51"/>
      <c r="J458" s="52"/>
      <c r="K458" s="66"/>
      <c r="L458" s="66"/>
      <c r="M458" s="57"/>
      <c r="N458" s="54"/>
      <c r="O458" s="57"/>
      <c r="P458" s="54"/>
      <c r="Q458" s="55"/>
      <c r="R458" s="54"/>
      <c r="S458" s="54"/>
      <c r="T458" s="57"/>
      <c r="U458" s="55"/>
      <c r="V458" s="46"/>
      <c r="W458" s="46"/>
    </row>
    <row r="459" spans="2:23" x14ac:dyDescent="0.2">
      <c r="B459" s="49"/>
      <c r="C459" s="50"/>
      <c r="D459" s="72"/>
      <c r="E459" s="49"/>
      <c r="F459" s="49"/>
      <c r="G459" s="51"/>
      <c r="H459" s="49"/>
      <c r="I459" s="51"/>
      <c r="J459" s="52"/>
      <c r="K459" s="66"/>
      <c r="L459" s="66"/>
      <c r="M459" s="57"/>
      <c r="N459" s="54"/>
      <c r="O459" s="57"/>
      <c r="P459" s="54"/>
      <c r="Q459" s="55"/>
      <c r="R459" s="54"/>
      <c r="S459" s="54"/>
      <c r="T459" s="57"/>
      <c r="U459" s="55"/>
      <c r="V459" s="46"/>
      <c r="W459" s="46"/>
    </row>
    <row r="460" spans="2:23" x14ac:dyDescent="0.2">
      <c r="B460" s="49"/>
      <c r="C460" s="50"/>
      <c r="D460" s="72"/>
      <c r="E460" s="49"/>
      <c r="F460" s="49"/>
      <c r="G460" s="51"/>
      <c r="H460" s="49"/>
      <c r="I460" s="51"/>
      <c r="J460" s="52"/>
      <c r="K460" s="66"/>
      <c r="L460" s="66"/>
      <c r="M460" s="57"/>
      <c r="N460" s="54"/>
      <c r="O460" s="57"/>
      <c r="P460" s="54"/>
      <c r="Q460" s="55"/>
      <c r="R460" s="54"/>
      <c r="S460" s="54"/>
      <c r="T460" s="57"/>
      <c r="U460" s="55"/>
      <c r="V460" s="46"/>
      <c r="W460" s="46"/>
    </row>
    <row r="461" spans="2:23" x14ac:dyDescent="0.2">
      <c r="B461" s="49"/>
      <c r="C461" s="50"/>
      <c r="D461" s="72"/>
      <c r="E461" s="49"/>
      <c r="F461" s="49"/>
      <c r="G461" s="49"/>
      <c r="H461" s="49"/>
      <c r="I461" s="51"/>
      <c r="J461" s="52"/>
      <c r="K461" s="66"/>
      <c r="L461" s="66"/>
      <c r="M461" s="57"/>
      <c r="N461" s="54"/>
      <c r="O461" s="57"/>
      <c r="P461" s="54"/>
      <c r="Q461" s="55"/>
      <c r="R461" s="54"/>
      <c r="S461" s="54"/>
      <c r="T461" s="57"/>
      <c r="U461" s="55"/>
      <c r="V461" s="46"/>
      <c r="W461" s="46"/>
    </row>
    <row r="462" spans="2:23" x14ac:dyDescent="0.2">
      <c r="B462" s="49"/>
      <c r="C462" s="50"/>
      <c r="D462" s="72"/>
      <c r="E462" s="49"/>
      <c r="F462" s="49"/>
      <c r="G462" s="49"/>
      <c r="H462" s="49"/>
      <c r="I462" s="51"/>
      <c r="J462" s="52"/>
      <c r="K462" s="66"/>
      <c r="L462" s="66"/>
      <c r="M462" s="57"/>
      <c r="N462" s="54"/>
      <c r="O462" s="57"/>
      <c r="P462" s="54"/>
      <c r="Q462" s="55"/>
      <c r="R462" s="54"/>
      <c r="S462" s="54"/>
      <c r="T462" s="57"/>
      <c r="U462" s="55"/>
      <c r="V462" s="46"/>
      <c r="W462" s="46"/>
    </row>
    <row r="463" spans="2:23" x14ac:dyDescent="0.2">
      <c r="B463" s="49"/>
      <c r="C463" s="50"/>
      <c r="D463" s="72"/>
      <c r="E463" s="49"/>
      <c r="F463" s="49"/>
      <c r="G463" s="49"/>
      <c r="H463" s="49"/>
      <c r="I463" s="51"/>
      <c r="J463" s="52"/>
      <c r="K463" s="66"/>
      <c r="L463" s="66"/>
      <c r="M463" s="57"/>
      <c r="N463" s="54"/>
      <c r="O463" s="57"/>
      <c r="P463" s="54"/>
      <c r="Q463" s="55"/>
      <c r="R463" s="54"/>
      <c r="S463" s="54"/>
      <c r="T463" s="57"/>
      <c r="U463" s="55"/>
      <c r="V463" s="46"/>
      <c r="W463" s="46"/>
    </row>
    <row r="464" spans="2:23" x14ac:dyDescent="0.2">
      <c r="B464" s="49"/>
      <c r="C464" s="50"/>
      <c r="D464" s="72"/>
      <c r="E464" s="49"/>
      <c r="F464" s="49"/>
      <c r="G464" s="49"/>
      <c r="H464" s="49"/>
      <c r="I464" s="51"/>
      <c r="J464" s="52"/>
      <c r="K464" s="66"/>
      <c r="L464" s="66"/>
      <c r="M464" s="57"/>
      <c r="N464" s="54"/>
      <c r="O464" s="57"/>
      <c r="P464" s="54"/>
      <c r="Q464" s="55"/>
      <c r="R464" s="54"/>
      <c r="S464" s="54"/>
      <c r="T464" s="57"/>
      <c r="U464" s="55"/>
      <c r="V464" s="46"/>
      <c r="W464" s="46"/>
    </row>
    <row r="465" spans="2:23" x14ac:dyDescent="0.2">
      <c r="B465" s="49"/>
      <c r="C465" s="50"/>
      <c r="D465" s="72"/>
      <c r="E465" s="49"/>
      <c r="F465" s="49"/>
      <c r="G465" s="49"/>
      <c r="H465" s="49"/>
      <c r="I465" s="51"/>
      <c r="J465" s="52"/>
      <c r="K465" s="66"/>
      <c r="L465" s="66"/>
      <c r="M465" s="57"/>
      <c r="N465" s="54"/>
      <c r="O465" s="57"/>
      <c r="P465" s="54"/>
      <c r="Q465" s="55"/>
      <c r="R465" s="54"/>
      <c r="S465" s="54"/>
      <c r="T465" s="57"/>
      <c r="U465" s="55"/>
      <c r="V465" s="46"/>
      <c r="W465" s="46"/>
    </row>
    <row r="466" spans="2:23" x14ac:dyDescent="0.2">
      <c r="B466" s="49"/>
      <c r="C466" s="50"/>
      <c r="D466" s="72"/>
      <c r="E466" s="49"/>
      <c r="F466" s="49"/>
      <c r="G466" s="49"/>
      <c r="H466" s="49"/>
      <c r="I466" s="51"/>
      <c r="J466" s="52"/>
      <c r="K466" s="66"/>
      <c r="L466" s="66"/>
      <c r="M466" s="57"/>
      <c r="N466" s="54"/>
      <c r="O466" s="57"/>
      <c r="P466" s="54"/>
      <c r="Q466" s="55"/>
      <c r="R466" s="54"/>
      <c r="S466" s="54"/>
      <c r="T466" s="57"/>
      <c r="U466" s="55"/>
      <c r="V466" s="46"/>
      <c r="W466" s="46"/>
    </row>
    <row r="467" spans="2:23" x14ac:dyDescent="0.2">
      <c r="B467" s="49"/>
      <c r="C467" s="50"/>
      <c r="D467" s="72"/>
      <c r="E467" s="49"/>
      <c r="F467" s="49"/>
      <c r="G467" s="49"/>
      <c r="H467" s="49"/>
      <c r="I467" s="51"/>
      <c r="J467" s="52"/>
      <c r="K467" s="66"/>
      <c r="L467" s="66"/>
      <c r="M467" s="57"/>
      <c r="N467" s="54"/>
      <c r="O467" s="57"/>
      <c r="P467" s="54"/>
      <c r="Q467" s="55"/>
      <c r="R467" s="54"/>
      <c r="S467" s="54"/>
      <c r="T467" s="57"/>
      <c r="U467" s="55"/>
      <c r="V467" s="46"/>
      <c r="W467" s="46"/>
    </row>
    <row r="468" spans="2:23" x14ac:dyDescent="0.2">
      <c r="B468" s="49"/>
      <c r="C468" s="50"/>
      <c r="D468" s="72"/>
      <c r="E468" s="49"/>
      <c r="F468" s="49"/>
      <c r="G468" s="49"/>
      <c r="H468" s="49"/>
      <c r="I468" s="51"/>
      <c r="J468" s="52"/>
      <c r="K468" s="66"/>
      <c r="L468" s="66"/>
      <c r="M468" s="57"/>
      <c r="N468" s="54"/>
      <c r="O468" s="57"/>
      <c r="P468" s="54"/>
      <c r="Q468" s="55"/>
      <c r="R468" s="54"/>
      <c r="S468" s="54"/>
      <c r="T468" s="57"/>
      <c r="U468" s="55"/>
      <c r="V468" s="46"/>
      <c r="W468" s="46"/>
    </row>
    <row r="469" spans="2:23" x14ac:dyDescent="0.2">
      <c r="B469" s="49"/>
      <c r="C469" s="50"/>
      <c r="D469" s="72"/>
      <c r="E469" s="49"/>
      <c r="F469" s="49"/>
      <c r="G469" s="49"/>
      <c r="H469" s="49"/>
      <c r="I469" s="51"/>
      <c r="J469" s="52"/>
      <c r="K469" s="66"/>
      <c r="L469" s="66"/>
      <c r="M469" s="57"/>
      <c r="N469" s="54"/>
      <c r="O469" s="57"/>
      <c r="P469" s="54"/>
      <c r="Q469" s="55"/>
      <c r="R469" s="54"/>
      <c r="S469" s="54"/>
      <c r="T469" s="57"/>
      <c r="U469" s="55"/>
      <c r="V469" s="46"/>
      <c r="W469" s="46"/>
    </row>
    <row r="470" spans="2:23" x14ac:dyDescent="0.2">
      <c r="B470" s="49"/>
      <c r="C470" s="50"/>
      <c r="D470" s="72"/>
      <c r="E470" s="49"/>
      <c r="F470" s="49"/>
      <c r="G470" s="49"/>
      <c r="H470" s="49"/>
      <c r="I470" s="51"/>
      <c r="J470" s="52"/>
      <c r="K470" s="66"/>
      <c r="L470" s="66"/>
      <c r="M470" s="57"/>
      <c r="N470" s="54"/>
      <c r="O470" s="57"/>
      <c r="P470" s="54"/>
      <c r="Q470" s="55"/>
      <c r="R470" s="54"/>
      <c r="S470" s="54"/>
      <c r="T470" s="57"/>
      <c r="U470" s="55"/>
      <c r="V470" s="46"/>
      <c r="W470" s="46"/>
    </row>
    <row r="471" spans="2:23" x14ac:dyDescent="0.2">
      <c r="B471" s="49"/>
      <c r="C471" s="50"/>
      <c r="D471" s="72"/>
      <c r="E471" s="49"/>
      <c r="F471" s="49"/>
      <c r="G471" s="49"/>
      <c r="H471" s="49"/>
      <c r="I471" s="51"/>
      <c r="J471" s="52"/>
      <c r="K471" s="66"/>
      <c r="L471" s="66"/>
      <c r="M471" s="57"/>
      <c r="N471" s="54"/>
      <c r="O471" s="57"/>
      <c r="P471" s="54"/>
      <c r="Q471" s="55"/>
      <c r="R471" s="54"/>
      <c r="S471" s="54"/>
      <c r="T471" s="57"/>
      <c r="U471" s="55"/>
      <c r="V471" s="46"/>
      <c r="W471" s="46"/>
    </row>
    <row r="472" spans="2:23" x14ac:dyDescent="0.2">
      <c r="B472" s="49"/>
      <c r="C472" s="50"/>
      <c r="D472" s="72"/>
      <c r="E472" s="49"/>
      <c r="F472" s="49"/>
      <c r="G472" s="49"/>
      <c r="H472" s="49"/>
      <c r="I472" s="51"/>
      <c r="J472" s="52"/>
      <c r="K472" s="66"/>
      <c r="L472" s="66"/>
      <c r="M472" s="57"/>
      <c r="N472" s="54"/>
      <c r="O472" s="57"/>
      <c r="P472" s="54"/>
      <c r="Q472" s="55"/>
      <c r="R472" s="54"/>
      <c r="S472" s="54"/>
      <c r="T472" s="57"/>
      <c r="U472" s="55"/>
      <c r="V472" s="46"/>
      <c r="W472" s="46"/>
    </row>
    <row r="473" spans="2:23" x14ac:dyDescent="0.2">
      <c r="B473" s="49"/>
      <c r="C473" s="50"/>
      <c r="D473" s="72"/>
      <c r="E473" s="49"/>
      <c r="F473" s="49"/>
      <c r="G473" s="49"/>
      <c r="H473" s="49"/>
      <c r="I473" s="51"/>
      <c r="J473" s="52"/>
      <c r="K473" s="66"/>
      <c r="L473" s="66"/>
      <c r="M473" s="57"/>
      <c r="N473" s="54"/>
      <c r="O473" s="57"/>
      <c r="P473" s="54"/>
      <c r="Q473" s="55"/>
      <c r="R473" s="54"/>
      <c r="S473" s="54"/>
      <c r="T473" s="57"/>
      <c r="U473" s="55"/>
      <c r="V473" s="46"/>
      <c r="W473" s="46"/>
    </row>
    <row r="474" spans="2:23" x14ac:dyDescent="0.2">
      <c r="B474" s="49"/>
      <c r="C474" s="50"/>
      <c r="D474" s="72"/>
      <c r="E474" s="49"/>
      <c r="F474" s="49"/>
      <c r="G474" s="49"/>
      <c r="H474" s="49"/>
      <c r="I474" s="51"/>
      <c r="J474" s="52"/>
      <c r="K474" s="66"/>
      <c r="L474" s="66"/>
      <c r="M474" s="57"/>
      <c r="N474" s="54"/>
      <c r="O474" s="57"/>
      <c r="P474" s="54"/>
      <c r="Q474" s="55"/>
      <c r="R474" s="54"/>
      <c r="S474" s="54"/>
      <c r="T474" s="57"/>
      <c r="U474" s="55"/>
      <c r="V474" s="46"/>
      <c r="W474" s="46"/>
    </row>
    <row r="475" spans="2:23" x14ac:dyDescent="0.2">
      <c r="B475" s="49"/>
      <c r="C475" s="50"/>
      <c r="D475" s="72"/>
      <c r="E475" s="49"/>
      <c r="F475" s="49"/>
      <c r="G475" s="49"/>
      <c r="H475" s="49"/>
      <c r="I475" s="51"/>
      <c r="J475" s="52"/>
      <c r="K475" s="66"/>
      <c r="L475" s="66"/>
      <c r="M475" s="57"/>
      <c r="N475" s="54"/>
      <c r="O475" s="57"/>
      <c r="P475" s="54"/>
      <c r="Q475" s="55"/>
      <c r="R475" s="54"/>
      <c r="S475" s="54"/>
      <c r="T475" s="57"/>
      <c r="U475" s="55"/>
      <c r="V475" s="46"/>
      <c r="W475" s="46"/>
    </row>
    <row r="476" spans="2:23" x14ac:dyDescent="0.2">
      <c r="B476" s="49"/>
      <c r="C476" s="50"/>
      <c r="D476" s="72"/>
      <c r="E476" s="49"/>
      <c r="F476" s="49"/>
      <c r="G476" s="49"/>
      <c r="H476" s="49"/>
      <c r="I476" s="51"/>
      <c r="J476" s="52"/>
      <c r="K476" s="66"/>
      <c r="L476" s="66"/>
      <c r="M476" s="57"/>
      <c r="N476" s="54"/>
      <c r="O476" s="57"/>
      <c r="P476" s="54"/>
      <c r="Q476" s="55"/>
      <c r="R476" s="54"/>
      <c r="S476" s="54"/>
      <c r="T476" s="57"/>
      <c r="U476" s="55"/>
      <c r="V476" s="46"/>
      <c r="W476" s="46"/>
    </row>
    <row r="477" spans="2:23" x14ac:dyDescent="0.2">
      <c r="B477" s="49"/>
      <c r="C477" s="50"/>
      <c r="D477" s="72"/>
      <c r="E477" s="49"/>
      <c r="F477" s="49"/>
      <c r="G477" s="49"/>
      <c r="H477" s="49"/>
      <c r="I477" s="51"/>
      <c r="J477" s="52"/>
      <c r="K477" s="66"/>
      <c r="L477" s="66"/>
      <c r="M477" s="57"/>
      <c r="N477" s="54"/>
      <c r="O477" s="57"/>
      <c r="P477" s="54"/>
      <c r="Q477" s="55"/>
      <c r="R477" s="54"/>
      <c r="S477" s="54"/>
      <c r="T477" s="57"/>
      <c r="U477" s="55"/>
      <c r="V477" s="46"/>
      <c r="W477" s="46"/>
    </row>
    <row r="478" spans="2:23" x14ac:dyDescent="0.2">
      <c r="B478" s="49"/>
      <c r="C478" s="50"/>
      <c r="D478" s="72"/>
      <c r="E478" s="49"/>
      <c r="F478" s="49"/>
      <c r="G478" s="49"/>
      <c r="H478" s="49"/>
      <c r="I478" s="51"/>
      <c r="J478" s="52"/>
      <c r="K478" s="66"/>
      <c r="L478" s="66"/>
      <c r="M478" s="57"/>
      <c r="N478" s="54"/>
      <c r="O478" s="57"/>
      <c r="P478" s="54"/>
      <c r="Q478" s="55"/>
      <c r="R478" s="54"/>
      <c r="S478" s="54"/>
      <c r="T478" s="57"/>
      <c r="U478" s="55"/>
      <c r="V478" s="46"/>
      <c r="W478" s="46"/>
    </row>
    <row r="479" spans="2:23" x14ac:dyDescent="0.2">
      <c r="B479" s="49"/>
      <c r="C479" s="50"/>
      <c r="D479" s="72"/>
      <c r="E479" s="49"/>
      <c r="F479" s="49"/>
      <c r="G479" s="49"/>
      <c r="H479" s="49"/>
      <c r="I479" s="51"/>
      <c r="J479" s="52"/>
      <c r="K479" s="66"/>
      <c r="L479" s="66"/>
      <c r="M479" s="57"/>
      <c r="N479" s="54"/>
      <c r="O479" s="57"/>
      <c r="P479" s="54"/>
      <c r="Q479" s="55"/>
      <c r="R479" s="54"/>
      <c r="S479" s="54"/>
      <c r="T479" s="57"/>
      <c r="U479" s="55"/>
      <c r="V479" s="46"/>
      <c r="W479" s="46"/>
    </row>
    <row r="480" spans="2:23" x14ac:dyDescent="0.2">
      <c r="B480" s="49"/>
      <c r="C480" s="50"/>
      <c r="D480" s="72"/>
      <c r="E480" s="49"/>
      <c r="F480" s="49"/>
      <c r="G480" s="49"/>
      <c r="H480" s="49"/>
      <c r="I480" s="51"/>
      <c r="J480" s="52"/>
      <c r="K480" s="66"/>
      <c r="L480" s="66"/>
      <c r="M480" s="57"/>
      <c r="N480" s="54"/>
      <c r="O480" s="57"/>
      <c r="P480" s="54"/>
      <c r="Q480" s="55"/>
      <c r="R480" s="54"/>
      <c r="S480" s="54"/>
      <c r="T480" s="57"/>
      <c r="U480" s="55"/>
      <c r="V480" s="46"/>
      <c r="W480" s="46"/>
    </row>
    <row r="481" spans="2:23" x14ac:dyDescent="0.2">
      <c r="B481" s="49"/>
      <c r="C481" s="50"/>
      <c r="D481" s="72"/>
      <c r="E481" s="49"/>
      <c r="F481" s="49"/>
      <c r="G481" s="49"/>
      <c r="H481" s="49"/>
      <c r="I481" s="51"/>
      <c r="J481" s="52"/>
      <c r="K481" s="66"/>
      <c r="L481" s="66"/>
      <c r="M481" s="57"/>
      <c r="N481" s="54"/>
      <c r="O481" s="57"/>
      <c r="P481" s="54"/>
      <c r="Q481" s="55"/>
      <c r="R481" s="54"/>
      <c r="S481" s="54"/>
      <c r="T481" s="57"/>
      <c r="U481" s="55"/>
      <c r="V481" s="46"/>
      <c r="W481" s="46"/>
    </row>
    <row r="482" spans="2:23" x14ac:dyDescent="0.2">
      <c r="B482" s="49"/>
      <c r="C482" s="50"/>
      <c r="D482" s="72"/>
      <c r="E482" s="49"/>
      <c r="F482" s="49"/>
      <c r="G482" s="49"/>
      <c r="H482" s="49"/>
      <c r="I482" s="51"/>
      <c r="J482" s="52"/>
      <c r="K482" s="66"/>
      <c r="L482" s="66"/>
      <c r="M482" s="57"/>
      <c r="N482" s="54"/>
      <c r="O482" s="57"/>
      <c r="P482" s="54"/>
      <c r="Q482" s="55"/>
      <c r="R482" s="54"/>
      <c r="S482" s="54"/>
      <c r="T482" s="57"/>
      <c r="U482" s="55"/>
      <c r="V482" s="46"/>
      <c r="W482" s="46"/>
    </row>
    <row r="483" spans="2:23" x14ac:dyDescent="0.2">
      <c r="B483" s="49"/>
      <c r="C483" s="50"/>
      <c r="D483" s="72"/>
      <c r="E483" s="49"/>
      <c r="F483" s="49"/>
      <c r="G483" s="49"/>
      <c r="H483" s="49"/>
      <c r="I483" s="51"/>
      <c r="J483" s="52"/>
      <c r="K483" s="66"/>
      <c r="L483" s="66"/>
      <c r="M483" s="57"/>
      <c r="N483" s="54"/>
      <c r="O483" s="57"/>
      <c r="P483" s="54"/>
      <c r="Q483" s="55"/>
      <c r="R483" s="54"/>
      <c r="S483" s="54"/>
      <c r="T483" s="57"/>
      <c r="U483" s="55"/>
      <c r="V483" s="46"/>
      <c r="W483" s="46"/>
    </row>
    <row r="484" spans="2:23" x14ac:dyDescent="0.2">
      <c r="B484" s="49"/>
      <c r="C484" s="50"/>
      <c r="D484" s="72"/>
      <c r="E484" s="49"/>
      <c r="F484" s="49"/>
      <c r="G484" s="49"/>
      <c r="H484" s="49"/>
      <c r="I484" s="51"/>
      <c r="J484" s="52"/>
      <c r="K484" s="66"/>
      <c r="L484" s="66"/>
      <c r="M484" s="57"/>
      <c r="N484" s="54"/>
      <c r="O484" s="57"/>
      <c r="P484" s="54"/>
      <c r="Q484" s="55"/>
      <c r="R484" s="54"/>
      <c r="S484" s="54"/>
      <c r="T484" s="57"/>
      <c r="U484" s="55"/>
      <c r="V484" s="46"/>
      <c r="W484" s="46"/>
    </row>
    <row r="485" spans="2:23" x14ac:dyDescent="0.2">
      <c r="B485" s="49"/>
      <c r="C485" s="50"/>
      <c r="D485" s="72"/>
      <c r="E485" s="49"/>
      <c r="F485" s="49"/>
      <c r="G485" s="49"/>
      <c r="H485" s="49"/>
      <c r="I485" s="51"/>
      <c r="J485" s="52"/>
      <c r="K485" s="66"/>
      <c r="L485" s="66"/>
      <c r="M485" s="57"/>
      <c r="N485" s="54"/>
      <c r="O485" s="57"/>
      <c r="P485" s="54"/>
      <c r="Q485" s="55"/>
      <c r="R485" s="54"/>
      <c r="S485" s="54"/>
      <c r="T485" s="57"/>
      <c r="U485" s="55"/>
      <c r="V485" s="46"/>
      <c r="W485" s="46"/>
    </row>
    <row r="486" spans="2:23" x14ac:dyDescent="0.2">
      <c r="B486" s="49"/>
      <c r="C486" s="50"/>
      <c r="D486" s="72"/>
      <c r="E486" s="49"/>
      <c r="F486" s="49"/>
      <c r="G486" s="49"/>
      <c r="H486" s="49"/>
      <c r="I486" s="51"/>
      <c r="J486" s="52"/>
      <c r="K486" s="66"/>
      <c r="L486" s="66"/>
      <c r="M486" s="57"/>
      <c r="N486" s="54"/>
      <c r="O486" s="57"/>
      <c r="P486" s="54"/>
      <c r="Q486" s="55"/>
      <c r="R486" s="54"/>
      <c r="S486" s="54"/>
      <c r="T486" s="57"/>
      <c r="U486" s="55"/>
      <c r="V486" s="46"/>
      <c r="W486" s="46"/>
    </row>
    <row r="487" spans="2:23" x14ac:dyDescent="0.2">
      <c r="B487" s="49"/>
      <c r="C487" s="50"/>
      <c r="D487" s="72"/>
      <c r="E487" s="49"/>
      <c r="F487" s="49"/>
      <c r="G487" s="49"/>
      <c r="H487" s="49"/>
      <c r="I487" s="51"/>
      <c r="J487" s="52"/>
      <c r="K487" s="66"/>
      <c r="L487" s="66"/>
      <c r="M487" s="57"/>
      <c r="N487" s="54"/>
      <c r="O487" s="57"/>
      <c r="P487" s="54"/>
      <c r="Q487" s="55"/>
      <c r="R487" s="54"/>
      <c r="S487" s="54"/>
      <c r="T487" s="57"/>
      <c r="U487" s="55"/>
      <c r="V487" s="46"/>
      <c r="W487" s="46"/>
    </row>
    <row r="488" spans="2:23" x14ac:dyDescent="0.2">
      <c r="B488" s="49"/>
      <c r="C488" s="50"/>
      <c r="D488" s="72"/>
      <c r="E488" s="49"/>
      <c r="F488" s="49"/>
      <c r="G488" s="49"/>
      <c r="H488" s="49"/>
      <c r="I488" s="51"/>
      <c r="J488" s="52"/>
      <c r="K488" s="66"/>
      <c r="L488" s="66"/>
      <c r="M488" s="57"/>
      <c r="N488" s="54"/>
      <c r="O488" s="57"/>
      <c r="P488" s="54"/>
      <c r="Q488" s="55"/>
      <c r="R488" s="54"/>
      <c r="S488" s="54"/>
      <c r="T488" s="57"/>
      <c r="U488" s="55"/>
      <c r="V488" s="46"/>
      <c r="W488" s="46"/>
    </row>
    <row r="489" spans="2:23" x14ac:dyDescent="0.2">
      <c r="B489" s="49"/>
      <c r="C489" s="50"/>
      <c r="D489" s="72"/>
      <c r="E489" s="49"/>
      <c r="F489" s="49"/>
      <c r="G489" s="49"/>
      <c r="H489" s="49"/>
      <c r="I489" s="51"/>
      <c r="J489" s="52"/>
      <c r="K489" s="66"/>
      <c r="L489" s="66"/>
      <c r="M489" s="57"/>
      <c r="N489" s="54"/>
      <c r="O489" s="57"/>
      <c r="P489" s="54"/>
      <c r="Q489" s="55"/>
      <c r="R489" s="54"/>
      <c r="S489" s="54"/>
      <c r="T489" s="57"/>
      <c r="U489" s="55"/>
      <c r="V489" s="46"/>
      <c r="W489" s="46"/>
    </row>
    <row r="490" spans="2:23" x14ac:dyDescent="0.2">
      <c r="B490" s="49"/>
      <c r="C490" s="50"/>
      <c r="D490" s="72"/>
      <c r="E490" s="49"/>
      <c r="F490" s="49"/>
      <c r="G490" s="49"/>
      <c r="H490" s="49"/>
      <c r="I490" s="51"/>
      <c r="J490" s="52"/>
      <c r="K490" s="66"/>
      <c r="L490" s="66"/>
      <c r="M490" s="57"/>
      <c r="N490" s="54"/>
      <c r="O490" s="57"/>
      <c r="P490" s="54"/>
      <c r="Q490" s="55"/>
      <c r="R490" s="54"/>
      <c r="S490" s="54"/>
      <c r="T490" s="57"/>
      <c r="U490" s="55"/>
      <c r="V490" s="46"/>
      <c r="W490" s="46"/>
    </row>
    <row r="491" spans="2:23" x14ac:dyDescent="0.2">
      <c r="B491" s="49"/>
      <c r="C491" s="50"/>
      <c r="D491" s="72"/>
      <c r="E491" s="49"/>
      <c r="F491" s="49"/>
      <c r="G491" s="49"/>
      <c r="H491" s="49"/>
      <c r="I491" s="51"/>
      <c r="J491" s="52"/>
      <c r="K491" s="66"/>
      <c r="L491" s="66"/>
      <c r="M491" s="57"/>
      <c r="N491" s="54"/>
      <c r="O491" s="57"/>
      <c r="P491" s="54"/>
      <c r="Q491" s="55"/>
      <c r="R491" s="54"/>
      <c r="S491" s="54"/>
      <c r="T491" s="57"/>
      <c r="U491" s="55"/>
      <c r="V491" s="46"/>
      <c r="W491" s="46"/>
    </row>
    <row r="492" spans="2:23" x14ac:dyDescent="0.2">
      <c r="B492" s="49"/>
      <c r="C492" s="50"/>
      <c r="D492" s="72"/>
      <c r="E492" s="49"/>
      <c r="F492" s="49"/>
      <c r="G492" s="49"/>
      <c r="H492" s="49"/>
      <c r="I492" s="51"/>
      <c r="J492" s="52"/>
      <c r="K492" s="66"/>
      <c r="L492" s="66"/>
      <c r="M492" s="57"/>
      <c r="N492" s="54"/>
      <c r="O492" s="57"/>
      <c r="P492" s="54"/>
      <c r="Q492" s="55"/>
      <c r="R492" s="54"/>
      <c r="S492" s="54"/>
      <c r="T492" s="57"/>
      <c r="U492" s="55"/>
      <c r="V492" s="46"/>
      <c r="W492" s="46"/>
    </row>
    <row r="493" spans="2:23" x14ac:dyDescent="0.2">
      <c r="B493" s="49"/>
      <c r="C493" s="50"/>
      <c r="D493" s="72"/>
      <c r="E493" s="49"/>
      <c r="F493" s="49"/>
      <c r="G493" s="49"/>
      <c r="H493" s="49"/>
      <c r="I493" s="51"/>
      <c r="J493" s="52"/>
      <c r="K493" s="66"/>
      <c r="L493" s="66"/>
      <c r="M493" s="57"/>
      <c r="N493" s="54"/>
      <c r="O493" s="57"/>
      <c r="P493" s="54"/>
      <c r="Q493" s="55"/>
      <c r="R493" s="54"/>
      <c r="S493" s="54"/>
      <c r="T493" s="57"/>
      <c r="U493" s="55"/>
      <c r="V493" s="46"/>
      <c r="W493" s="46"/>
    </row>
    <row r="494" spans="2:23" x14ac:dyDescent="0.2">
      <c r="B494" s="49"/>
      <c r="C494" s="50"/>
      <c r="D494" s="72"/>
      <c r="E494" s="49"/>
      <c r="F494" s="49"/>
      <c r="G494" s="49"/>
      <c r="H494" s="49"/>
      <c r="I494" s="51"/>
      <c r="J494" s="52"/>
      <c r="K494" s="66"/>
      <c r="L494" s="66"/>
      <c r="M494" s="57"/>
      <c r="N494" s="54"/>
      <c r="O494" s="57"/>
      <c r="P494" s="54"/>
      <c r="Q494" s="55"/>
      <c r="R494" s="54"/>
      <c r="S494" s="54"/>
      <c r="T494" s="57"/>
      <c r="U494" s="55"/>
      <c r="V494" s="46"/>
      <c r="W494" s="46"/>
    </row>
    <row r="495" spans="2:23" x14ac:dyDescent="0.2">
      <c r="B495" s="49"/>
      <c r="C495" s="50"/>
      <c r="D495" s="72"/>
      <c r="E495" s="49"/>
      <c r="F495" s="49"/>
      <c r="G495" s="49"/>
      <c r="H495" s="49"/>
      <c r="I495" s="51"/>
      <c r="J495" s="52"/>
      <c r="K495" s="66"/>
      <c r="L495" s="66"/>
      <c r="M495" s="57"/>
      <c r="N495" s="54"/>
      <c r="O495" s="57"/>
      <c r="P495" s="54"/>
      <c r="Q495" s="55"/>
      <c r="R495" s="54"/>
      <c r="S495" s="54"/>
      <c r="T495" s="57"/>
      <c r="U495" s="55"/>
      <c r="V495" s="46"/>
      <c r="W495" s="46"/>
    </row>
    <row r="496" spans="2:23" x14ac:dyDescent="0.2">
      <c r="B496" s="49"/>
      <c r="C496" s="50"/>
      <c r="D496" s="72"/>
      <c r="E496" s="49"/>
      <c r="F496" s="49"/>
      <c r="G496" s="49"/>
      <c r="H496" s="49"/>
      <c r="I496" s="51"/>
      <c r="J496" s="52"/>
      <c r="K496" s="66"/>
      <c r="L496" s="66"/>
      <c r="M496" s="57"/>
      <c r="N496" s="54"/>
      <c r="O496" s="57"/>
      <c r="P496" s="54"/>
      <c r="Q496" s="55"/>
      <c r="R496" s="54"/>
      <c r="S496" s="54"/>
      <c r="T496" s="57"/>
      <c r="U496" s="55"/>
      <c r="V496" s="46"/>
      <c r="W496" s="46"/>
    </row>
    <row r="497" spans="2:23" x14ac:dyDescent="0.2">
      <c r="B497" s="49"/>
      <c r="C497" s="50"/>
      <c r="D497" s="72"/>
      <c r="E497" s="49"/>
      <c r="F497" s="49"/>
      <c r="G497" s="49"/>
      <c r="H497" s="49"/>
      <c r="I497" s="51"/>
      <c r="J497" s="52"/>
      <c r="K497" s="66"/>
      <c r="L497" s="66"/>
      <c r="M497" s="57"/>
      <c r="N497" s="54"/>
      <c r="O497" s="57"/>
      <c r="P497" s="54"/>
      <c r="Q497" s="55"/>
      <c r="R497" s="54"/>
      <c r="S497" s="54"/>
      <c r="T497" s="57"/>
      <c r="U497" s="55"/>
      <c r="V497" s="46"/>
      <c r="W497" s="46"/>
    </row>
    <row r="498" spans="2:23" x14ac:dyDescent="0.2">
      <c r="B498" s="49"/>
      <c r="C498" s="50"/>
      <c r="D498" s="72"/>
      <c r="E498" s="49"/>
      <c r="F498" s="49"/>
      <c r="G498" s="49"/>
      <c r="H498" s="49"/>
      <c r="I498" s="51"/>
      <c r="J498" s="52"/>
      <c r="K498" s="66"/>
      <c r="L498" s="66"/>
      <c r="M498" s="57"/>
      <c r="N498" s="54"/>
      <c r="O498" s="57"/>
      <c r="P498" s="54"/>
      <c r="Q498" s="55"/>
      <c r="R498" s="54"/>
      <c r="S498" s="54"/>
      <c r="T498" s="57"/>
      <c r="U498" s="55"/>
      <c r="V498" s="46"/>
      <c r="W498" s="46"/>
    </row>
    <row r="499" spans="2:23" x14ac:dyDescent="0.2">
      <c r="B499" s="49"/>
      <c r="C499" s="50"/>
      <c r="D499" s="72"/>
      <c r="E499" s="49"/>
      <c r="F499" s="49"/>
      <c r="G499" s="49"/>
      <c r="H499" s="49"/>
      <c r="I499" s="51"/>
      <c r="J499" s="52"/>
      <c r="K499" s="66"/>
      <c r="L499" s="66"/>
      <c r="M499" s="57"/>
      <c r="N499" s="54"/>
      <c r="O499" s="57"/>
      <c r="P499" s="54"/>
      <c r="Q499" s="55"/>
      <c r="R499" s="54"/>
      <c r="S499" s="54"/>
      <c r="T499" s="57"/>
      <c r="U499" s="55"/>
      <c r="V499" s="46"/>
      <c r="W499" s="46"/>
    </row>
    <row r="500" spans="2:23" x14ac:dyDescent="0.2">
      <c r="B500" s="49"/>
      <c r="C500" s="50"/>
      <c r="D500" s="72"/>
      <c r="E500" s="49"/>
      <c r="F500" s="49"/>
      <c r="G500" s="49"/>
      <c r="H500" s="49"/>
      <c r="I500" s="51"/>
      <c r="J500" s="52"/>
      <c r="K500" s="66"/>
      <c r="L500" s="66"/>
      <c r="M500" s="57"/>
      <c r="N500" s="54"/>
      <c r="O500" s="57"/>
      <c r="P500" s="54"/>
      <c r="Q500" s="55"/>
      <c r="R500" s="54"/>
      <c r="S500" s="54"/>
      <c r="T500" s="57"/>
      <c r="U500" s="55"/>
      <c r="V500" s="46"/>
      <c r="W500" s="46"/>
    </row>
    <row r="501" spans="2:23" x14ac:dyDescent="0.2">
      <c r="B501" s="49"/>
      <c r="C501" s="50"/>
      <c r="D501" s="72"/>
      <c r="E501" s="49"/>
      <c r="F501" s="49"/>
      <c r="G501" s="49"/>
      <c r="H501" s="49"/>
      <c r="I501" s="51"/>
      <c r="J501" s="52"/>
      <c r="K501" s="66"/>
      <c r="L501" s="66"/>
      <c r="M501" s="57"/>
      <c r="N501" s="54"/>
      <c r="O501" s="57"/>
      <c r="P501" s="54"/>
      <c r="Q501" s="55"/>
      <c r="R501" s="54"/>
      <c r="S501" s="54"/>
      <c r="T501" s="57"/>
      <c r="U501" s="55"/>
      <c r="V501" s="46"/>
      <c r="W501" s="46"/>
    </row>
    <row r="502" spans="2:23" x14ac:dyDescent="0.2">
      <c r="B502" s="49"/>
      <c r="C502" s="50"/>
      <c r="D502" s="72"/>
      <c r="E502" s="49"/>
      <c r="F502" s="49"/>
      <c r="G502" s="49"/>
      <c r="H502" s="49"/>
      <c r="I502" s="51"/>
      <c r="J502" s="52"/>
      <c r="K502" s="66"/>
      <c r="L502" s="66"/>
      <c r="M502" s="57"/>
      <c r="N502" s="54"/>
      <c r="O502" s="57"/>
      <c r="P502" s="54"/>
      <c r="Q502" s="55"/>
      <c r="R502" s="54"/>
      <c r="S502" s="54"/>
      <c r="T502" s="57"/>
      <c r="U502" s="55"/>
      <c r="V502" s="46"/>
      <c r="W502" s="46"/>
    </row>
    <row r="503" spans="2:23" x14ac:dyDescent="0.2">
      <c r="B503" s="49"/>
      <c r="C503" s="50"/>
      <c r="D503" s="72"/>
      <c r="E503" s="49"/>
      <c r="F503" s="49"/>
      <c r="G503" s="49"/>
      <c r="H503" s="49"/>
      <c r="I503" s="51"/>
      <c r="J503" s="52"/>
      <c r="K503" s="66"/>
      <c r="L503" s="66"/>
      <c r="M503" s="57"/>
      <c r="N503" s="54"/>
      <c r="O503" s="57"/>
      <c r="P503" s="54"/>
      <c r="Q503" s="55"/>
      <c r="R503" s="54"/>
      <c r="S503" s="54"/>
      <c r="T503" s="57"/>
      <c r="U503" s="55"/>
      <c r="V503" s="46"/>
      <c r="W503" s="46"/>
    </row>
    <row r="504" spans="2:23" x14ac:dyDescent="0.2">
      <c r="B504" s="49"/>
      <c r="C504" s="50"/>
      <c r="D504" s="72"/>
      <c r="E504" s="49"/>
      <c r="F504" s="49"/>
      <c r="G504" s="49"/>
      <c r="H504" s="49"/>
      <c r="I504" s="51"/>
      <c r="J504" s="52"/>
      <c r="K504" s="66"/>
      <c r="L504" s="66"/>
      <c r="M504" s="57"/>
      <c r="N504" s="54"/>
      <c r="O504" s="57"/>
      <c r="P504" s="54"/>
      <c r="Q504" s="55"/>
      <c r="R504" s="54"/>
      <c r="S504" s="54"/>
      <c r="T504" s="57"/>
      <c r="U504" s="55"/>
      <c r="V504" s="46"/>
      <c r="W504" s="46"/>
    </row>
    <row r="505" spans="2:23" x14ac:dyDescent="0.2">
      <c r="B505" s="49"/>
      <c r="C505" s="50"/>
      <c r="D505" s="72"/>
      <c r="E505" s="49"/>
      <c r="F505" s="49"/>
      <c r="G505" s="49"/>
      <c r="H505" s="49"/>
      <c r="I505" s="51"/>
      <c r="J505" s="52"/>
      <c r="K505" s="66"/>
      <c r="L505" s="66"/>
      <c r="M505" s="57"/>
      <c r="N505" s="54"/>
      <c r="O505" s="57"/>
      <c r="P505" s="54"/>
      <c r="Q505" s="55"/>
      <c r="R505" s="54"/>
      <c r="S505" s="54"/>
      <c r="T505" s="57"/>
      <c r="U505" s="55"/>
      <c r="V505" s="46"/>
      <c r="W505" s="46"/>
    </row>
    <row r="506" spans="2:23" x14ac:dyDescent="0.2">
      <c r="B506" s="49"/>
      <c r="C506" s="50"/>
      <c r="D506" s="72"/>
      <c r="E506" s="49"/>
      <c r="F506" s="49"/>
      <c r="G506" s="49"/>
      <c r="H506" s="49"/>
      <c r="I506" s="51"/>
      <c r="J506" s="52"/>
      <c r="K506" s="66"/>
      <c r="L506" s="66"/>
      <c r="M506" s="57"/>
      <c r="N506" s="54"/>
      <c r="O506" s="57"/>
      <c r="P506" s="54"/>
      <c r="Q506" s="55"/>
      <c r="R506" s="54"/>
      <c r="S506" s="54"/>
      <c r="T506" s="57"/>
      <c r="U506" s="55"/>
      <c r="V506" s="46"/>
      <c r="W506" s="46"/>
    </row>
    <row r="507" spans="2:23" x14ac:dyDescent="0.2">
      <c r="B507" s="49"/>
      <c r="C507" s="50"/>
      <c r="D507" s="72"/>
      <c r="E507" s="49"/>
      <c r="F507" s="49"/>
      <c r="G507" s="49"/>
      <c r="H507" s="49"/>
      <c r="I507" s="51"/>
      <c r="J507" s="52"/>
      <c r="K507" s="66"/>
      <c r="L507" s="66"/>
      <c r="M507" s="57"/>
      <c r="N507" s="54"/>
      <c r="O507" s="57"/>
      <c r="P507" s="54"/>
      <c r="Q507" s="55"/>
      <c r="R507" s="54"/>
      <c r="S507" s="54"/>
      <c r="T507" s="57"/>
      <c r="U507" s="55"/>
      <c r="V507" s="46"/>
      <c r="W507" s="46"/>
    </row>
    <row r="508" spans="2:23" x14ac:dyDescent="0.2">
      <c r="B508" s="49"/>
      <c r="C508" s="50"/>
      <c r="D508" s="72"/>
      <c r="E508" s="49"/>
      <c r="F508" s="49"/>
      <c r="G508" s="49"/>
      <c r="H508" s="49"/>
      <c r="I508" s="51"/>
      <c r="J508" s="52"/>
      <c r="K508" s="66"/>
      <c r="L508" s="66"/>
      <c r="M508" s="57"/>
      <c r="N508" s="54"/>
      <c r="O508" s="57"/>
      <c r="P508" s="54"/>
      <c r="Q508" s="55"/>
      <c r="R508" s="54"/>
      <c r="S508" s="54"/>
      <c r="T508" s="57"/>
      <c r="U508" s="55"/>
      <c r="V508" s="46"/>
      <c r="W508" s="46"/>
    </row>
    <row r="509" spans="2:23" x14ac:dyDescent="0.2">
      <c r="B509" s="49"/>
      <c r="C509" s="50"/>
      <c r="D509" s="72"/>
      <c r="E509" s="49"/>
      <c r="F509" s="49"/>
      <c r="G509" s="49"/>
      <c r="H509" s="49"/>
      <c r="I509" s="51"/>
      <c r="J509" s="52"/>
      <c r="K509" s="66"/>
      <c r="L509" s="66"/>
      <c r="M509" s="57"/>
      <c r="N509" s="54"/>
      <c r="O509" s="57"/>
      <c r="P509" s="54"/>
      <c r="Q509" s="55"/>
      <c r="R509" s="54"/>
      <c r="S509" s="54"/>
      <c r="T509" s="57"/>
      <c r="U509" s="55"/>
      <c r="V509" s="46"/>
      <c r="W509" s="46"/>
    </row>
    <row r="510" spans="2:23" x14ac:dyDescent="0.2">
      <c r="B510" s="49"/>
      <c r="C510" s="50"/>
      <c r="D510" s="72"/>
      <c r="E510" s="49"/>
      <c r="F510" s="49"/>
      <c r="G510" s="49"/>
      <c r="H510" s="49"/>
      <c r="I510" s="51"/>
      <c r="J510" s="52"/>
      <c r="K510" s="66"/>
      <c r="L510" s="66"/>
      <c r="M510" s="57"/>
      <c r="N510" s="54"/>
      <c r="O510" s="57"/>
      <c r="P510" s="54"/>
      <c r="Q510" s="55"/>
      <c r="R510" s="54"/>
      <c r="S510" s="54"/>
      <c r="T510" s="57"/>
      <c r="U510" s="55"/>
      <c r="V510" s="46"/>
      <c r="W510" s="46"/>
    </row>
    <row r="511" spans="2:23" x14ac:dyDescent="0.2">
      <c r="B511" s="49"/>
      <c r="C511" s="50"/>
      <c r="D511" s="72"/>
      <c r="E511" s="49"/>
      <c r="F511" s="49"/>
      <c r="G511" s="49"/>
      <c r="H511" s="49"/>
      <c r="I511" s="51"/>
      <c r="J511" s="52"/>
      <c r="K511" s="66"/>
      <c r="L511" s="66"/>
      <c r="M511" s="57"/>
      <c r="N511" s="54"/>
      <c r="O511" s="57"/>
      <c r="P511" s="54"/>
      <c r="Q511" s="55"/>
      <c r="R511" s="54"/>
      <c r="S511" s="54"/>
      <c r="T511" s="57"/>
      <c r="U511" s="55"/>
      <c r="V511" s="46"/>
      <c r="W511" s="46"/>
    </row>
    <row r="512" spans="2:23" x14ac:dyDescent="0.2">
      <c r="B512" s="49"/>
      <c r="C512" s="50"/>
      <c r="D512" s="72"/>
      <c r="E512" s="49"/>
      <c r="F512" s="49"/>
      <c r="G512" s="49"/>
      <c r="H512" s="49"/>
      <c r="I512" s="51"/>
      <c r="J512" s="52"/>
      <c r="K512" s="66"/>
      <c r="L512" s="66"/>
      <c r="M512" s="57"/>
      <c r="N512" s="54"/>
      <c r="O512" s="57"/>
      <c r="P512" s="54"/>
      <c r="Q512" s="55"/>
      <c r="R512" s="54"/>
      <c r="S512" s="54"/>
      <c r="T512" s="57"/>
      <c r="U512" s="55"/>
      <c r="V512" s="46"/>
      <c r="W512" s="46"/>
    </row>
    <row r="513" spans="2:23" x14ac:dyDescent="0.2">
      <c r="B513" s="49"/>
      <c r="C513" s="50"/>
      <c r="D513" s="72"/>
      <c r="E513" s="49"/>
      <c r="F513" s="49"/>
      <c r="G513" s="49"/>
      <c r="H513" s="49"/>
      <c r="I513" s="51"/>
      <c r="J513" s="52"/>
      <c r="K513" s="66"/>
      <c r="L513" s="66"/>
      <c r="M513" s="57"/>
      <c r="N513" s="54"/>
      <c r="O513" s="57"/>
      <c r="P513" s="54"/>
      <c r="Q513" s="55"/>
      <c r="R513" s="54"/>
      <c r="S513" s="54"/>
      <c r="T513" s="57"/>
      <c r="U513" s="55"/>
      <c r="V513" s="46"/>
      <c r="W513" s="46"/>
    </row>
    <row r="514" spans="2:23" x14ac:dyDescent="0.2">
      <c r="B514" s="49"/>
      <c r="C514" s="50"/>
      <c r="D514" s="72"/>
      <c r="E514" s="49"/>
      <c r="F514" s="49"/>
      <c r="G514" s="49"/>
      <c r="H514" s="49"/>
      <c r="I514" s="51"/>
      <c r="J514" s="52"/>
      <c r="K514" s="66"/>
      <c r="L514" s="66"/>
      <c r="M514" s="57"/>
      <c r="N514" s="54"/>
      <c r="O514" s="57"/>
      <c r="P514" s="54"/>
      <c r="Q514" s="55"/>
      <c r="R514" s="54"/>
      <c r="S514" s="54"/>
      <c r="T514" s="57"/>
      <c r="U514" s="55"/>
      <c r="V514" s="46"/>
      <c r="W514" s="46"/>
    </row>
    <row r="515" spans="2:23" x14ac:dyDescent="0.2">
      <c r="B515" s="49"/>
      <c r="C515" s="50"/>
      <c r="D515" s="72"/>
      <c r="E515" s="49"/>
      <c r="F515" s="49"/>
      <c r="G515" s="49"/>
      <c r="H515" s="49"/>
      <c r="I515" s="51"/>
      <c r="J515" s="52"/>
      <c r="K515" s="66"/>
      <c r="L515" s="66"/>
      <c r="M515" s="57"/>
      <c r="N515" s="54"/>
      <c r="O515" s="57"/>
      <c r="P515" s="54"/>
      <c r="Q515" s="55"/>
      <c r="R515" s="54"/>
      <c r="S515" s="54"/>
      <c r="T515" s="57"/>
      <c r="U515" s="55"/>
      <c r="V515" s="46"/>
      <c r="W515" s="46"/>
    </row>
    <row r="516" spans="2:23" x14ac:dyDescent="0.2">
      <c r="B516" s="49"/>
      <c r="C516" s="50"/>
      <c r="D516" s="72"/>
      <c r="E516" s="49"/>
      <c r="F516" s="49"/>
      <c r="G516" s="49"/>
      <c r="H516" s="49"/>
      <c r="I516" s="51"/>
      <c r="J516" s="52"/>
      <c r="K516" s="66"/>
      <c r="L516" s="66"/>
      <c r="M516" s="57"/>
      <c r="N516" s="54"/>
      <c r="O516" s="57"/>
      <c r="P516" s="54"/>
      <c r="Q516" s="55"/>
      <c r="R516" s="54"/>
      <c r="S516" s="54"/>
      <c r="T516" s="57"/>
      <c r="U516" s="55"/>
      <c r="V516" s="46"/>
      <c r="W516" s="46"/>
    </row>
    <row r="517" spans="2:23" x14ac:dyDescent="0.2">
      <c r="B517" s="49"/>
      <c r="C517" s="50"/>
      <c r="D517" s="72"/>
      <c r="E517" s="49"/>
      <c r="F517" s="49"/>
      <c r="G517" s="49"/>
      <c r="H517" s="49"/>
      <c r="I517" s="51"/>
      <c r="J517" s="52"/>
      <c r="K517" s="66"/>
      <c r="L517" s="66"/>
      <c r="M517" s="57"/>
      <c r="N517" s="54"/>
      <c r="O517" s="57"/>
      <c r="P517" s="54"/>
      <c r="Q517" s="55"/>
      <c r="R517" s="54"/>
      <c r="S517" s="54"/>
      <c r="T517" s="57"/>
      <c r="U517" s="55"/>
      <c r="V517" s="46"/>
      <c r="W517" s="46"/>
    </row>
    <row r="518" spans="2:23" x14ac:dyDescent="0.2">
      <c r="B518" s="49"/>
      <c r="C518" s="50"/>
      <c r="D518" s="72"/>
      <c r="E518" s="49"/>
      <c r="F518" s="49"/>
      <c r="G518" s="49"/>
      <c r="H518" s="49"/>
      <c r="I518" s="51"/>
      <c r="J518" s="52"/>
      <c r="K518" s="66"/>
      <c r="L518" s="66"/>
      <c r="M518" s="57"/>
      <c r="N518" s="54"/>
      <c r="O518" s="57"/>
      <c r="P518" s="54"/>
      <c r="Q518" s="55"/>
      <c r="R518" s="54"/>
      <c r="S518" s="54"/>
      <c r="T518" s="57"/>
      <c r="U518" s="55"/>
    </row>
    <row r="519" spans="2:23" x14ac:dyDescent="0.2">
      <c r="B519" s="49"/>
      <c r="C519" s="50"/>
      <c r="D519" s="72"/>
      <c r="E519" s="49"/>
      <c r="F519" s="49"/>
      <c r="G519" s="49"/>
      <c r="H519" s="49"/>
      <c r="I519" s="51"/>
      <c r="J519" s="52"/>
      <c r="K519" s="66"/>
      <c r="L519" s="66"/>
      <c r="M519" s="57"/>
      <c r="N519" s="54"/>
      <c r="O519" s="57"/>
      <c r="P519" s="54"/>
      <c r="Q519" s="55"/>
      <c r="R519" s="54"/>
      <c r="S519" s="54"/>
      <c r="T519" s="57"/>
      <c r="U519" s="55"/>
    </row>
    <row r="520" spans="2:23" x14ac:dyDescent="0.2">
      <c r="B520" s="49"/>
      <c r="C520" s="50"/>
      <c r="D520" s="72"/>
      <c r="E520" s="49"/>
      <c r="F520" s="49"/>
      <c r="G520" s="49"/>
      <c r="H520" s="49"/>
      <c r="I520" s="51"/>
      <c r="J520" s="52"/>
      <c r="K520" s="66"/>
      <c r="L520" s="66"/>
      <c r="M520" s="57"/>
      <c r="N520" s="54"/>
      <c r="O520" s="57"/>
      <c r="P520" s="54"/>
      <c r="Q520" s="55"/>
      <c r="R520" s="54"/>
      <c r="S520" s="54"/>
      <c r="T520" s="57"/>
      <c r="U520" s="55"/>
    </row>
    <row r="521" spans="2:23" x14ac:dyDescent="0.2">
      <c r="B521" s="49"/>
      <c r="C521" s="50"/>
      <c r="D521" s="72"/>
      <c r="E521" s="49"/>
      <c r="F521" s="49"/>
      <c r="G521" s="49"/>
      <c r="H521" s="49"/>
      <c r="I521" s="51"/>
      <c r="J521" s="52"/>
      <c r="K521" s="66"/>
      <c r="L521" s="66"/>
      <c r="M521" s="57"/>
      <c r="N521" s="54"/>
      <c r="O521" s="57"/>
      <c r="P521" s="54"/>
      <c r="Q521" s="55"/>
      <c r="R521" s="54"/>
      <c r="S521" s="54"/>
      <c r="T521" s="57"/>
      <c r="U521" s="55"/>
    </row>
    <row r="522" spans="2:23" x14ac:dyDescent="0.2">
      <c r="B522" s="49"/>
      <c r="C522" s="50"/>
      <c r="D522" s="72"/>
      <c r="E522" s="49"/>
      <c r="F522" s="49"/>
      <c r="G522" s="49"/>
      <c r="H522" s="49"/>
      <c r="I522" s="51"/>
      <c r="J522" s="52"/>
      <c r="K522" s="66"/>
      <c r="L522" s="66"/>
      <c r="M522" s="57"/>
      <c r="N522" s="54"/>
      <c r="O522" s="57"/>
      <c r="P522" s="54"/>
      <c r="Q522" s="55"/>
      <c r="R522" s="54"/>
      <c r="S522" s="54"/>
      <c r="T522" s="57"/>
      <c r="U522" s="55"/>
    </row>
    <row r="523" spans="2:23" x14ac:dyDescent="0.2">
      <c r="B523" s="49"/>
      <c r="C523" s="50"/>
      <c r="D523" s="72"/>
      <c r="E523" s="49"/>
      <c r="F523" s="49"/>
      <c r="G523" s="49"/>
      <c r="H523" s="49"/>
      <c r="I523" s="51"/>
      <c r="J523" s="52"/>
      <c r="K523" s="66"/>
      <c r="L523" s="66"/>
      <c r="M523" s="57"/>
      <c r="N523" s="54"/>
      <c r="O523" s="57"/>
      <c r="P523" s="54"/>
      <c r="Q523" s="55"/>
      <c r="R523" s="54"/>
      <c r="S523" s="54"/>
      <c r="T523" s="57"/>
      <c r="U523" s="55"/>
    </row>
    <row r="524" spans="2:23" x14ac:dyDescent="0.2">
      <c r="B524" s="49"/>
      <c r="C524" s="50"/>
      <c r="D524" s="72"/>
      <c r="E524" s="49"/>
      <c r="F524" s="49"/>
      <c r="G524" s="49"/>
      <c r="H524" s="49"/>
      <c r="I524" s="51"/>
      <c r="J524" s="52"/>
      <c r="K524" s="66"/>
      <c r="L524" s="66"/>
      <c r="M524" s="57"/>
      <c r="N524" s="54"/>
      <c r="O524" s="57"/>
      <c r="P524" s="54"/>
      <c r="Q524" s="55"/>
      <c r="R524" s="54"/>
      <c r="S524" s="54"/>
      <c r="T524" s="57"/>
      <c r="U524" s="55"/>
    </row>
    <row r="525" spans="2:23" x14ac:dyDescent="0.2">
      <c r="B525" s="49"/>
      <c r="C525" s="50"/>
      <c r="D525" s="72"/>
      <c r="E525" s="49"/>
      <c r="F525" s="49"/>
      <c r="G525" s="49"/>
      <c r="H525" s="49"/>
      <c r="I525" s="51"/>
      <c r="J525" s="52"/>
      <c r="K525" s="66"/>
      <c r="L525" s="66"/>
      <c r="M525" s="57"/>
      <c r="N525" s="54"/>
      <c r="O525" s="57"/>
      <c r="P525" s="54"/>
      <c r="Q525" s="55"/>
      <c r="R525" s="54"/>
      <c r="S525" s="54"/>
      <c r="T525" s="57"/>
      <c r="U525" s="55"/>
    </row>
    <row r="526" spans="2:23" x14ac:dyDescent="0.2">
      <c r="B526" s="49"/>
      <c r="C526" s="50"/>
      <c r="D526" s="72"/>
      <c r="E526" s="49"/>
      <c r="F526" s="49"/>
      <c r="G526" s="49"/>
      <c r="H526" s="49"/>
      <c r="I526" s="51"/>
      <c r="J526" s="52"/>
      <c r="K526" s="66"/>
      <c r="L526" s="66"/>
      <c r="M526" s="57"/>
      <c r="N526" s="54"/>
      <c r="O526" s="57"/>
      <c r="P526" s="54"/>
      <c r="Q526" s="55"/>
      <c r="R526" s="54"/>
      <c r="S526" s="54"/>
      <c r="T526" s="57"/>
      <c r="U526" s="55"/>
    </row>
    <row r="527" spans="2:23" x14ac:dyDescent="0.2">
      <c r="B527" s="49"/>
      <c r="C527" s="50"/>
      <c r="D527" s="72"/>
      <c r="E527" s="49"/>
      <c r="F527" s="49"/>
      <c r="G527" s="49"/>
      <c r="H527" s="49"/>
      <c r="I527" s="51"/>
      <c r="J527" s="52"/>
      <c r="K527" s="66"/>
      <c r="L527" s="66"/>
      <c r="M527" s="57"/>
      <c r="N527" s="54"/>
      <c r="O527" s="57"/>
      <c r="P527" s="54"/>
      <c r="Q527" s="55"/>
      <c r="R527" s="54"/>
      <c r="S527" s="54"/>
      <c r="T527" s="57"/>
      <c r="U527" s="55"/>
    </row>
    <row r="528" spans="2:23" x14ac:dyDescent="0.2">
      <c r="B528" s="49"/>
      <c r="C528" s="50"/>
      <c r="D528" s="72"/>
      <c r="E528" s="49"/>
      <c r="F528" s="49"/>
      <c r="G528" s="49"/>
      <c r="H528" s="49"/>
      <c r="I528" s="51"/>
      <c r="J528" s="52"/>
      <c r="K528" s="66"/>
      <c r="L528" s="66"/>
      <c r="M528" s="57"/>
      <c r="N528" s="54"/>
      <c r="O528" s="57"/>
      <c r="P528" s="54"/>
      <c r="Q528" s="55"/>
      <c r="R528" s="54"/>
      <c r="S528" s="54"/>
      <c r="T528" s="57"/>
      <c r="U528" s="55"/>
    </row>
    <row r="529" spans="2:21" x14ac:dyDescent="0.2">
      <c r="B529" s="49"/>
      <c r="C529" s="50"/>
      <c r="D529" s="72"/>
      <c r="E529" s="49"/>
      <c r="F529" s="49"/>
      <c r="G529" s="49"/>
      <c r="H529" s="49"/>
      <c r="I529" s="51"/>
      <c r="J529" s="52"/>
      <c r="K529" s="66"/>
      <c r="L529" s="66"/>
      <c r="M529" s="57"/>
      <c r="N529" s="54"/>
      <c r="O529" s="57"/>
      <c r="P529" s="54"/>
      <c r="Q529" s="55"/>
      <c r="R529" s="54"/>
      <c r="S529" s="54"/>
      <c r="T529" s="57"/>
      <c r="U529" s="55"/>
    </row>
    <row r="530" spans="2:21" x14ac:dyDescent="0.2">
      <c r="B530" s="49"/>
      <c r="C530" s="50"/>
      <c r="D530" s="72"/>
      <c r="E530" s="49"/>
      <c r="F530" s="49"/>
      <c r="G530" s="49"/>
      <c r="H530" s="49"/>
      <c r="I530" s="51"/>
      <c r="J530" s="52"/>
      <c r="K530" s="66"/>
      <c r="L530" s="66"/>
      <c r="M530" s="57"/>
      <c r="N530" s="54"/>
      <c r="O530" s="57"/>
      <c r="P530" s="54"/>
      <c r="Q530" s="55"/>
      <c r="R530" s="54"/>
      <c r="S530" s="54"/>
      <c r="T530" s="57"/>
      <c r="U530" s="55"/>
    </row>
    <row r="531" spans="2:21" x14ac:dyDescent="0.2">
      <c r="B531" s="49"/>
      <c r="C531" s="50"/>
      <c r="D531" s="72"/>
      <c r="E531" s="49"/>
      <c r="F531" s="49"/>
      <c r="G531" s="49"/>
      <c r="H531" s="49"/>
      <c r="I531" s="51"/>
      <c r="J531" s="52"/>
      <c r="K531" s="66"/>
      <c r="L531" s="66"/>
      <c r="M531" s="57"/>
      <c r="N531" s="54"/>
      <c r="O531" s="57"/>
      <c r="P531" s="54"/>
      <c r="Q531" s="55"/>
      <c r="R531" s="54"/>
      <c r="S531" s="54"/>
      <c r="T531" s="57"/>
      <c r="U531" s="55"/>
    </row>
    <row r="532" spans="2:21" x14ac:dyDescent="0.2">
      <c r="B532" s="49"/>
      <c r="C532" s="50"/>
      <c r="D532" s="72"/>
      <c r="E532" s="49"/>
      <c r="F532" s="49"/>
      <c r="G532" s="49"/>
      <c r="H532" s="49"/>
      <c r="I532" s="51"/>
      <c r="J532" s="52"/>
      <c r="K532" s="66"/>
      <c r="L532" s="66"/>
      <c r="M532" s="57"/>
      <c r="N532" s="54"/>
      <c r="O532" s="57"/>
      <c r="P532" s="54"/>
      <c r="Q532" s="55"/>
      <c r="R532" s="54"/>
      <c r="S532" s="54"/>
      <c r="T532" s="57"/>
      <c r="U532" s="55"/>
    </row>
    <row r="533" spans="2:21" x14ac:dyDescent="0.2">
      <c r="B533" s="49"/>
      <c r="C533" s="50"/>
      <c r="D533" s="72"/>
      <c r="E533" s="49"/>
      <c r="F533" s="49"/>
      <c r="G533" s="49"/>
      <c r="H533" s="49"/>
      <c r="I533" s="51"/>
      <c r="J533" s="52"/>
      <c r="K533" s="66"/>
      <c r="L533" s="66"/>
      <c r="M533" s="57"/>
      <c r="N533" s="54"/>
      <c r="O533" s="57"/>
      <c r="P533" s="54"/>
      <c r="Q533" s="55"/>
      <c r="R533" s="54"/>
      <c r="S533" s="54"/>
      <c r="T533" s="57"/>
      <c r="U533" s="55"/>
    </row>
    <row r="534" spans="2:21" x14ac:dyDescent="0.2">
      <c r="B534" s="49"/>
      <c r="C534" s="50"/>
      <c r="D534" s="72"/>
      <c r="E534" s="49"/>
      <c r="F534" s="49"/>
      <c r="G534" s="49"/>
      <c r="H534" s="49"/>
      <c r="I534" s="51"/>
      <c r="J534" s="52"/>
      <c r="K534" s="66"/>
      <c r="L534" s="66"/>
      <c r="M534" s="57"/>
      <c r="N534" s="54"/>
      <c r="O534" s="57"/>
      <c r="P534" s="54"/>
      <c r="Q534" s="55"/>
      <c r="R534" s="54"/>
      <c r="S534" s="54"/>
      <c r="T534" s="57"/>
      <c r="U534" s="55"/>
    </row>
    <row r="535" spans="2:21" x14ac:dyDescent="0.2">
      <c r="B535" s="49"/>
      <c r="C535" s="50"/>
      <c r="D535" s="72"/>
      <c r="E535" s="49"/>
      <c r="F535" s="49"/>
      <c r="G535" s="49"/>
      <c r="H535" s="49"/>
      <c r="I535" s="51"/>
      <c r="J535" s="52"/>
      <c r="K535" s="66"/>
      <c r="L535" s="66"/>
      <c r="M535" s="57"/>
      <c r="N535" s="54"/>
      <c r="O535" s="57"/>
      <c r="P535" s="54"/>
      <c r="Q535" s="55"/>
      <c r="R535" s="54"/>
      <c r="S535" s="54"/>
      <c r="T535" s="57"/>
      <c r="U535" s="55"/>
    </row>
    <row r="536" spans="2:21" x14ac:dyDescent="0.2">
      <c r="B536" s="49"/>
      <c r="C536" s="50"/>
      <c r="D536" s="72"/>
      <c r="E536" s="49"/>
      <c r="F536" s="49"/>
      <c r="G536" s="49"/>
      <c r="H536" s="49"/>
      <c r="I536" s="51"/>
      <c r="J536" s="52"/>
      <c r="K536" s="66"/>
      <c r="L536" s="66"/>
      <c r="M536" s="57"/>
      <c r="N536" s="54"/>
      <c r="O536" s="57"/>
      <c r="P536" s="54"/>
      <c r="Q536" s="55"/>
      <c r="R536" s="54"/>
      <c r="S536" s="54"/>
      <c r="T536" s="57"/>
      <c r="U536" s="55"/>
    </row>
    <row r="537" spans="2:21" x14ac:dyDescent="0.2">
      <c r="B537" s="49"/>
      <c r="C537" s="50"/>
      <c r="D537" s="72"/>
      <c r="E537" s="49"/>
      <c r="F537" s="49"/>
      <c r="G537" s="49"/>
      <c r="H537" s="49"/>
      <c r="I537" s="51"/>
      <c r="J537" s="52"/>
      <c r="K537" s="66"/>
      <c r="L537" s="66"/>
      <c r="M537" s="57"/>
      <c r="N537" s="54"/>
      <c r="O537" s="57"/>
      <c r="P537" s="54"/>
      <c r="Q537" s="55"/>
      <c r="R537" s="54"/>
      <c r="S537" s="54"/>
      <c r="T537" s="57"/>
      <c r="U537" s="55"/>
    </row>
    <row r="538" spans="2:21" x14ac:dyDescent="0.2">
      <c r="B538" s="49"/>
      <c r="C538" s="50"/>
      <c r="D538" s="72"/>
      <c r="E538" s="49"/>
      <c r="F538" s="49"/>
      <c r="G538" s="49"/>
      <c r="H538" s="49"/>
      <c r="I538" s="51"/>
      <c r="J538" s="52"/>
      <c r="K538" s="66"/>
      <c r="L538" s="66"/>
      <c r="M538" s="57"/>
      <c r="N538" s="54"/>
      <c r="O538" s="57"/>
      <c r="P538" s="54"/>
      <c r="Q538" s="55"/>
      <c r="R538" s="54"/>
      <c r="S538" s="54"/>
      <c r="T538" s="57"/>
      <c r="U538" s="55"/>
    </row>
    <row r="539" spans="2:21" x14ac:dyDescent="0.2">
      <c r="B539" s="49"/>
      <c r="C539" s="50"/>
      <c r="D539" s="72"/>
      <c r="E539" s="49"/>
      <c r="F539" s="49"/>
      <c r="G539" s="49"/>
      <c r="H539" s="49"/>
      <c r="I539" s="51"/>
      <c r="J539" s="52"/>
      <c r="K539" s="66"/>
      <c r="L539" s="66"/>
      <c r="M539" s="57"/>
      <c r="N539" s="54"/>
      <c r="O539" s="57"/>
      <c r="P539" s="54"/>
      <c r="Q539" s="55"/>
      <c r="R539" s="54"/>
      <c r="S539" s="54"/>
      <c r="T539" s="57"/>
      <c r="U539" s="55"/>
    </row>
    <row r="540" spans="2:21" x14ac:dyDescent="0.2">
      <c r="B540" s="49"/>
      <c r="C540" s="50"/>
      <c r="D540" s="72"/>
      <c r="E540" s="49"/>
      <c r="F540" s="49"/>
      <c r="G540" s="49"/>
      <c r="H540" s="49"/>
      <c r="I540" s="51"/>
      <c r="J540" s="52"/>
      <c r="K540" s="66"/>
      <c r="L540" s="66"/>
      <c r="M540" s="57"/>
      <c r="N540" s="54"/>
      <c r="O540" s="57"/>
      <c r="P540" s="54"/>
      <c r="Q540" s="55"/>
      <c r="R540" s="54"/>
      <c r="S540" s="54"/>
      <c r="T540" s="57"/>
      <c r="U540" s="55"/>
    </row>
    <row r="541" spans="2:21" x14ac:dyDescent="0.2">
      <c r="B541" s="49"/>
      <c r="C541" s="50"/>
      <c r="D541" s="72"/>
      <c r="E541" s="49"/>
      <c r="F541" s="49"/>
      <c r="G541" s="49"/>
      <c r="H541" s="49"/>
      <c r="I541" s="51"/>
      <c r="J541" s="52"/>
      <c r="K541" s="66"/>
      <c r="L541" s="66"/>
      <c r="M541" s="57"/>
      <c r="N541" s="54"/>
      <c r="O541" s="57"/>
      <c r="P541" s="54"/>
      <c r="Q541" s="55"/>
      <c r="R541" s="54"/>
      <c r="S541" s="54"/>
      <c r="T541" s="57"/>
      <c r="U541" s="55"/>
    </row>
    <row r="542" spans="2:21" x14ac:dyDescent="0.2">
      <c r="B542" s="49"/>
      <c r="C542" s="50"/>
      <c r="D542" s="72"/>
      <c r="E542" s="49"/>
      <c r="F542" s="49"/>
      <c r="G542" s="49"/>
      <c r="H542" s="49"/>
      <c r="I542" s="51"/>
      <c r="J542" s="52"/>
      <c r="K542" s="66"/>
      <c r="L542" s="66"/>
      <c r="M542" s="57"/>
      <c r="N542" s="54"/>
      <c r="O542" s="57"/>
      <c r="P542" s="54"/>
      <c r="Q542" s="55"/>
      <c r="R542" s="54"/>
      <c r="S542" s="54"/>
      <c r="T542" s="57"/>
      <c r="U542" s="55"/>
    </row>
    <row r="543" spans="2:21" x14ac:dyDescent="0.2">
      <c r="B543" s="49"/>
      <c r="C543" s="50"/>
      <c r="D543" s="72"/>
      <c r="E543" s="49"/>
      <c r="F543" s="49"/>
      <c r="G543" s="49"/>
      <c r="H543" s="49"/>
      <c r="I543" s="51"/>
      <c r="J543" s="52"/>
      <c r="K543" s="66"/>
      <c r="L543" s="66"/>
      <c r="M543" s="57"/>
      <c r="N543" s="54"/>
      <c r="O543" s="57"/>
      <c r="P543" s="54"/>
      <c r="Q543" s="55"/>
      <c r="R543" s="54"/>
      <c r="S543" s="54"/>
      <c r="T543" s="57"/>
      <c r="U543" s="55"/>
    </row>
    <row r="544" spans="2:21" x14ac:dyDescent="0.2">
      <c r="B544" s="49"/>
      <c r="C544" s="50"/>
      <c r="D544" s="72"/>
      <c r="E544" s="49"/>
      <c r="F544" s="49"/>
      <c r="G544" s="49"/>
      <c r="H544" s="49"/>
      <c r="I544" s="51"/>
      <c r="J544" s="52"/>
      <c r="K544" s="66"/>
      <c r="L544" s="66"/>
      <c r="M544" s="57"/>
      <c r="N544" s="54"/>
      <c r="O544" s="57"/>
      <c r="P544" s="54"/>
      <c r="Q544" s="55"/>
      <c r="R544" s="54"/>
      <c r="S544" s="54"/>
      <c r="T544" s="57"/>
      <c r="U544" s="55"/>
    </row>
    <row r="545" spans="2:21" x14ac:dyDescent="0.2">
      <c r="B545" s="49"/>
      <c r="C545" s="50"/>
      <c r="D545" s="72"/>
      <c r="E545" s="49"/>
      <c r="F545" s="49"/>
      <c r="G545" s="49"/>
      <c r="H545" s="49"/>
      <c r="I545" s="51"/>
      <c r="J545" s="52"/>
      <c r="K545" s="66"/>
      <c r="L545" s="66"/>
      <c r="M545" s="57"/>
      <c r="N545" s="54"/>
      <c r="O545" s="57"/>
      <c r="P545" s="54"/>
      <c r="Q545" s="55"/>
      <c r="R545" s="54"/>
      <c r="S545" s="54"/>
      <c r="T545" s="57"/>
      <c r="U545" s="55"/>
    </row>
    <row r="546" spans="2:21" x14ac:dyDescent="0.2">
      <c r="B546" s="49"/>
      <c r="C546" s="50"/>
      <c r="D546" s="72"/>
      <c r="E546" s="49"/>
      <c r="F546" s="49"/>
      <c r="G546" s="49"/>
      <c r="H546" s="49"/>
      <c r="I546" s="51"/>
      <c r="J546" s="52"/>
      <c r="K546" s="66"/>
      <c r="L546" s="66"/>
      <c r="M546" s="57"/>
      <c r="N546" s="54"/>
      <c r="O546" s="57"/>
      <c r="P546" s="54"/>
      <c r="Q546" s="55"/>
      <c r="R546" s="54"/>
      <c r="S546" s="54"/>
      <c r="T546" s="57"/>
      <c r="U546" s="55"/>
    </row>
    <row r="547" spans="2:21" x14ac:dyDescent="0.2">
      <c r="B547" s="49"/>
      <c r="C547" s="50"/>
      <c r="D547" s="72"/>
      <c r="E547" s="49"/>
      <c r="F547" s="49"/>
      <c r="G547" s="49"/>
      <c r="H547" s="49"/>
      <c r="I547" s="51"/>
      <c r="J547" s="52"/>
      <c r="K547" s="66"/>
      <c r="L547" s="66"/>
      <c r="M547" s="57"/>
      <c r="N547" s="54"/>
      <c r="O547" s="57"/>
      <c r="P547" s="54"/>
      <c r="Q547" s="55"/>
      <c r="R547" s="54"/>
      <c r="S547" s="54"/>
      <c r="T547" s="57"/>
      <c r="U547" s="55"/>
    </row>
    <row r="548" spans="2:21" x14ac:dyDescent="0.2">
      <c r="B548" s="49"/>
      <c r="C548" s="50"/>
      <c r="D548" s="72"/>
      <c r="E548" s="49"/>
      <c r="F548" s="49"/>
      <c r="G548" s="49"/>
      <c r="H548" s="49"/>
      <c r="I548" s="51"/>
      <c r="J548" s="52"/>
      <c r="K548" s="66"/>
      <c r="L548" s="66"/>
      <c r="M548" s="57"/>
      <c r="N548" s="54"/>
      <c r="O548" s="57"/>
      <c r="P548" s="54"/>
      <c r="Q548" s="55"/>
      <c r="R548" s="54"/>
      <c r="S548" s="54"/>
      <c r="T548" s="57"/>
      <c r="U548" s="55"/>
    </row>
    <row r="549" spans="2:21" x14ac:dyDescent="0.2">
      <c r="B549" s="49"/>
      <c r="C549" s="50"/>
      <c r="D549" s="72"/>
      <c r="E549" s="49"/>
      <c r="F549" s="49"/>
      <c r="G549" s="49"/>
      <c r="H549" s="49"/>
      <c r="I549" s="51"/>
      <c r="J549" s="52"/>
      <c r="K549" s="66"/>
      <c r="L549" s="66"/>
      <c r="M549" s="57"/>
      <c r="N549" s="54"/>
      <c r="O549" s="57"/>
      <c r="P549" s="54"/>
      <c r="Q549" s="55"/>
      <c r="R549" s="54"/>
      <c r="S549" s="54"/>
      <c r="T549" s="57"/>
      <c r="U549" s="55"/>
    </row>
    <row r="550" spans="2:21" x14ac:dyDescent="0.2">
      <c r="B550" s="49"/>
      <c r="C550" s="50"/>
      <c r="D550" s="72"/>
      <c r="E550" s="49"/>
      <c r="F550" s="49"/>
      <c r="G550" s="49"/>
      <c r="H550" s="49"/>
      <c r="I550" s="51"/>
      <c r="J550" s="52"/>
      <c r="K550" s="66"/>
      <c r="L550" s="66"/>
      <c r="M550" s="57"/>
      <c r="N550" s="54"/>
      <c r="O550" s="57"/>
      <c r="P550" s="54"/>
      <c r="Q550" s="55"/>
      <c r="R550" s="54"/>
      <c r="S550" s="54"/>
      <c r="T550" s="57"/>
      <c r="U550" s="55"/>
    </row>
    <row r="551" spans="2:21" x14ac:dyDescent="0.2">
      <c r="B551" s="49"/>
      <c r="C551" s="50"/>
      <c r="D551" s="72"/>
      <c r="E551" s="49"/>
      <c r="F551" s="49"/>
      <c r="G551" s="49"/>
      <c r="H551" s="49"/>
      <c r="I551" s="51"/>
      <c r="J551" s="52"/>
      <c r="K551" s="66"/>
      <c r="L551" s="66"/>
      <c r="M551" s="57"/>
      <c r="N551" s="54"/>
      <c r="O551" s="57"/>
      <c r="P551" s="54"/>
      <c r="Q551" s="55"/>
      <c r="R551" s="54"/>
      <c r="S551" s="54"/>
      <c r="T551" s="57"/>
      <c r="U551" s="55"/>
    </row>
    <row r="552" spans="2:21" x14ac:dyDescent="0.2">
      <c r="B552" s="49"/>
      <c r="C552" s="50"/>
      <c r="D552" s="72"/>
      <c r="E552" s="49"/>
      <c r="F552" s="49"/>
      <c r="G552" s="49"/>
      <c r="H552" s="49"/>
      <c r="I552" s="51"/>
      <c r="J552" s="52"/>
      <c r="K552" s="66"/>
      <c r="L552" s="66"/>
      <c r="M552" s="57"/>
      <c r="N552" s="54"/>
      <c r="O552" s="57"/>
      <c r="P552" s="54"/>
      <c r="Q552" s="55"/>
      <c r="R552" s="54"/>
      <c r="S552" s="54"/>
      <c r="T552" s="57"/>
      <c r="U552" s="55"/>
    </row>
    <row r="553" spans="2:21" x14ac:dyDescent="0.2">
      <c r="B553" s="49"/>
      <c r="C553" s="50"/>
      <c r="D553" s="72"/>
      <c r="E553" s="49"/>
      <c r="F553" s="49"/>
      <c r="G553" s="49"/>
      <c r="H553" s="49"/>
      <c r="I553" s="51"/>
      <c r="J553" s="52"/>
      <c r="K553" s="66"/>
      <c r="L553" s="66"/>
      <c r="M553" s="57"/>
      <c r="N553" s="54"/>
      <c r="O553" s="57"/>
      <c r="P553" s="54"/>
      <c r="Q553" s="55"/>
      <c r="R553" s="54"/>
      <c r="S553" s="54"/>
      <c r="T553" s="57"/>
      <c r="U553" s="55"/>
    </row>
    <row r="554" spans="2:21" x14ac:dyDescent="0.2">
      <c r="B554" s="49"/>
      <c r="C554" s="50"/>
      <c r="D554" s="72"/>
      <c r="E554" s="49"/>
      <c r="F554" s="49"/>
      <c r="G554" s="49"/>
      <c r="H554" s="49"/>
      <c r="I554" s="51"/>
      <c r="J554" s="52"/>
      <c r="K554" s="66"/>
      <c r="L554" s="66"/>
      <c r="M554" s="57"/>
      <c r="N554" s="54"/>
      <c r="O554" s="57"/>
      <c r="P554" s="54"/>
      <c r="Q554" s="55"/>
      <c r="R554" s="54"/>
      <c r="S554" s="54"/>
      <c r="T554" s="57"/>
      <c r="U554" s="55"/>
    </row>
    <row r="555" spans="2:21" x14ac:dyDescent="0.2">
      <c r="B555" s="49"/>
      <c r="C555" s="50"/>
      <c r="D555" s="72"/>
      <c r="E555" s="49"/>
      <c r="F555" s="49"/>
      <c r="G555" s="49"/>
      <c r="H555" s="49"/>
      <c r="I555" s="51"/>
      <c r="J555" s="52"/>
      <c r="K555" s="66"/>
      <c r="L555" s="66"/>
      <c r="M555" s="57"/>
      <c r="N555" s="54"/>
      <c r="O555" s="57"/>
      <c r="P555" s="54"/>
      <c r="Q555" s="55"/>
      <c r="R555" s="54"/>
      <c r="S555" s="54"/>
      <c r="T555" s="57"/>
      <c r="U555" s="55"/>
    </row>
    <row r="556" spans="2:21" x14ac:dyDescent="0.2">
      <c r="B556" s="49"/>
      <c r="C556" s="50"/>
      <c r="D556" s="72"/>
      <c r="E556" s="49"/>
      <c r="F556" s="49"/>
      <c r="G556" s="49"/>
      <c r="H556" s="49"/>
      <c r="I556" s="51"/>
      <c r="J556" s="52"/>
      <c r="K556" s="66"/>
      <c r="L556" s="66"/>
      <c r="M556" s="57"/>
      <c r="N556" s="54"/>
      <c r="O556" s="57"/>
      <c r="P556" s="54"/>
      <c r="Q556" s="55"/>
      <c r="R556" s="54"/>
      <c r="S556" s="54"/>
      <c r="T556" s="57"/>
      <c r="U556" s="55"/>
    </row>
    <row r="557" spans="2:21" x14ac:dyDescent="0.2">
      <c r="B557" s="49"/>
      <c r="C557" s="50"/>
      <c r="D557" s="72"/>
      <c r="E557" s="49"/>
      <c r="F557" s="49"/>
      <c r="G557" s="49"/>
      <c r="H557" s="49"/>
      <c r="I557" s="51"/>
      <c r="J557" s="52"/>
      <c r="K557" s="66"/>
      <c r="L557" s="66"/>
      <c r="M557" s="57"/>
      <c r="N557" s="54"/>
      <c r="O557" s="57"/>
      <c r="P557" s="54"/>
      <c r="Q557" s="55"/>
      <c r="R557" s="54"/>
      <c r="S557" s="54"/>
      <c r="T557" s="57"/>
      <c r="U557" s="55"/>
    </row>
    <row r="558" spans="2:21" x14ac:dyDescent="0.2">
      <c r="B558" s="49"/>
      <c r="C558" s="50"/>
      <c r="D558" s="72"/>
      <c r="E558" s="49"/>
      <c r="F558" s="49"/>
      <c r="G558" s="49"/>
      <c r="H558" s="49"/>
      <c r="I558" s="51"/>
      <c r="J558" s="52"/>
      <c r="K558" s="66"/>
      <c r="L558" s="66"/>
      <c r="M558" s="57"/>
      <c r="N558" s="54"/>
      <c r="O558" s="57"/>
      <c r="P558" s="54"/>
      <c r="Q558" s="55"/>
      <c r="R558" s="54"/>
      <c r="S558" s="54"/>
      <c r="T558" s="57"/>
      <c r="U558" s="55"/>
    </row>
    <row r="559" spans="2:21" x14ac:dyDescent="0.2">
      <c r="B559" s="49"/>
      <c r="C559" s="50"/>
      <c r="D559" s="72"/>
      <c r="E559" s="49"/>
      <c r="F559" s="49"/>
      <c r="G559" s="49"/>
      <c r="H559" s="49"/>
      <c r="I559" s="51"/>
      <c r="J559" s="52"/>
      <c r="K559" s="66"/>
      <c r="L559" s="66"/>
      <c r="M559" s="57"/>
      <c r="N559" s="54"/>
      <c r="O559" s="57"/>
      <c r="P559" s="54"/>
      <c r="Q559" s="55"/>
      <c r="R559" s="54"/>
      <c r="S559" s="54"/>
      <c r="T559" s="57"/>
      <c r="U559" s="55"/>
    </row>
    <row r="560" spans="2:21" x14ac:dyDescent="0.2">
      <c r="B560" s="49"/>
      <c r="C560" s="50"/>
      <c r="D560" s="72"/>
      <c r="E560" s="49"/>
      <c r="F560" s="49"/>
      <c r="G560" s="49"/>
      <c r="H560" s="49"/>
      <c r="I560" s="51"/>
      <c r="J560" s="52"/>
      <c r="K560" s="66"/>
      <c r="L560" s="66"/>
      <c r="M560" s="57"/>
      <c r="N560" s="54"/>
      <c r="O560" s="57"/>
      <c r="P560" s="54"/>
      <c r="Q560" s="55"/>
      <c r="R560" s="54"/>
      <c r="S560" s="54"/>
      <c r="T560" s="57"/>
      <c r="U560" s="55"/>
    </row>
    <row r="561" spans="2:21" x14ac:dyDescent="0.2">
      <c r="B561" s="49"/>
      <c r="C561" s="50"/>
      <c r="D561" s="72"/>
      <c r="E561" s="49"/>
      <c r="F561" s="49"/>
      <c r="G561" s="49"/>
      <c r="H561" s="49"/>
      <c r="I561" s="51"/>
      <c r="J561" s="52"/>
      <c r="K561" s="66"/>
      <c r="L561" s="66"/>
      <c r="M561" s="57"/>
      <c r="N561" s="54"/>
      <c r="O561" s="57"/>
      <c r="P561" s="54"/>
      <c r="Q561" s="55"/>
      <c r="R561" s="54"/>
      <c r="S561" s="54"/>
      <c r="T561" s="57"/>
      <c r="U561" s="55"/>
    </row>
    <row r="562" spans="2:21" x14ac:dyDescent="0.2">
      <c r="B562" s="49"/>
      <c r="C562" s="50"/>
      <c r="D562" s="72"/>
      <c r="E562" s="49"/>
      <c r="F562" s="49"/>
      <c r="G562" s="49"/>
      <c r="H562" s="49"/>
      <c r="I562" s="51"/>
      <c r="J562" s="52"/>
      <c r="K562" s="66"/>
      <c r="L562" s="66"/>
      <c r="M562" s="57"/>
      <c r="N562" s="54"/>
      <c r="O562" s="57"/>
      <c r="P562" s="54"/>
      <c r="Q562" s="55"/>
      <c r="R562" s="54"/>
      <c r="S562" s="54"/>
      <c r="T562" s="57"/>
      <c r="U562" s="55"/>
    </row>
    <row r="563" spans="2:21" x14ac:dyDescent="0.2">
      <c r="B563" s="49"/>
      <c r="C563" s="50"/>
      <c r="D563" s="72"/>
      <c r="E563" s="49"/>
      <c r="F563" s="49"/>
      <c r="G563" s="49"/>
      <c r="H563" s="49"/>
      <c r="I563" s="51"/>
      <c r="J563" s="52"/>
      <c r="K563" s="66"/>
      <c r="L563" s="66"/>
      <c r="M563" s="57"/>
      <c r="N563" s="54"/>
      <c r="O563" s="57"/>
      <c r="P563" s="54"/>
      <c r="Q563" s="55"/>
      <c r="R563" s="54"/>
      <c r="S563" s="54"/>
      <c r="T563" s="57"/>
      <c r="U563" s="55"/>
    </row>
    <row r="564" spans="2:21" x14ac:dyDescent="0.2">
      <c r="B564" s="49"/>
      <c r="C564" s="50"/>
      <c r="D564" s="72"/>
      <c r="E564" s="49"/>
      <c r="F564" s="49"/>
      <c r="G564" s="49"/>
      <c r="H564" s="49"/>
      <c r="I564" s="51"/>
      <c r="J564" s="52"/>
      <c r="K564" s="66"/>
      <c r="L564" s="66"/>
      <c r="M564" s="57"/>
      <c r="N564" s="54"/>
      <c r="O564" s="57"/>
      <c r="P564" s="54"/>
      <c r="Q564" s="55"/>
      <c r="R564" s="54"/>
      <c r="S564" s="54"/>
      <c r="T564" s="57"/>
      <c r="U564" s="55"/>
    </row>
    <row r="565" spans="2:21" x14ac:dyDescent="0.2">
      <c r="B565" s="49"/>
      <c r="C565" s="50"/>
      <c r="D565" s="72"/>
      <c r="E565" s="49"/>
      <c r="F565" s="49"/>
      <c r="G565" s="49"/>
      <c r="H565" s="49"/>
      <c r="I565" s="51"/>
      <c r="J565" s="52"/>
      <c r="K565" s="66"/>
      <c r="L565" s="66"/>
      <c r="M565" s="57"/>
      <c r="N565" s="54"/>
      <c r="O565" s="57"/>
      <c r="P565" s="54"/>
      <c r="Q565" s="55"/>
      <c r="R565" s="54"/>
      <c r="S565" s="54"/>
      <c r="T565" s="57"/>
      <c r="U565" s="55"/>
    </row>
    <row r="566" spans="2:21" x14ac:dyDescent="0.2">
      <c r="B566" s="49"/>
      <c r="C566" s="50"/>
      <c r="D566" s="72"/>
      <c r="E566" s="49"/>
      <c r="F566" s="49"/>
      <c r="G566" s="49"/>
      <c r="H566" s="49"/>
      <c r="I566" s="51"/>
      <c r="J566" s="52"/>
      <c r="K566" s="66"/>
      <c r="L566" s="66"/>
      <c r="M566" s="57"/>
      <c r="N566" s="54"/>
      <c r="O566" s="57"/>
      <c r="P566" s="54"/>
      <c r="Q566" s="55"/>
      <c r="R566" s="54"/>
      <c r="S566" s="54"/>
      <c r="T566" s="57"/>
      <c r="U566" s="55"/>
    </row>
    <row r="567" spans="2:21" x14ac:dyDescent="0.2">
      <c r="B567" s="49"/>
      <c r="C567" s="50"/>
      <c r="D567" s="72"/>
      <c r="E567" s="49"/>
      <c r="F567" s="49"/>
      <c r="G567" s="49"/>
      <c r="H567" s="49"/>
      <c r="I567" s="51"/>
      <c r="J567" s="52"/>
      <c r="K567" s="66"/>
      <c r="L567" s="66"/>
      <c r="M567" s="57"/>
      <c r="N567" s="54"/>
      <c r="O567" s="57"/>
      <c r="P567" s="54"/>
      <c r="Q567" s="55"/>
      <c r="R567" s="54"/>
      <c r="S567" s="54"/>
      <c r="T567" s="57"/>
      <c r="U567" s="55"/>
    </row>
    <row r="568" spans="2:21" x14ac:dyDescent="0.2">
      <c r="B568" s="49"/>
      <c r="C568" s="50"/>
      <c r="D568" s="72"/>
      <c r="E568" s="49"/>
      <c r="F568" s="49"/>
      <c r="G568" s="49"/>
      <c r="H568" s="49"/>
      <c r="I568" s="51"/>
      <c r="J568" s="52"/>
      <c r="K568" s="66"/>
      <c r="L568" s="66"/>
      <c r="M568" s="57"/>
      <c r="N568" s="54"/>
      <c r="O568" s="57"/>
      <c r="P568" s="54"/>
      <c r="Q568" s="55"/>
      <c r="R568" s="54"/>
      <c r="S568" s="54"/>
      <c r="T568" s="57"/>
      <c r="U568" s="55"/>
    </row>
    <row r="569" spans="2:21" x14ac:dyDescent="0.2">
      <c r="B569" s="49"/>
      <c r="C569" s="50"/>
      <c r="D569" s="72"/>
      <c r="E569" s="49"/>
      <c r="F569" s="49"/>
      <c r="G569" s="49"/>
      <c r="H569" s="49"/>
      <c r="I569" s="51"/>
      <c r="J569" s="52"/>
      <c r="K569" s="66"/>
      <c r="L569" s="66"/>
      <c r="M569" s="57"/>
      <c r="N569" s="54"/>
      <c r="O569" s="57"/>
      <c r="P569" s="54"/>
      <c r="Q569" s="55"/>
      <c r="R569" s="54"/>
      <c r="S569" s="54"/>
      <c r="T569" s="57"/>
      <c r="U569" s="55"/>
    </row>
    <row r="570" spans="2:21" x14ac:dyDescent="0.2">
      <c r="B570" s="49"/>
      <c r="C570" s="50"/>
      <c r="D570" s="72"/>
      <c r="E570" s="49"/>
      <c r="F570" s="49"/>
      <c r="G570" s="49"/>
      <c r="H570" s="49"/>
      <c r="I570" s="51"/>
      <c r="J570" s="52"/>
      <c r="K570" s="66"/>
      <c r="L570" s="66"/>
      <c r="M570" s="57"/>
      <c r="N570" s="54"/>
      <c r="O570" s="57"/>
      <c r="P570" s="54"/>
      <c r="Q570" s="55"/>
      <c r="R570" s="54"/>
      <c r="S570" s="54"/>
      <c r="T570" s="57"/>
      <c r="U570" s="55"/>
    </row>
    <row r="571" spans="2:21" x14ac:dyDescent="0.2">
      <c r="B571" s="49"/>
      <c r="C571" s="50"/>
      <c r="D571" s="72"/>
      <c r="E571" s="49"/>
      <c r="F571" s="49"/>
      <c r="G571" s="49"/>
      <c r="H571" s="49"/>
      <c r="I571" s="51"/>
      <c r="J571" s="52"/>
      <c r="K571" s="66"/>
      <c r="L571" s="66"/>
      <c r="M571" s="57"/>
      <c r="N571" s="54"/>
      <c r="O571" s="57"/>
      <c r="P571" s="54"/>
      <c r="Q571" s="55"/>
      <c r="R571" s="54"/>
      <c r="S571" s="54"/>
      <c r="T571" s="57"/>
      <c r="U571" s="55"/>
    </row>
    <row r="572" spans="2:21" x14ac:dyDescent="0.2">
      <c r="B572" s="49"/>
      <c r="C572" s="50"/>
      <c r="D572" s="72"/>
      <c r="E572" s="49"/>
      <c r="F572" s="49"/>
      <c r="G572" s="49"/>
      <c r="H572" s="49"/>
      <c r="I572" s="51"/>
      <c r="J572" s="52"/>
      <c r="K572" s="66"/>
      <c r="L572" s="66"/>
      <c r="M572" s="57"/>
      <c r="N572" s="54"/>
      <c r="O572" s="57"/>
      <c r="P572" s="54"/>
      <c r="Q572" s="55"/>
      <c r="R572" s="54"/>
      <c r="S572" s="54"/>
      <c r="T572" s="57"/>
      <c r="U572" s="55"/>
    </row>
    <row r="573" spans="2:21" x14ac:dyDescent="0.2">
      <c r="B573" s="49"/>
      <c r="C573" s="50"/>
      <c r="D573" s="72"/>
      <c r="E573" s="49"/>
      <c r="F573" s="49"/>
      <c r="G573" s="49"/>
      <c r="H573" s="49"/>
      <c r="I573" s="51"/>
      <c r="J573" s="52"/>
      <c r="K573" s="66"/>
      <c r="L573" s="66"/>
      <c r="M573" s="57"/>
      <c r="N573" s="54"/>
      <c r="O573" s="57"/>
      <c r="P573" s="54"/>
      <c r="Q573" s="55"/>
      <c r="R573" s="54"/>
      <c r="S573" s="54"/>
      <c r="T573" s="57"/>
      <c r="U573" s="55"/>
    </row>
    <row r="574" spans="2:21" x14ac:dyDescent="0.2">
      <c r="B574" s="49"/>
      <c r="C574" s="50"/>
      <c r="D574" s="72"/>
      <c r="E574" s="49"/>
      <c r="F574" s="49"/>
      <c r="G574" s="49"/>
      <c r="H574" s="49"/>
      <c r="I574" s="51"/>
      <c r="J574" s="52"/>
      <c r="K574" s="66"/>
      <c r="L574" s="66"/>
      <c r="M574" s="57"/>
      <c r="N574" s="54"/>
      <c r="O574" s="57"/>
      <c r="P574" s="54"/>
      <c r="Q574" s="55"/>
      <c r="R574" s="54"/>
      <c r="S574" s="54"/>
      <c r="T574" s="57"/>
      <c r="U574" s="55"/>
    </row>
    <row r="575" spans="2:21" x14ac:dyDescent="0.2">
      <c r="B575" s="49"/>
      <c r="C575" s="50"/>
      <c r="D575" s="72"/>
      <c r="E575" s="49"/>
      <c r="F575" s="49"/>
      <c r="G575" s="49"/>
      <c r="H575" s="49"/>
      <c r="I575" s="51"/>
      <c r="J575" s="52"/>
      <c r="K575" s="66"/>
      <c r="L575" s="66"/>
      <c r="M575" s="57"/>
      <c r="N575" s="54"/>
      <c r="O575" s="57"/>
      <c r="P575" s="54"/>
      <c r="Q575" s="55"/>
      <c r="R575" s="54"/>
      <c r="S575" s="54"/>
      <c r="T575" s="57"/>
      <c r="U575" s="55"/>
    </row>
    <row r="576" spans="2:21" x14ac:dyDescent="0.2">
      <c r="B576" s="49"/>
      <c r="C576" s="50"/>
      <c r="D576" s="72"/>
      <c r="E576" s="49"/>
      <c r="F576" s="49"/>
      <c r="G576" s="49"/>
      <c r="H576" s="49"/>
      <c r="I576" s="51"/>
      <c r="J576" s="52"/>
      <c r="K576" s="66"/>
      <c r="L576" s="66"/>
      <c r="M576" s="57"/>
      <c r="N576" s="54"/>
      <c r="O576" s="57"/>
      <c r="P576" s="54"/>
      <c r="Q576" s="55"/>
      <c r="R576" s="54"/>
      <c r="S576" s="54"/>
      <c r="T576" s="57"/>
      <c r="U576" s="55"/>
    </row>
    <row r="577" spans="2:21" x14ac:dyDescent="0.2">
      <c r="B577" s="49"/>
      <c r="C577" s="50"/>
      <c r="D577" s="72"/>
      <c r="E577" s="49"/>
      <c r="F577" s="49"/>
      <c r="G577" s="49"/>
      <c r="H577" s="49"/>
      <c r="I577" s="51"/>
      <c r="J577" s="52"/>
      <c r="K577" s="66"/>
      <c r="L577" s="66"/>
      <c r="M577" s="57"/>
      <c r="N577" s="54"/>
      <c r="O577" s="57"/>
      <c r="P577" s="54"/>
      <c r="Q577" s="55"/>
      <c r="R577" s="54"/>
      <c r="S577" s="54"/>
      <c r="T577" s="57"/>
      <c r="U577" s="55"/>
    </row>
    <row r="578" spans="2:21" x14ac:dyDescent="0.2">
      <c r="B578" s="49"/>
      <c r="C578" s="50"/>
      <c r="D578" s="72"/>
      <c r="E578" s="49"/>
      <c r="F578" s="49"/>
      <c r="G578" s="49"/>
      <c r="H578" s="49"/>
      <c r="I578" s="51"/>
      <c r="J578" s="52"/>
      <c r="K578" s="66"/>
      <c r="L578" s="66"/>
      <c r="M578" s="57"/>
      <c r="N578" s="54"/>
      <c r="O578" s="57"/>
      <c r="P578" s="54"/>
      <c r="Q578" s="55"/>
      <c r="R578" s="54"/>
      <c r="S578" s="54"/>
      <c r="T578" s="57"/>
      <c r="U578" s="55"/>
    </row>
    <row r="579" spans="2:21" x14ac:dyDescent="0.2">
      <c r="B579" s="49"/>
      <c r="C579" s="50"/>
      <c r="D579" s="72"/>
      <c r="E579" s="49"/>
      <c r="F579" s="49"/>
      <c r="G579" s="49"/>
      <c r="H579" s="49"/>
      <c r="I579" s="51"/>
      <c r="J579" s="52"/>
      <c r="K579" s="66"/>
      <c r="L579" s="66"/>
      <c r="M579" s="57"/>
      <c r="N579" s="54"/>
      <c r="O579" s="57"/>
      <c r="P579" s="54"/>
      <c r="Q579" s="55"/>
      <c r="R579" s="54"/>
      <c r="S579" s="54"/>
      <c r="T579" s="57"/>
      <c r="U579" s="55"/>
    </row>
    <row r="580" spans="2:21" x14ac:dyDescent="0.2">
      <c r="B580" s="49"/>
      <c r="C580" s="50"/>
      <c r="D580" s="72"/>
      <c r="E580" s="49"/>
      <c r="F580" s="49"/>
      <c r="G580" s="49"/>
      <c r="H580" s="49"/>
      <c r="I580" s="51"/>
      <c r="J580" s="52"/>
      <c r="K580" s="66"/>
      <c r="L580" s="66"/>
      <c r="M580" s="57"/>
      <c r="N580" s="54"/>
      <c r="O580" s="57"/>
      <c r="P580" s="54"/>
      <c r="Q580" s="55"/>
      <c r="R580" s="54"/>
      <c r="S580" s="54"/>
      <c r="T580" s="57"/>
      <c r="U580" s="55"/>
    </row>
    <row r="581" spans="2:21" x14ac:dyDescent="0.2">
      <c r="B581" s="49"/>
      <c r="C581" s="50"/>
      <c r="D581" s="72"/>
      <c r="E581" s="49"/>
      <c r="F581" s="49"/>
      <c r="G581" s="49"/>
      <c r="H581" s="49"/>
      <c r="I581" s="51"/>
      <c r="J581" s="52"/>
      <c r="K581" s="66"/>
      <c r="L581" s="66"/>
      <c r="M581" s="57"/>
      <c r="N581" s="54"/>
      <c r="O581" s="57"/>
      <c r="P581" s="54"/>
      <c r="Q581" s="55"/>
      <c r="R581" s="54"/>
      <c r="S581" s="54"/>
      <c r="T581" s="57"/>
      <c r="U581" s="55"/>
    </row>
    <row r="582" spans="2:21" x14ac:dyDescent="0.2">
      <c r="B582" s="49"/>
      <c r="C582" s="50"/>
      <c r="D582" s="72"/>
      <c r="E582" s="49"/>
      <c r="F582" s="49"/>
      <c r="G582" s="49"/>
      <c r="H582" s="49"/>
      <c r="I582" s="51"/>
      <c r="J582" s="52"/>
      <c r="K582" s="66"/>
      <c r="L582" s="66"/>
      <c r="M582" s="57"/>
      <c r="N582" s="54"/>
      <c r="O582" s="57"/>
      <c r="P582" s="54"/>
      <c r="Q582" s="55"/>
      <c r="R582" s="54"/>
      <c r="S582" s="54"/>
      <c r="T582" s="57"/>
      <c r="U582" s="55"/>
    </row>
    <row r="583" spans="2:21" x14ac:dyDescent="0.2">
      <c r="B583" s="49"/>
      <c r="C583" s="50"/>
      <c r="D583" s="72"/>
      <c r="E583" s="49"/>
      <c r="F583" s="49"/>
      <c r="G583" s="49"/>
      <c r="H583" s="49"/>
      <c r="I583" s="51"/>
      <c r="J583" s="52"/>
      <c r="K583" s="66"/>
      <c r="L583" s="66"/>
      <c r="M583" s="57"/>
      <c r="N583" s="54"/>
      <c r="O583" s="57"/>
      <c r="P583" s="54"/>
      <c r="Q583" s="55"/>
      <c r="R583" s="54"/>
      <c r="S583" s="54"/>
      <c r="T583" s="57"/>
      <c r="U583" s="55"/>
    </row>
    <row r="584" spans="2:21" x14ac:dyDescent="0.2">
      <c r="B584" s="49"/>
      <c r="C584" s="50"/>
      <c r="D584" s="72"/>
      <c r="E584" s="49"/>
      <c r="F584" s="49"/>
      <c r="G584" s="49"/>
      <c r="H584" s="49"/>
      <c r="I584" s="51"/>
      <c r="J584" s="52"/>
      <c r="K584" s="66"/>
      <c r="L584" s="66"/>
      <c r="M584" s="57"/>
      <c r="N584" s="54"/>
      <c r="O584" s="57"/>
      <c r="P584" s="54"/>
      <c r="Q584" s="55"/>
      <c r="R584" s="54"/>
      <c r="S584" s="54"/>
      <c r="T584" s="57"/>
      <c r="U584" s="55"/>
    </row>
    <row r="585" spans="2:21" x14ac:dyDescent="0.2">
      <c r="B585" s="49"/>
      <c r="C585" s="50"/>
      <c r="D585" s="72"/>
      <c r="E585" s="49"/>
      <c r="F585" s="49"/>
      <c r="G585" s="49"/>
      <c r="H585" s="49"/>
      <c r="I585" s="51"/>
      <c r="J585" s="52"/>
      <c r="K585" s="66"/>
      <c r="L585" s="66"/>
      <c r="M585" s="57"/>
      <c r="N585" s="54"/>
      <c r="O585" s="57"/>
      <c r="P585" s="54"/>
      <c r="Q585" s="55"/>
      <c r="R585" s="54"/>
      <c r="S585" s="54"/>
      <c r="T585" s="57"/>
      <c r="U585" s="55"/>
    </row>
    <row r="586" spans="2:21" x14ac:dyDescent="0.2">
      <c r="B586" s="49"/>
      <c r="C586" s="50"/>
      <c r="D586" s="72"/>
      <c r="E586" s="49"/>
      <c r="F586" s="49"/>
      <c r="G586" s="49"/>
      <c r="H586" s="49"/>
      <c r="I586" s="51"/>
      <c r="J586" s="52"/>
      <c r="K586" s="66"/>
      <c r="L586" s="66"/>
      <c r="M586" s="57"/>
      <c r="N586" s="54"/>
      <c r="O586" s="57"/>
      <c r="P586" s="54"/>
      <c r="Q586" s="55"/>
      <c r="R586" s="54"/>
      <c r="S586" s="54"/>
      <c r="T586" s="57"/>
      <c r="U586" s="55"/>
    </row>
    <row r="587" spans="2:21" x14ac:dyDescent="0.2">
      <c r="B587" s="49"/>
      <c r="C587" s="50"/>
      <c r="D587" s="72"/>
      <c r="E587" s="49"/>
      <c r="F587" s="49"/>
      <c r="G587" s="49"/>
      <c r="H587" s="49"/>
      <c r="I587" s="51"/>
      <c r="J587" s="52"/>
      <c r="K587" s="66"/>
      <c r="L587" s="66"/>
      <c r="M587" s="57"/>
      <c r="N587" s="54"/>
      <c r="O587" s="57"/>
      <c r="P587" s="54"/>
      <c r="Q587" s="55"/>
      <c r="R587" s="54"/>
      <c r="S587" s="54"/>
      <c r="T587" s="57"/>
      <c r="U587" s="55"/>
    </row>
    <row r="588" spans="2:21" x14ac:dyDescent="0.2">
      <c r="B588" s="49"/>
      <c r="C588" s="50"/>
      <c r="D588" s="72"/>
      <c r="E588" s="49"/>
      <c r="F588" s="49"/>
      <c r="G588" s="49"/>
      <c r="H588" s="49"/>
      <c r="I588" s="51"/>
      <c r="J588" s="52"/>
      <c r="K588" s="66"/>
      <c r="L588" s="66"/>
      <c r="M588" s="57"/>
      <c r="N588" s="54"/>
      <c r="O588" s="57"/>
      <c r="P588" s="54"/>
      <c r="Q588" s="55"/>
      <c r="R588" s="54"/>
      <c r="S588" s="54"/>
      <c r="T588" s="57"/>
      <c r="U588" s="55"/>
    </row>
    <row r="589" spans="2:21" x14ac:dyDescent="0.2">
      <c r="B589" s="49"/>
      <c r="C589" s="50"/>
      <c r="D589" s="72"/>
      <c r="E589" s="49"/>
      <c r="F589" s="49"/>
      <c r="G589" s="49"/>
      <c r="H589" s="49"/>
      <c r="I589" s="51"/>
      <c r="J589" s="52"/>
      <c r="K589" s="66"/>
      <c r="L589" s="66"/>
      <c r="M589" s="57"/>
      <c r="N589" s="54"/>
      <c r="O589" s="57"/>
      <c r="P589" s="54"/>
      <c r="Q589" s="55"/>
      <c r="R589" s="54"/>
      <c r="S589" s="54"/>
      <c r="T589" s="57"/>
      <c r="U589" s="55"/>
    </row>
    <row r="590" spans="2:21" x14ac:dyDescent="0.2">
      <c r="B590" s="49"/>
      <c r="C590" s="50"/>
      <c r="D590" s="72"/>
      <c r="E590" s="49"/>
      <c r="F590" s="49"/>
      <c r="G590" s="49"/>
      <c r="H590" s="49"/>
      <c r="I590" s="51"/>
      <c r="J590" s="52"/>
      <c r="K590" s="66"/>
      <c r="L590" s="66"/>
      <c r="M590" s="57"/>
      <c r="N590" s="54"/>
      <c r="O590" s="57"/>
      <c r="P590" s="54"/>
      <c r="Q590" s="55"/>
      <c r="R590" s="54"/>
      <c r="S590" s="54"/>
      <c r="T590" s="57"/>
      <c r="U590" s="55"/>
    </row>
    <row r="591" spans="2:21" x14ac:dyDescent="0.2">
      <c r="B591" s="49"/>
      <c r="C591" s="50"/>
      <c r="D591" s="72"/>
      <c r="E591" s="49"/>
      <c r="F591" s="49"/>
      <c r="G591" s="49"/>
      <c r="H591" s="49"/>
      <c r="I591" s="51"/>
      <c r="J591" s="52"/>
      <c r="K591" s="66"/>
      <c r="L591" s="66"/>
      <c r="M591" s="57"/>
      <c r="N591" s="54"/>
      <c r="O591" s="57"/>
      <c r="P591" s="54"/>
      <c r="Q591" s="55"/>
      <c r="R591" s="54"/>
      <c r="S591" s="54"/>
      <c r="T591" s="57"/>
      <c r="U591" s="55"/>
    </row>
    <row r="592" spans="2:21" x14ac:dyDescent="0.2">
      <c r="B592" s="49"/>
      <c r="C592" s="50"/>
      <c r="D592" s="72"/>
      <c r="E592" s="49"/>
      <c r="F592" s="49"/>
      <c r="G592" s="49"/>
      <c r="H592" s="49"/>
      <c r="I592" s="51"/>
      <c r="J592" s="52"/>
      <c r="K592" s="66"/>
      <c r="L592" s="66"/>
      <c r="M592" s="57"/>
      <c r="N592" s="54"/>
      <c r="O592" s="57"/>
      <c r="P592" s="54"/>
      <c r="Q592" s="55"/>
      <c r="R592" s="54"/>
      <c r="S592" s="54"/>
      <c r="T592" s="57"/>
      <c r="U592" s="55"/>
    </row>
    <row r="593" spans="2:21" x14ac:dyDescent="0.2">
      <c r="B593" s="49"/>
      <c r="C593" s="50"/>
      <c r="D593" s="72"/>
      <c r="E593" s="49"/>
      <c r="F593" s="49"/>
      <c r="G593" s="49"/>
      <c r="H593" s="49"/>
      <c r="I593" s="51"/>
      <c r="J593" s="52"/>
      <c r="K593" s="66"/>
      <c r="L593" s="66"/>
      <c r="M593" s="57"/>
      <c r="N593" s="54"/>
      <c r="O593" s="57"/>
      <c r="P593" s="54"/>
      <c r="Q593" s="55"/>
      <c r="R593" s="54"/>
      <c r="S593" s="54"/>
      <c r="T593" s="57"/>
      <c r="U593" s="55"/>
    </row>
    <row r="594" spans="2:21" x14ac:dyDescent="0.2">
      <c r="B594" s="49"/>
      <c r="C594" s="50"/>
      <c r="D594" s="72"/>
      <c r="E594" s="49"/>
      <c r="F594" s="49"/>
      <c r="G594" s="49"/>
      <c r="H594" s="49"/>
      <c r="I594" s="51"/>
      <c r="J594" s="52"/>
      <c r="K594" s="66"/>
      <c r="L594" s="66"/>
      <c r="M594" s="57"/>
      <c r="N594" s="54"/>
      <c r="O594" s="57"/>
      <c r="P594" s="54"/>
      <c r="Q594" s="55"/>
      <c r="R594" s="54"/>
      <c r="S594" s="54"/>
      <c r="T594" s="57"/>
      <c r="U594" s="55"/>
    </row>
    <row r="595" spans="2:21" x14ac:dyDescent="0.2">
      <c r="B595" s="49"/>
      <c r="C595" s="50"/>
      <c r="D595" s="72"/>
      <c r="E595" s="49"/>
      <c r="F595" s="49"/>
      <c r="G595" s="49"/>
      <c r="H595" s="49"/>
      <c r="I595" s="51"/>
      <c r="J595" s="52"/>
      <c r="K595" s="66"/>
      <c r="L595" s="66"/>
      <c r="M595" s="57"/>
      <c r="N595" s="54"/>
      <c r="O595" s="57"/>
      <c r="P595" s="54"/>
      <c r="Q595" s="55"/>
      <c r="R595" s="54"/>
      <c r="S595" s="54"/>
      <c r="T595" s="57"/>
      <c r="U595" s="55"/>
    </row>
    <row r="596" spans="2:21" x14ac:dyDescent="0.2">
      <c r="B596" s="49"/>
      <c r="C596" s="50"/>
      <c r="D596" s="72"/>
      <c r="E596" s="49"/>
      <c r="F596" s="49"/>
      <c r="G596" s="49"/>
      <c r="H596" s="49"/>
      <c r="I596" s="51"/>
      <c r="J596" s="52"/>
      <c r="K596" s="66"/>
      <c r="L596" s="66"/>
      <c r="M596" s="57"/>
      <c r="N596" s="54"/>
      <c r="O596" s="57"/>
      <c r="P596" s="54"/>
      <c r="Q596" s="55"/>
      <c r="R596" s="54"/>
      <c r="S596" s="54"/>
      <c r="T596" s="57"/>
      <c r="U596" s="55"/>
    </row>
    <row r="597" spans="2:21" x14ac:dyDescent="0.2">
      <c r="B597" s="49"/>
      <c r="C597" s="50"/>
      <c r="D597" s="72"/>
      <c r="E597" s="49"/>
      <c r="F597" s="49"/>
      <c r="G597" s="49"/>
      <c r="H597" s="49"/>
      <c r="I597" s="51"/>
      <c r="J597" s="52"/>
      <c r="K597" s="66"/>
      <c r="L597" s="66"/>
      <c r="M597" s="57"/>
      <c r="N597" s="54"/>
      <c r="O597" s="57"/>
      <c r="P597" s="54"/>
      <c r="Q597" s="55"/>
      <c r="R597" s="54"/>
      <c r="S597" s="54"/>
      <c r="T597" s="57"/>
      <c r="U597" s="55"/>
    </row>
    <row r="598" spans="2:21" x14ac:dyDescent="0.2">
      <c r="B598" s="49"/>
      <c r="C598" s="50"/>
      <c r="D598" s="72"/>
      <c r="E598" s="49"/>
      <c r="F598" s="49"/>
      <c r="G598" s="49"/>
      <c r="H598" s="49"/>
      <c r="I598" s="51"/>
      <c r="J598" s="52"/>
      <c r="K598" s="66"/>
      <c r="L598" s="66"/>
      <c r="M598" s="57"/>
      <c r="N598" s="54"/>
      <c r="O598" s="57"/>
      <c r="P598" s="54"/>
      <c r="Q598" s="55"/>
      <c r="R598" s="54"/>
      <c r="S598" s="54"/>
      <c r="T598" s="57"/>
      <c r="U598" s="55"/>
    </row>
    <row r="599" spans="2:21" x14ac:dyDescent="0.2">
      <c r="B599" s="49"/>
      <c r="C599" s="50"/>
      <c r="D599" s="72"/>
      <c r="E599" s="49"/>
      <c r="F599" s="49"/>
      <c r="G599" s="49"/>
      <c r="H599" s="49"/>
      <c r="I599" s="51"/>
      <c r="J599" s="52"/>
      <c r="K599" s="66"/>
      <c r="L599" s="66"/>
      <c r="M599" s="57"/>
      <c r="N599" s="54"/>
      <c r="O599" s="57"/>
      <c r="P599" s="54"/>
      <c r="Q599" s="55"/>
      <c r="R599" s="54"/>
      <c r="S599" s="54"/>
      <c r="T599" s="57"/>
      <c r="U599" s="55"/>
    </row>
    <row r="600" spans="2:21" x14ac:dyDescent="0.2">
      <c r="B600" s="49"/>
      <c r="C600" s="50"/>
      <c r="D600" s="72"/>
      <c r="E600" s="49"/>
      <c r="F600" s="49"/>
      <c r="G600" s="49"/>
      <c r="H600" s="49"/>
      <c r="I600" s="51"/>
      <c r="J600" s="52"/>
      <c r="K600" s="66"/>
      <c r="L600" s="66"/>
      <c r="M600" s="57"/>
      <c r="N600" s="54"/>
      <c r="O600" s="57"/>
      <c r="P600" s="54"/>
      <c r="Q600" s="55"/>
      <c r="R600" s="54"/>
      <c r="S600" s="54"/>
      <c r="T600" s="57"/>
      <c r="U600" s="55"/>
    </row>
    <row r="601" spans="2:21" x14ac:dyDescent="0.2">
      <c r="B601" s="49"/>
      <c r="C601" s="50"/>
      <c r="D601" s="72"/>
      <c r="E601" s="49"/>
      <c r="F601" s="49"/>
      <c r="G601" s="49"/>
      <c r="H601" s="49"/>
      <c r="I601" s="51"/>
      <c r="J601" s="52"/>
      <c r="K601" s="66"/>
      <c r="L601" s="66"/>
      <c r="M601" s="57"/>
      <c r="N601" s="54"/>
      <c r="O601" s="57"/>
      <c r="P601" s="54"/>
      <c r="Q601" s="55"/>
      <c r="R601" s="54"/>
      <c r="S601" s="54"/>
      <c r="T601" s="57"/>
      <c r="U601" s="55"/>
    </row>
    <row r="602" spans="2:21" x14ac:dyDescent="0.2">
      <c r="B602" s="49"/>
      <c r="C602" s="50"/>
      <c r="D602" s="72"/>
      <c r="E602" s="49"/>
      <c r="F602" s="49"/>
      <c r="G602" s="49"/>
      <c r="H602" s="49"/>
      <c r="I602" s="51"/>
      <c r="J602" s="52"/>
      <c r="K602" s="66"/>
      <c r="L602" s="66"/>
      <c r="M602" s="57"/>
      <c r="N602" s="54"/>
      <c r="O602" s="57"/>
      <c r="P602" s="54"/>
      <c r="Q602" s="55"/>
      <c r="R602" s="54"/>
      <c r="S602" s="54"/>
      <c r="T602" s="57"/>
      <c r="U602" s="55"/>
    </row>
    <row r="603" spans="2:21" x14ac:dyDescent="0.2">
      <c r="B603" s="49"/>
      <c r="C603" s="50"/>
      <c r="D603" s="72"/>
      <c r="E603" s="49"/>
      <c r="F603" s="49"/>
      <c r="G603" s="49"/>
      <c r="H603" s="49"/>
      <c r="I603" s="51"/>
      <c r="J603" s="52"/>
      <c r="K603" s="66"/>
      <c r="L603" s="66"/>
      <c r="M603" s="57"/>
      <c r="N603" s="54"/>
      <c r="O603" s="57"/>
      <c r="P603" s="54"/>
      <c r="Q603" s="55"/>
      <c r="R603" s="54"/>
      <c r="S603" s="54"/>
      <c r="T603" s="57"/>
      <c r="U603" s="55"/>
    </row>
    <row r="604" spans="2:21" x14ac:dyDescent="0.2">
      <c r="B604" s="49"/>
      <c r="C604" s="50"/>
      <c r="D604" s="72"/>
      <c r="E604" s="49"/>
      <c r="F604" s="49"/>
      <c r="G604" s="49"/>
      <c r="H604" s="49"/>
      <c r="I604" s="51"/>
      <c r="J604" s="52"/>
      <c r="K604" s="66"/>
      <c r="L604" s="66"/>
      <c r="M604" s="57"/>
      <c r="N604" s="54"/>
      <c r="O604" s="57"/>
      <c r="P604" s="54"/>
      <c r="Q604" s="55"/>
      <c r="R604" s="54"/>
      <c r="S604" s="54"/>
      <c r="T604" s="57"/>
      <c r="U604" s="55"/>
    </row>
    <row r="605" spans="2:21" x14ac:dyDescent="0.2">
      <c r="B605" s="49"/>
      <c r="C605" s="50"/>
      <c r="D605" s="72"/>
      <c r="E605" s="49"/>
      <c r="F605" s="49"/>
      <c r="G605" s="49"/>
      <c r="H605" s="49"/>
      <c r="I605" s="51"/>
      <c r="J605" s="52"/>
      <c r="K605" s="66"/>
      <c r="L605" s="66"/>
      <c r="M605" s="57"/>
      <c r="N605" s="54"/>
      <c r="O605" s="57"/>
      <c r="P605" s="54"/>
      <c r="Q605" s="55"/>
      <c r="R605" s="54"/>
      <c r="S605" s="54"/>
      <c r="T605" s="57"/>
      <c r="U605" s="55"/>
    </row>
    <row r="606" spans="2:21" x14ac:dyDescent="0.2">
      <c r="B606" s="49"/>
      <c r="C606" s="50"/>
      <c r="D606" s="72"/>
      <c r="E606" s="49"/>
      <c r="F606" s="49"/>
      <c r="G606" s="49"/>
      <c r="H606" s="49"/>
      <c r="I606" s="51"/>
      <c r="J606" s="52"/>
      <c r="K606" s="66"/>
      <c r="L606" s="66"/>
      <c r="M606" s="57"/>
      <c r="N606" s="54"/>
      <c r="O606" s="57"/>
      <c r="P606" s="54"/>
      <c r="Q606" s="55"/>
      <c r="R606" s="54"/>
      <c r="S606" s="54"/>
      <c r="T606" s="57"/>
      <c r="U606" s="55"/>
    </row>
    <row r="607" spans="2:21" x14ac:dyDescent="0.2">
      <c r="B607" s="49"/>
      <c r="C607" s="50"/>
      <c r="D607" s="72"/>
      <c r="E607" s="49"/>
      <c r="F607" s="49"/>
      <c r="G607" s="49"/>
      <c r="H607" s="49"/>
      <c r="I607" s="51"/>
      <c r="J607" s="52"/>
      <c r="K607" s="66"/>
      <c r="L607" s="66"/>
      <c r="M607" s="57"/>
      <c r="N607" s="54"/>
      <c r="O607" s="57"/>
      <c r="P607" s="54"/>
      <c r="Q607" s="55"/>
      <c r="R607" s="54"/>
      <c r="S607" s="54"/>
      <c r="T607" s="57"/>
      <c r="U607" s="55"/>
    </row>
    <row r="608" spans="2:21" x14ac:dyDescent="0.2">
      <c r="B608" s="49"/>
      <c r="C608" s="50"/>
      <c r="D608" s="72"/>
      <c r="E608" s="49"/>
      <c r="F608" s="49"/>
      <c r="G608" s="49"/>
      <c r="H608" s="49"/>
      <c r="I608" s="51"/>
      <c r="J608" s="52"/>
      <c r="K608" s="66"/>
      <c r="L608" s="66"/>
      <c r="M608" s="57"/>
      <c r="N608" s="54"/>
      <c r="O608" s="57"/>
      <c r="P608" s="54"/>
      <c r="Q608" s="55"/>
      <c r="R608" s="54"/>
      <c r="S608" s="54"/>
      <c r="T608" s="57"/>
      <c r="U608" s="55"/>
    </row>
    <row r="609" spans="2:21" x14ac:dyDescent="0.2">
      <c r="B609" s="49"/>
      <c r="C609" s="50"/>
      <c r="D609" s="72"/>
      <c r="E609" s="49"/>
      <c r="F609" s="49"/>
      <c r="G609" s="49"/>
      <c r="H609" s="49"/>
      <c r="I609" s="51"/>
      <c r="J609" s="52"/>
      <c r="K609" s="66"/>
      <c r="L609" s="66"/>
      <c r="M609" s="57"/>
      <c r="N609" s="54"/>
      <c r="O609" s="57"/>
      <c r="P609" s="54"/>
      <c r="Q609" s="55"/>
      <c r="R609" s="54"/>
      <c r="S609" s="54"/>
      <c r="T609" s="57"/>
      <c r="U609" s="55"/>
    </row>
    <row r="610" spans="2:21" x14ac:dyDescent="0.2">
      <c r="B610" s="49"/>
      <c r="C610" s="50"/>
      <c r="D610" s="72"/>
      <c r="E610" s="49"/>
      <c r="F610" s="49"/>
      <c r="G610" s="49"/>
      <c r="H610" s="49"/>
      <c r="I610" s="51"/>
      <c r="J610" s="52"/>
      <c r="K610" s="66"/>
      <c r="L610" s="66"/>
      <c r="M610" s="57"/>
      <c r="N610" s="54"/>
      <c r="O610" s="57"/>
      <c r="P610" s="54"/>
      <c r="Q610" s="55"/>
      <c r="R610" s="54"/>
      <c r="S610" s="54"/>
      <c r="T610" s="57"/>
      <c r="U610" s="55"/>
    </row>
    <row r="611" spans="2:21" x14ac:dyDescent="0.2">
      <c r="B611" s="49"/>
      <c r="C611" s="50"/>
      <c r="D611" s="72"/>
      <c r="E611" s="49"/>
      <c r="F611" s="49"/>
      <c r="G611" s="49"/>
      <c r="H611" s="49"/>
      <c r="I611" s="51"/>
      <c r="J611" s="52"/>
      <c r="K611" s="66"/>
      <c r="L611" s="66"/>
      <c r="M611" s="57"/>
      <c r="N611" s="54"/>
      <c r="O611" s="57"/>
      <c r="P611" s="54"/>
      <c r="Q611" s="55"/>
      <c r="R611" s="54"/>
      <c r="S611" s="54"/>
      <c r="T611" s="57"/>
      <c r="U611" s="55"/>
    </row>
    <row r="612" spans="2:21" x14ac:dyDescent="0.2">
      <c r="B612" s="49"/>
      <c r="C612" s="50"/>
      <c r="D612" s="72"/>
      <c r="E612" s="49"/>
      <c r="F612" s="49"/>
      <c r="G612" s="49"/>
      <c r="H612" s="49"/>
      <c r="I612" s="51"/>
      <c r="J612" s="52"/>
      <c r="K612" s="66"/>
      <c r="L612" s="66"/>
      <c r="M612" s="57"/>
      <c r="N612" s="54"/>
      <c r="O612" s="57"/>
      <c r="P612" s="54"/>
      <c r="Q612" s="55"/>
      <c r="R612" s="54"/>
      <c r="S612" s="54"/>
      <c r="T612" s="57"/>
      <c r="U612" s="55"/>
    </row>
    <row r="613" spans="2:21" x14ac:dyDescent="0.2">
      <c r="B613" s="49"/>
      <c r="C613" s="50"/>
      <c r="D613" s="72"/>
      <c r="E613" s="49"/>
      <c r="F613" s="49"/>
      <c r="G613" s="49"/>
      <c r="H613" s="49"/>
      <c r="I613" s="51"/>
      <c r="J613" s="52"/>
      <c r="K613" s="66"/>
      <c r="L613" s="66"/>
      <c r="M613" s="57"/>
      <c r="N613" s="54"/>
      <c r="O613" s="57"/>
      <c r="P613" s="54"/>
      <c r="Q613" s="55"/>
      <c r="R613" s="54"/>
      <c r="S613" s="54"/>
      <c r="T613" s="57"/>
      <c r="U613" s="55"/>
    </row>
    <row r="614" spans="2:21" x14ac:dyDescent="0.2">
      <c r="B614" s="49"/>
      <c r="C614" s="50"/>
      <c r="D614" s="72"/>
      <c r="E614" s="49"/>
      <c r="F614" s="49"/>
      <c r="G614" s="49"/>
      <c r="H614" s="49"/>
      <c r="I614" s="51"/>
      <c r="J614" s="52"/>
      <c r="K614" s="66"/>
      <c r="L614" s="66"/>
      <c r="M614" s="57"/>
      <c r="N614" s="54"/>
      <c r="O614" s="57"/>
      <c r="P614" s="54"/>
      <c r="Q614" s="55"/>
      <c r="R614" s="54"/>
      <c r="S614" s="54"/>
      <c r="T614" s="57"/>
      <c r="U614" s="55"/>
    </row>
    <row r="615" spans="2:21" x14ac:dyDescent="0.2">
      <c r="B615" s="49"/>
      <c r="C615" s="50"/>
      <c r="D615" s="72"/>
      <c r="E615" s="49"/>
      <c r="F615" s="49"/>
      <c r="G615" s="49"/>
      <c r="H615" s="49"/>
      <c r="I615" s="51"/>
      <c r="J615" s="52"/>
      <c r="K615" s="66"/>
      <c r="L615" s="66"/>
      <c r="M615" s="57"/>
      <c r="N615" s="54"/>
      <c r="O615" s="57"/>
      <c r="P615" s="54"/>
      <c r="Q615" s="55"/>
      <c r="R615" s="54"/>
      <c r="S615" s="54"/>
      <c r="T615" s="57"/>
      <c r="U615" s="55"/>
    </row>
    <row r="616" spans="2:21" x14ac:dyDescent="0.2">
      <c r="B616" s="49"/>
      <c r="C616" s="50"/>
      <c r="D616" s="72"/>
      <c r="E616" s="49"/>
      <c r="F616" s="49"/>
      <c r="G616" s="49"/>
      <c r="H616" s="49"/>
      <c r="I616" s="51"/>
      <c r="J616" s="52"/>
      <c r="K616" s="66"/>
      <c r="L616" s="66"/>
      <c r="M616" s="57"/>
      <c r="N616" s="54"/>
      <c r="O616" s="57"/>
      <c r="P616" s="54"/>
      <c r="Q616" s="55"/>
      <c r="R616" s="54"/>
      <c r="S616" s="54"/>
      <c r="T616" s="57"/>
      <c r="U616" s="55"/>
    </row>
    <row r="617" spans="2:21" x14ac:dyDescent="0.2">
      <c r="B617" s="49"/>
      <c r="C617" s="50"/>
      <c r="D617" s="72"/>
      <c r="E617" s="49"/>
      <c r="F617" s="49"/>
      <c r="G617" s="49"/>
      <c r="H617" s="49"/>
      <c r="I617" s="51"/>
      <c r="J617" s="52"/>
      <c r="K617" s="66"/>
      <c r="L617" s="66"/>
      <c r="M617" s="57"/>
      <c r="N617" s="54"/>
      <c r="O617" s="57"/>
      <c r="P617" s="54"/>
      <c r="Q617" s="55"/>
      <c r="R617" s="54"/>
      <c r="S617" s="54"/>
      <c r="T617" s="57"/>
      <c r="U617" s="55"/>
    </row>
    <row r="618" spans="2:21" x14ac:dyDescent="0.2">
      <c r="B618" s="49"/>
      <c r="C618" s="50"/>
      <c r="D618" s="72"/>
      <c r="E618" s="49"/>
      <c r="F618" s="49"/>
      <c r="G618" s="49"/>
      <c r="H618" s="49"/>
      <c r="I618" s="51"/>
      <c r="J618" s="52"/>
      <c r="K618" s="66"/>
      <c r="L618" s="66"/>
      <c r="M618" s="57"/>
      <c r="N618" s="54"/>
      <c r="O618" s="57"/>
      <c r="P618" s="54"/>
      <c r="Q618" s="55"/>
      <c r="R618" s="54"/>
      <c r="S618" s="54"/>
      <c r="T618" s="57"/>
      <c r="U618" s="55"/>
    </row>
    <row r="619" spans="2:21" x14ac:dyDescent="0.2">
      <c r="B619" s="49"/>
      <c r="C619" s="50"/>
      <c r="D619" s="72"/>
      <c r="E619" s="49"/>
      <c r="F619" s="49"/>
      <c r="G619" s="49"/>
      <c r="H619" s="49"/>
      <c r="I619" s="51"/>
      <c r="J619" s="52"/>
      <c r="K619" s="66"/>
      <c r="L619" s="66"/>
      <c r="M619" s="57"/>
      <c r="N619" s="54"/>
      <c r="O619" s="57"/>
      <c r="P619" s="54"/>
      <c r="Q619" s="55"/>
      <c r="R619" s="54"/>
      <c r="S619" s="54"/>
      <c r="T619" s="57"/>
      <c r="U619" s="55"/>
    </row>
    <row r="620" spans="2:21" x14ac:dyDescent="0.2">
      <c r="B620" s="49"/>
      <c r="C620" s="50"/>
      <c r="D620" s="72"/>
      <c r="E620" s="49"/>
      <c r="F620" s="49"/>
      <c r="G620" s="49"/>
      <c r="H620" s="49"/>
      <c r="I620" s="51"/>
      <c r="J620" s="52"/>
      <c r="K620" s="66"/>
      <c r="L620" s="66"/>
      <c r="M620" s="57"/>
      <c r="N620" s="54"/>
      <c r="O620" s="57"/>
      <c r="P620" s="54"/>
      <c r="Q620" s="55"/>
      <c r="R620" s="54"/>
      <c r="S620" s="54"/>
      <c r="T620" s="57"/>
      <c r="U620" s="55"/>
    </row>
    <row r="621" spans="2:21" x14ac:dyDescent="0.2">
      <c r="B621" s="49"/>
      <c r="C621" s="50"/>
      <c r="D621" s="72"/>
      <c r="E621" s="49"/>
      <c r="F621" s="49"/>
      <c r="G621" s="49"/>
      <c r="H621" s="49"/>
      <c r="I621" s="51"/>
      <c r="J621" s="52"/>
      <c r="K621" s="66"/>
      <c r="L621" s="66"/>
      <c r="M621" s="57"/>
      <c r="N621" s="54"/>
      <c r="O621" s="57"/>
      <c r="P621" s="54"/>
      <c r="Q621" s="55"/>
      <c r="R621" s="54"/>
      <c r="S621" s="54"/>
      <c r="T621" s="57"/>
      <c r="U621" s="55"/>
    </row>
    <row r="622" spans="2:21" x14ac:dyDescent="0.2">
      <c r="B622" s="49"/>
      <c r="C622" s="50"/>
      <c r="D622" s="72"/>
      <c r="E622" s="49"/>
      <c r="F622" s="49"/>
      <c r="G622" s="49"/>
      <c r="H622" s="49"/>
      <c r="I622" s="51"/>
      <c r="J622" s="52"/>
      <c r="K622" s="66"/>
      <c r="L622" s="66"/>
      <c r="M622" s="57"/>
      <c r="N622" s="54"/>
      <c r="O622" s="57"/>
      <c r="P622" s="54"/>
      <c r="Q622" s="55"/>
      <c r="R622" s="54"/>
      <c r="S622" s="54"/>
      <c r="T622" s="57"/>
      <c r="U622" s="55"/>
    </row>
    <row r="623" spans="2:21" x14ac:dyDescent="0.2">
      <c r="B623" s="49"/>
      <c r="C623" s="50"/>
      <c r="D623" s="72"/>
      <c r="E623" s="49"/>
      <c r="F623" s="49"/>
      <c r="G623" s="49"/>
      <c r="H623" s="49"/>
      <c r="I623" s="51"/>
      <c r="J623" s="52"/>
      <c r="K623" s="66"/>
      <c r="L623" s="66"/>
      <c r="M623" s="57"/>
      <c r="N623" s="54"/>
      <c r="O623" s="57"/>
      <c r="P623" s="54"/>
      <c r="Q623" s="55"/>
      <c r="R623" s="54"/>
      <c r="S623" s="54"/>
      <c r="T623" s="57"/>
      <c r="U623" s="55"/>
    </row>
    <row r="624" spans="2:21" x14ac:dyDescent="0.2">
      <c r="B624" s="49"/>
      <c r="C624" s="50"/>
      <c r="D624" s="72"/>
      <c r="E624" s="49"/>
      <c r="F624" s="49"/>
      <c r="G624" s="49"/>
      <c r="H624" s="49"/>
      <c r="I624" s="51"/>
      <c r="J624" s="52"/>
      <c r="K624" s="66"/>
      <c r="L624" s="66"/>
      <c r="M624" s="57"/>
      <c r="N624" s="54"/>
      <c r="O624" s="57"/>
      <c r="P624" s="54"/>
      <c r="Q624" s="55"/>
      <c r="R624" s="54"/>
      <c r="S624" s="54"/>
      <c r="T624" s="57"/>
      <c r="U624" s="55"/>
    </row>
    <row r="625" spans="2:21" x14ac:dyDescent="0.2">
      <c r="B625" s="49"/>
      <c r="C625" s="50"/>
      <c r="D625" s="72"/>
      <c r="E625" s="49"/>
      <c r="F625" s="49"/>
      <c r="G625" s="49"/>
      <c r="H625" s="49"/>
      <c r="I625" s="51"/>
      <c r="J625" s="52"/>
      <c r="K625" s="66"/>
      <c r="L625" s="66"/>
      <c r="M625" s="57"/>
      <c r="N625" s="54"/>
      <c r="O625" s="57"/>
      <c r="P625" s="54"/>
      <c r="Q625" s="55"/>
      <c r="R625" s="54"/>
      <c r="S625" s="54"/>
      <c r="T625" s="57"/>
      <c r="U625" s="55"/>
    </row>
    <row r="626" spans="2:21" x14ac:dyDescent="0.2">
      <c r="B626" s="49"/>
      <c r="C626" s="50"/>
      <c r="D626" s="72"/>
      <c r="E626" s="49"/>
      <c r="F626" s="49"/>
      <c r="G626" s="49"/>
      <c r="H626" s="49"/>
      <c r="I626" s="51"/>
      <c r="J626" s="52"/>
      <c r="K626" s="66"/>
      <c r="L626" s="66"/>
      <c r="M626" s="57"/>
      <c r="N626" s="54"/>
      <c r="O626" s="57"/>
      <c r="P626" s="54"/>
      <c r="Q626" s="55"/>
      <c r="R626" s="54"/>
      <c r="S626" s="54"/>
      <c r="T626" s="57"/>
      <c r="U626" s="55"/>
    </row>
    <row r="627" spans="2:21" x14ac:dyDescent="0.2">
      <c r="B627" s="49"/>
      <c r="C627" s="50"/>
      <c r="D627" s="72"/>
      <c r="E627" s="49"/>
      <c r="F627" s="49"/>
      <c r="G627" s="49"/>
      <c r="H627" s="49"/>
      <c r="I627" s="51"/>
      <c r="J627" s="52"/>
      <c r="K627" s="66"/>
      <c r="L627" s="66"/>
      <c r="M627" s="57"/>
      <c r="N627" s="54"/>
      <c r="O627" s="57"/>
      <c r="P627" s="54"/>
      <c r="Q627" s="55"/>
      <c r="R627" s="54"/>
      <c r="S627" s="54"/>
      <c r="T627" s="57"/>
      <c r="U627" s="55"/>
    </row>
    <row r="628" spans="2:21" x14ac:dyDescent="0.2">
      <c r="B628" s="49"/>
      <c r="C628" s="50"/>
      <c r="D628" s="72"/>
      <c r="E628" s="49"/>
      <c r="F628" s="49"/>
      <c r="G628" s="49"/>
      <c r="H628" s="49"/>
      <c r="I628" s="51"/>
      <c r="J628" s="52"/>
      <c r="K628" s="66"/>
      <c r="L628" s="66"/>
      <c r="M628" s="57"/>
      <c r="N628" s="54"/>
      <c r="O628" s="57"/>
      <c r="P628" s="54"/>
      <c r="Q628" s="55"/>
      <c r="R628" s="54"/>
      <c r="S628" s="54"/>
      <c r="T628" s="57"/>
      <c r="U628" s="55"/>
    </row>
    <row r="629" spans="2:21" x14ac:dyDescent="0.2">
      <c r="B629" s="49"/>
      <c r="C629" s="50"/>
      <c r="D629" s="72"/>
      <c r="E629" s="49"/>
      <c r="F629" s="49"/>
      <c r="G629" s="49"/>
      <c r="H629" s="49"/>
      <c r="I629" s="51"/>
      <c r="J629" s="52"/>
      <c r="K629" s="66"/>
      <c r="L629" s="66"/>
      <c r="M629" s="57"/>
      <c r="N629" s="54"/>
      <c r="O629" s="57"/>
      <c r="P629" s="54"/>
      <c r="Q629" s="55"/>
      <c r="R629" s="54"/>
      <c r="S629" s="54"/>
      <c r="T629" s="57"/>
      <c r="U629" s="55"/>
    </row>
    <row r="630" spans="2:21" x14ac:dyDescent="0.2">
      <c r="B630" s="49"/>
      <c r="C630" s="50"/>
      <c r="D630" s="72"/>
      <c r="E630" s="49"/>
      <c r="F630" s="49"/>
      <c r="G630" s="49"/>
      <c r="H630" s="49"/>
      <c r="I630" s="51"/>
      <c r="J630" s="52"/>
      <c r="K630" s="66"/>
      <c r="L630" s="66"/>
      <c r="M630" s="57"/>
      <c r="N630" s="54"/>
      <c r="O630" s="57"/>
      <c r="P630" s="54"/>
      <c r="Q630" s="55"/>
      <c r="R630" s="54"/>
      <c r="S630" s="54"/>
      <c r="T630" s="57"/>
      <c r="U630" s="55"/>
    </row>
    <row r="631" spans="2:21" x14ac:dyDescent="0.2">
      <c r="B631" s="49"/>
      <c r="C631" s="50"/>
      <c r="D631" s="72"/>
      <c r="E631" s="49"/>
      <c r="F631" s="49"/>
      <c r="G631" s="49"/>
      <c r="H631" s="49"/>
      <c r="I631" s="51"/>
      <c r="J631" s="52"/>
      <c r="K631" s="66"/>
      <c r="L631" s="66"/>
      <c r="M631" s="57"/>
      <c r="N631" s="54"/>
      <c r="O631" s="57"/>
      <c r="P631" s="54"/>
      <c r="Q631" s="55"/>
      <c r="R631" s="54"/>
      <c r="S631" s="54"/>
      <c r="T631" s="57"/>
      <c r="U631" s="55"/>
    </row>
    <row r="632" spans="2:21" x14ac:dyDescent="0.2">
      <c r="B632" s="49"/>
      <c r="C632" s="50"/>
      <c r="D632" s="72"/>
      <c r="E632" s="49"/>
      <c r="F632" s="49"/>
      <c r="G632" s="49"/>
      <c r="H632" s="49"/>
      <c r="I632" s="51"/>
      <c r="J632" s="52"/>
      <c r="K632" s="66"/>
      <c r="L632" s="66"/>
      <c r="M632" s="57"/>
      <c r="N632" s="54"/>
      <c r="O632" s="57"/>
      <c r="P632" s="54"/>
      <c r="Q632" s="55"/>
      <c r="R632" s="54"/>
      <c r="S632" s="54"/>
      <c r="T632" s="57"/>
      <c r="U632" s="55"/>
    </row>
    <row r="633" spans="2:21" x14ac:dyDescent="0.2">
      <c r="B633" s="49"/>
      <c r="C633" s="50"/>
      <c r="D633" s="72"/>
      <c r="E633" s="49"/>
      <c r="F633" s="49"/>
      <c r="G633" s="49"/>
      <c r="H633" s="49"/>
      <c r="I633" s="51"/>
      <c r="J633" s="52"/>
      <c r="K633" s="66"/>
      <c r="L633" s="66"/>
      <c r="M633" s="57"/>
      <c r="N633" s="54"/>
      <c r="O633" s="57"/>
      <c r="P633" s="54"/>
      <c r="Q633" s="55"/>
      <c r="R633" s="54"/>
      <c r="S633" s="54"/>
      <c r="T633" s="57"/>
      <c r="U633" s="55"/>
    </row>
    <row r="634" spans="2:21" x14ac:dyDescent="0.2">
      <c r="B634" s="49"/>
      <c r="C634" s="50"/>
      <c r="D634" s="72"/>
      <c r="E634" s="49"/>
      <c r="F634" s="49"/>
      <c r="G634" s="49"/>
      <c r="H634" s="49"/>
      <c r="I634" s="51"/>
      <c r="J634" s="52"/>
      <c r="K634" s="66"/>
      <c r="L634" s="66"/>
      <c r="M634" s="57"/>
      <c r="N634" s="54"/>
      <c r="O634" s="57"/>
      <c r="P634" s="54"/>
      <c r="Q634" s="55"/>
      <c r="R634" s="54"/>
      <c r="S634" s="54"/>
      <c r="T634" s="57"/>
      <c r="U634" s="55"/>
    </row>
    <row r="635" spans="2:21" x14ac:dyDescent="0.2">
      <c r="B635" s="49"/>
      <c r="C635" s="50"/>
      <c r="D635" s="72"/>
      <c r="E635" s="49"/>
      <c r="F635" s="49"/>
      <c r="G635" s="49"/>
      <c r="H635" s="49"/>
      <c r="I635" s="51"/>
      <c r="J635" s="52"/>
      <c r="K635" s="66"/>
      <c r="L635" s="66"/>
      <c r="M635" s="57"/>
      <c r="N635" s="54"/>
      <c r="O635" s="57"/>
      <c r="P635" s="54"/>
      <c r="Q635" s="55"/>
      <c r="R635" s="54"/>
      <c r="S635" s="54"/>
      <c r="T635" s="57"/>
      <c r="U635" s="55"/>
    </row>
    <row r="636" spans="2:21" x14ac:dyDescent="0.2">
      <c r="B636" s="49"/>
      <c r="C636" s="50"/>
      <c r="D636" s="72"/>
      <c r="E636" s="49"/>
      <c r="F636" s="49"/>
      <c r="G636" s="49"/>
      <c r="H636" s="49"/>
      <c r="I636" s="51"/>
      <c r="J636" s="52"/>
      <c r="K636" s="66"/>
      <c r="L636" s="66"/>
      <c r="M636" s="57"/>
      <c r="N636" s="54"/>
      <c r="O636" s="57"/>
      <c r="P636" s="54"/>
      <c r="Q636" s="55"/>
      <c r="R636" s="54"/>
      <c r="S636" s="54"/>
      <c r="T636" s="57"/>
      <c r="U636" s="55"/>
    </row>
    <row r="637" spans="2:21" x14ac:dyDescent="0.2">
      <c r="B637" s="49"/>
      <c r="C637" s="50"/>
      <c r="D637" s="72"/>
      <c r="E637" s="49"/>
      <c r="F637" s="49"/>
      <c r="G637" s="49"/>
      <c r="H637" s="49"/>
      <c r="I637" s="51"/>
      <c r="J637" s="52"/>
      <c r="K637" s="66"/>
      <c r="L637" s="66"/>
      <c r="M637" s="57"/>
      <c r="N637" s="54"/>
      <c r="O637" s="57"/>
      <c r="P637" s="54"/>
      <c r="Q637" s="55"/>
      <c r="R637" s="54"/>
      <c r="S637" s="54"/>
      <c r="T637" s="57"/>
      <c r="U637" s="55"/>
    </row>
    <row r="638" spans="2:21" x14ac:dyDescent="0.2">
      <c r="B638" s="49"/>
      <c r="C638" s="50"/>
      <c r="D638" s="72"/>
      <c r="E638" s="49"/>
      <c r="F638" s="49"/>
      <c r="G638" s="49"/>
      <c r="H638" s="49"/>
      <c r="I638" s="51"/>
      <c r="J638" s="52"/>
      <c r="K638" s="66"/>
      <c r="L638" s="66"/>
      <c r="M638" s="57"/>
      <c r="N638" s="54"/>
      <c r="O638" s="57"/>
      <c r="P638" s="54"/>
      <c r="Q638" s="55"/>
      <c r="R638" s="54"/>
      <c r="S638" s="54"/>
      <c r="T638" s="57"/>
      <c r="U638" s="55"/>
    </row>
    <row r="639" spans="2:21" x14ac:dyDescent="0.2">
      <c r="B639" s="49"/>
      <c r="C639" s="50"/>
      <c r="D639" s="72"/>
      <c r="E639" s="49"/>
      <c r="F639" s="49"/>
      <c r="G639" s="49"/>
      <c r="H639" s="49"/>
      <c r="I639" s="51"/>
      <c r="J639" s="52"/>
      <c r="K639" s="66"/>
      <c r="L639" s="66"/>
      <c r="M639" s="57"/>
      <c r="N639" s="54"/>
      <c r="O639" s="57"/>
      <c r="P639" s="54"/>
      <c r="Q639" s="55"/>
      <c r="R639" s="54"/>
      <c r="S639" s="54"/>
      <c r="T639" s="57"/>
      <c r="U639" s="55"/>
    </row>
    <row r="640" spans="2:21" x14ac:dyDescent="0.2">
      <c r="B640" s="49"/>
      <c r="C640" s="50"/>
      <c r="D640" s="72"/>
      <c r="E640" s="49"/>
      <c r="F640" s="49"/>
      <c r="G640" s="49"/>
      <c r="H640" s="49"/>
      <c r="I640" s="51"/>
      <c r="J640" s="52"/>
      <c r="K640" s="66"/>
      <c r="L640" s="66"/>
      <c r="M640" s="57"/>
      <c r="N640" s="54"/>
      <c r="O640" s="57"/>
      <c r="P640" s="54"/>
      <c r="Q640" s="55"/>
      <c r="R640" s="54"/>
      <c r="S640" s="54"/>
      <c r="T640" s="57"/>
      <c r="U640" s="55"/>
    </row>
    <row r="641" spans="2:21" x14ac:dyDescent="0.2">
      <c r="B641" s="49"/>
      <c r="C641" s="50"/>
      <c r="D641" s="72"/>
      <c r="E641" s="49"/>
      <c r="F641" s="49"/>
      <c r="G641" s="49"/>
      <c r="H641" s="49"/>
      <c r="I641" s="51"/>
      <c r="J641" s="52"/>
      <c r="K641" s="66"/>
      <c r="L641" s="66"/>
      <c r="M641" s="57"/>
      <c r="N641" s="54"/>
      <c r="O641" s="57"/>
      <c r="P641" s="54"/>
      <c r="Q641" s="55"/>
      <c r="R641" s="54"/>
      <c r="S641" s="54"/>
      <c r="T641" s="57"/>
      <c r="U641" s="55"/>
    </row>
    <row r="642" spans="2:21" x14ac:dyDescent="0.2">
      <c r="B642" s="49"/>
      <c r="C642" s="50"/>
      <c r="D642" s="72"/>
      <c r="E642" s="49"/>
      <c r="F642" s="49"/>
      <c r="G642" s="49"/>
      <c r="H642" s="49"/>
      <c r="I642" s="51"/>
      <c r="J642" s="52"/>
      <c r="K642" s="66"/>
      <c r="L642" s="66"/>
      <c r="M642" s="57"/>
      <c r="N642" s="54"/>
      <c r="O642" s="57"/>
      <c r="P642" s="54"/>
      <c r="Q642" s="55"/>
      <c r="R642" s="54"/>
      <c r="S642" s="54"/>
      <c r="T642" s="57"/>
      <c r="U642" s="55"/>
    </row>
    <row r="643" spans="2:21" x14ac:dyDescent="0.2">
      <c r="B643" s="49"/>
      <c r="C643" s="50"/>
      <c r="D643" s="72"/>
      <c r="E643" s="49"/>
      <c r="F643" s="49"/>
      <c r="G643" s="49"/>
      <c r="H643" s="49"/>
      <c r="I643" s="51"/>
      <c r="J643" s="52"/>
      <c r="K643" s="66"/>
      <c r="L643" s="66"/>
      <c r="M643" s="57"/>
      <c r="N643" s="54"/>
      <c r="O643" s="57"/>
      <c r="P643" s="54"/>
      <c r="Q643" s="55"/>
      <c r="R643" s="54"/>
      <c r="S643" s="54"/>
      <c r="T643" s="57"/>
      <c r="U643" s="55"/>
    </row>
    <row r="644" spans="2:21" x14ac:dyDescent="0.2">
      <c r="B644" s="49"/>
      <c r="C644" s="50"/>
      <c r="D644" s="72"/>
      <c r="E644" s="49"/>
      <c r="F644" s="49"/>
      <c r="G644" s="49"/>
      <c r="H644" s="49"/>
      <c r="I644" s="51"/>
      <c r="J644" s="52"/>
      <c r="K644" s="66"/>
      <c r="L644" s="66"/>
      <c r="M644" s="57"/>
      <c r="N644" s="54"/>
      <c r="O644" s="57"/>
      <c r="P644" s="54"/>
      <c r="Q644" s="55"/>
      <c r="R644" s="54"/>
      <c r="S644" s="54"/>
      <c r="T644" s="57"/>
      <c r="U644" s="55"/>
    </row>
    <row r="645" spans="2:21" x14ac:dyDescent="0.2">
      <c r="B645" s="49"/>
      <c r="C645" s="50"/>
      <c r="D645" s="72"/>
      <c r="E645" s="49"/>
      <c r="F645" s="49"/>
      <c r="G645" s="49"/>
      <c r="H645" s="49"/>
      <c r="I645" s="51"/>
      <c r="J645" s="52"/>
      <c r="K645" s="66"/>
      <c r="L645" s="66"/>
      <c r="M645" s="57"/>
      <c r="N645" s="54"/>
      <c r="O645" s="57"/>
      <c r="P645" s="54"/>
      <c r="Q645" s="55"/>
      <c r="R645" s="54"/>
      <c r="S645" s="54"/>
      <c r="T645" s="57"/>
      <c r="U645" s="55"/>
    </row>
    <row r="646" spans="2:21" x14ac:dyDescent="0.2">
      <c r="B646" s="49"/>
      <c r="C646" s="50"/>
      <c r="D646" s="72"/>
      <c r="E646" s="49"/>
      <c r="F646" s="49"/>
      <c r="G646" s="49"/>
      <c r="H646" s="49"/>
      <c r="I646" s="51"/>
      <c r="J646" s="52"/>
      <c r="K646" s="66"/>
      <c r="L646" s="66"/>
      <c r="M646" s="57"/>
      <c r="N646" s="54"/>
      <c r="O646" s="57"/>
      <c r="P646" s="54"/>
      <c r="Q646" s="55"/>
      <c r="R646" s="54"/>
      <c r="S646" s="54"/>
      <c r="T646" s="57"/>
      <c r="U646" s="55"/>
    </row>
    <row r="647" spans="2:21" x14ac:dyDescent="0.2">
      <c r="B647" s="49"/>
      <c r="C647" s="50"/>
      <c r="D647" s="72"/>
      <c r="E647" s="49"/>
      <c r="F647" s="49"/>
      <c r="G647" s="49"/>
      <c r="H647" s="49"/>
      <c r="I647" s="51"/>
      <c r="J647" s="52"/>
      <c r="K647" s="66"/>
      <c r="L647" s="66"/>
      <c r="M647" s="57"/>
      <c r="N647" s="54"/>
      <c r="O647" s="57"/>
      <c r="P647" s="54"/>
      <c r="Q647" s="55"/>
      <c r="R647" s="54"/>
      <c r="S647" s="54"/>
      <c r="T647" s="57"/>
      <c r="U647" s="55"/>
    </row>
    <row r="648" spans="2:21" x14ac:dyDescent="0.2">
      <c r="B648" s="49"/>
      <c r="C648" s="50"/>
      <c r="D648" s="72"/>
      <c r="E648" s="49"/>
      <c r="F648" s="49"/>
      <c r="G648" s="49"/>
      <c r="H648" s="49"/>
      <c r="I648" s="51"/>
      <c r="J648" s="52"/>
      <c r="K648" s="66"/>
      <c r="L648" s="66"/>
      <c r="M648" s="57"/>
      <c r="N648" s="54"/>
      <c r="O648" s="57"/>
      <c r="P648" s="54"/>
      <c r="Q648" s="55"/>
      <c r="R648" s="54"/>
      <c r="S648" s="54"/>
      <c r="T648" s="57"/>
      <c r="U648" s="55"/>
    </row>
    <row r="649" spans="2:21" x14ac:dyDescent="0.2">
      <c r="B649" s="49"/>
      <c r="C649" s="50"/>
      <c r="D649" s="72"/>
      <c r="E649" s="49"/>
      <c r="F649" s="49"/>
      <c r="G649" s="49"/>
      <c r="H649" s="49"/>
      <c r="I649" s="51"/>
      <c r="J649" s="52"/>
      <c r="K649" s="66"/>
      <c r="L649" s="66"/>
      <c r="M649" s="57"/>
      <c r="N649" s="54"/>
      <c r="O649" s="57"/>
      <c r="P649" s="54"/>
      <c r="Q649" s="55"/>
      <c r="R649" s="54"/>
      <c r="S649" s="54"/>
      <c r="T649" s="57"/>
      <c r="U649" s="55"/>
    </row>
    <row r="650" spans="2:21" x14ac:dyDescent="0.2">
      <c r="B650" s="49"/>
      <c r="C650" s="50"/>
      <c r="D650" s="72"/>
      <c r="E650" s="49"/>
      <c r="F650" s="49"/>
      <c r="G650" s="49"/>
      <c r="H650" s="49"/>
      <c r="I650" s="51"/>
      <c r="J650" s="52"/>
      <c r="K650" s="66"/>
      <c r="L650" s="66"/>
      <c r="M650" s="57"/>
      <c r="N650" s="54"/>
      <c r="O650" s="57"/>
      <c r="P650" s="54"/>
      <c r="Q650" s="55"/>
      <c r="R650" s="54"/>
      <c r="S650" s="54"/>
      <c r="T650" s="57"/>
      <c r="U650" s="55"/>
    </row>
    <row r="651" spans="2:21" x14ac:dyDescent="0.2">
      <c r="B651" s="49"/>
      <c r="C651" s="50"/>
      <c r="D651" s="72"/>
      <c r="E651" s="49"/>
      <c r="F651" s="49"/>
      <c r="G651" s="49"/>
      <c r="H651" s="49"/>
      <c r="I651" s="51"/>
      <c r="J651" s="52"/>
      <c r="K651" s="66"/>
      <c r="L651" s="66"/>
      <c r="M651" s="57"/>
      <c r="N651" s="54"/>
      <c r="O651" s="57"/>
      <c r="P651" s="54"/>
      <c r="Q651" s="55"/>
      <c r="R651" s="54"/>
      <c r="S651" s="54"/>
      <c r="T651" s="57"/>
      <c r="U651" s="55"/>
    </row>
    <row r="652" spans="2:21" x14ac:dyDescent="0.2">
      <c r="B652" s="49"/>
      <c r="C652" s="50"/>
      <c r="D652" s="72"/>
      <c r="E652" s="49"/>
      <c r="F652" s="49"/>
      <c r="G652" s="49"/>
      <c r="H652" s="49"/>
      <c r="I652" s="51"/>
      <c r="J652" s="52"/>
      <c r="K652" s="66"/>
      <c r="L652" s="66"/>
      <c r="M652" s="57"/>
      <c r="N652" s="54"/>
      <c r="O652" s="57"/>
      <c r="P652" s="54"/>
      <c r="Q652" s="55"/>
      <c r="R652" s="54"/>
      <c r="S652" s="54"/>
      <c r="T652" s="57"/>
      <c r="U652" s="55"/>
    </row>
    <row r="653" spans="2:21" x14ac:dyDescent="0.2">
      <c r="B653" s="49"/>
      <c r="C653" s="50"/>
      <c r="D653" s="72"/>
      <c r="E653" s="49"/>
      <c r="F653" s="49"/>
      <c r="G653" s="49"/>
      <c r="H653" s="49"/>
      <c r="I653" s="51"/>
      <c r="J653" s="52"/>
      <c r="K653" s="66"/>
      <c r="L653" s="66"/>
      <c r="M653" s="57"/>
      <c r="N653" s="54"/>
      <c r="O653" s="57"/>
      <c r="P653" s="54"/>
      <c r="Q653" s="55"/>
      <c r="R653" s="54"/>
      <c r="S653" s="54"/>
      <c r="T653" s="57"/>
      <c r="U653" s="55"/>
    </row>
    <row r="654" spans="2:21" x14ac:dyDescent="0.2">
      <c r="B654" s="49"/>
      <c r="C654" s="50"/>
      <c r="D654" s="72"/>
      <c r="E654" s="49"/>
      <c r="F654" s="49"/>
      <c r="G654" s="49"/>
      <c r="H654" s="49"/>
      <c r="I654" s="51"/>
      <c r="J654" s="52"/>
      <c r="K654" s="66"/>
      <c r="L654" s="66"/>
      <c r="M654" s="57"/>
      <c r="N654" s="54"/>
      <c r="O654" s="57"/>
      <c r="P654" s="54"/>
      <c r="Q654" s="55"/>
      <c r="R654" s="54"/>
      <c r="S654" s="54"/>
      <c r="T654" s="57"/>
      <c r="U654" s="55"/>
    </row>
    <row r="655" spans="2:21" x14ac:dyDescent="0.2">
      <c r="B655" s="49"/>
      <c r="C655" s="50"/>
      <c r="D655" s="72"/>
      <c r="E655" s="49"/>
      <c r="F655" s="49"/>
      <c r="G655" s="49"/>
      <c r="H655" s="49"/>
      <c r="I655" s="51"/>
      <c r="J655" s="52"/>
      <c r="K655" s="66"/>
      <c r="L655" s="66"/>
      <c r="M655" s="57"/>
      <c r="N655" s="54"/>
      <c r="O655" s="57"/>
      <c r="P655" s="54"/>
      <c r="Q655" s="55"/>
      <c r="R655" s="54"/>
      <c r="S655" s="54"/>
      <c r="T655" s="57"/>
      <c r="U655" s="55"/>
    </row>
    <row r="656" spans="2:21" x14ac:dyDescent="0.2">
      <c r="B656" s="49"/>
      <c r="C656" s="50"/>
      <c r="D656" s="72"/>
      <c r="E656" s="49"/>
      <c r="F656" s="49"/>
      <c r="G656" s="49"/>
      <c r="H656" s="49"/>
      <c r="I656" s="51"/>
      <c r="J656" s="52"/>
      <c r="K656" s="66"/>
      <c r="L656" s="66"/>
      <c r="M656" s="57"/>
      <c r="N656" s="54"/>
      <c r="O656" s="57"/>
      <c r="P656" s="54"/>
      <c r="Q656" s="55"/>
      <c r="R656" s="54"/>
      <c r="S656" s="54"/>
      <c r="T656" s="57"/>
      <c r="U656" s="55"/>
    </row>
    <row r="657" spans="2:21" x14ac:dyDescent="0.2">
      <c r="B657" s="49"/>
      <c r="C657" s="50"/>
      <c r="D657" s="72"/>
      <c r="E657" s="49"/>
      <c r="F657" s="49"/>
      <c r="G657" s="49"/>
      <c r="H657" s="49"/>
      <c r="I657" s="51"/>
      <c r="J657" s="52"/>
      <c r="K657" s="66"/>
      <c r="L657" s="66"/>
      <c r="M657" s="57"/>
      <c r="N657" s="54"/>
      <c r="O657" s="57"/>
      <c r="P657" s="54"/>
      <c r="Q657" s="55"/>
      <c r="R657" s="54"/>
      <c r="S657" s="54"/>
      <c r="T657" s="57"/>
      <c r="U657" s="55"/>
    </row>
    <row r="658" spans="2:21" x14ac:dyDescent="0.2">
      <c r="B658" s="49"/>
      <c r="C658" s="50"/>
      <c r="D658" s="72"/>
      <c r="E658" s="49"/>
      <c r="F658" s="49"/>
      <c r="G658" s="49"/>
      <c r="H658" s="49"/>
      <c r="I658" s="51"/>
      <c r="J658" s="52"/>
      <c r="K658" s="66"/>
      <c r="L658" s="66"/>
      <c r="M658" s="57"/>
      <c r="N658" s="54"/>
      <c r="O658" s="57"/>
      <c r="P658" s="54"/>
      <c r="Q658" s="55"/>
      <c r="R658" s="54"/>
      <c r="S658" s="54"/>
      <c r="T658" s="57"/>
      <c r="U658" s="55"/>
    </row>
    <row r="659" spans="2:21" x14ac:dyDescent="0.2">
      <c r="B659" s="49"/>
      <c r="C659" s="50"/>
      <c r="D659" s="72"/>
      <c r="E659" s="49"/>
      <c r="F659" s="49"/>
      <c r="G659" s="49"/>
      <c r="H659" s="49"/>
      <c r="I659" s="51"/>
      <c r="J659" s="52"/>
      <c r="K659" s="66"/>
      <c r="L659" s="66"/>
      <c r="M659" s="57"/>
      <c r="N659" s="54"/>
      <c r="O659" s="57"/>
      <c r="P659" s="54"/>
      <c r="Q659" s="55"/>
      <c r="R659" s="54"/>
      <c r="S659" s="54"/>
      <c r="T659" s="57"/>
      <c r="U659" s="55"/>
    </row>
    <row r="660" spans="2:21" x14ac:dyDescent="0.2">
      <c r="B660" s="49"/>
      <c r="C660" s="50"/>
      <c r="D660" s="72"/>
      <c r="E660" s="49"/>
      <c r="F660" s="49"/>
      <c r="G660" s="49"/>
      <c r="H660" s="49"/>
      <c r="I660" s="51"/>
      <c r="J660" s="52"/>
      <c r="K660" s="66"/>
      <c r="L660" s="66"/>
      <c r="M660" s="57"/>
      <c r="N660" s="54"/>
      <c r="O660" s="57"/>
      <c r="P660" s="54"/>
      <c r="Q660" s="55"/>
      <c r="R660" s="54"/>
      <c r="S660" s="54"/>
      <c r="T660" s="57"/>
      <c r="U660" s="55"/>
    </row>
    <row r="661" spans="2:21" x14ac:dyDescent="0.2">
      <c r="B661" s="49"/>
      <c r="C661" s="50"/>
      <c r="D661" s="72"/>
      <c r="E661" s="49"/>
      <c r="F661" s="49"/>
      <c r="G661" s="49"/>
      <c r="H661" s="49"/>
      <c r="I661" s="51"/>
      <c r="J661" s="52"/>
      <c r="K661" s="66"/>
      <c r="L661" s="66"/>
      <c r="M661" s="57"/>
      <c r="N661" s="54"/>
      <c r="O661" s="57"/>
      <c r="P661" s="54"/>
      <c r="Q661" s="55"/>
      <c r="R661" s="54"/>
      <c r="S661" s="54"/>
      <c r="T661" s="57"/>
      <c r="U661" s="55"/>
    </row>
    <row r="662" spans="2:21" x14ac:dyDescent="0.2">
      <c r="B662" s="49"/>
      <c r="C662" s="50"/>
      <c r="D662" s="72"/>
      <c r="E662" s="49"/>
      <c r="F662" s="49"/>
      <c r="G662" s="49"/>
      <c r="H662" s="49"/>
      <c r="I662" s="51"/>
      <c r="J662" s="52"/>
      <c r="K662" s="66"/>
      <c r="L662" s="66"/>
      <c r="M662" s="57"/>
      <c r="N662" s="54"/>
      <c r="O662" s="57"/>
      <c r="P662" s="54"/>
      <c r="Q662" s="55"/>
      <c r="R662" s="54"/>
      <c r="S662" s="54"/>
      <c r="T662" s="57"/>
      <c r="U662" s="55"/>
    </row>
    <row r="663" spans="2:21" x14ac:dyDescent="0.2">
      <c r="B663" s="49"/>
      <c r="C663" s="50"/>
      <c r="D663" s="72"/>
      <c r="E663" s="49"/>
      <c r="F663" s="49"/>
      <c r="G663" s="49"/>
      <c r="H663" s="49"/>
      <c r="I663" s="51"/>
      <c r="J663" s="52"/>
      <c r="K663" s="66"/>
      <c r="L663" s="66"/>
      <c r="M663" s="57"/>
      <c r="N663" s="54"/>
      <c r="O663" s="57"/>
      <c r="P663" s="54"/>
      <c r="Q663" s="55"/>
      <c r="R663" s="54"/>
      <c r="S663" s="54"/>
      <c r="T663" s="57"/>
      <c r="U663" s="55"/>
    </row>
    <row r="664" spans="2:21" x14ac:dyDescent="0.2">
      <c r="B664" s="49"/>
      <c r="C664" s="50"/>
      <c r="D664" s="72"/>
      <c r="E664" s="49"/>
      <c r="F664" s="49"/>
      <c r="G664" s="49"/>
      <c r="H664" s="49"/>
      <c r="I664" s="51"/>
      <c r="J664" s="52"/>
      <c r="K664" s="66"/>
      <c r="L664" s="66"/>
      <c r="M664" s="57"/>
      <c r="N664" s="54"/>
      <c r="O664" s="57"/>
      <c r="P664" s="54"/>
      <c r="Q664" s="55"/>
      <c r="R664" s="54"/>
      <c r="S664" s="54"/>
      <c r="T664" s="57"/>
      <c r="U664" s="55"/>
    </row>
    <row r="665" spans="2:21" x14ac:dyDescent="0.2">
      <c r="B665" s="49"/>
      <c r="C665" s="50"/>
      <c r="D665" s="72"/>
      <c r="E665" s="49"/>
      <c r="F665" s="49"/>
      <c r="G665" s="49"/>
      <c r="H665" s="49"/>
      <c r="I665" s="51"/>
      <c r="J665" s="52"/>
      <c r="K665" s="66"/>
      <c r="L665" s="66"/>
      <c r="M665" s="57"/>
      <c r="N665" s="54"/>
      <c r="O665" s="57"/>
      <c r="P665" s="54"/>
      <c r="Q665" s="55"/>
      <c r="R665" s="54"/>
      <c r="S665" s="54"/>
      <c r="T665" s="57"/>
      <c r="U665" s="55"/>
    </row>
    <row r="666" spans="2:21" x14ac:dyDescent="0.2">
      <c r="B666" s="49"/>
      <c r="C666" s="50"/>
      <c r="D666" s="72"/>
      <c r="E666" s="49"/>
      <c r="F666" s="49"/>
      <c r="G666" s="49"/>
      <c r="H666" s="49"/>
      <c r="I666" s="51"/>
      <c r="J666" s="52"/>
      <c r="K666" s="66"/>
      <c r="L666" s="66"/>
      <c r="M666" s="57"/>
      <c r="N666" s="54"/>
      <c r="O666" s="57"/>
      <c r="P666" s="54"/>
      <c r="Q666" s="55"/>
      <c r="R666" s="54"/>
      <c r="S666" s="54"/>
      <c r="T666" s="57"/>
      <c r="U666" s="55"/>
    </row>
    <row r="667" spans="2:21" x14ac:dyDescent="0.2">
      <c r="B667" s="49"/>
      <c r="C667" s="50"/>
      <c r="D667" s="72"/>
      <c r="E667" s="49"/>
      <c r="F667" s="49"/>
      <c r="G667" s="49"/>
      <c r="H667" s="49"/>
      <c r="I667" s="51"/>
      <c r="J667" s="52"/>
      <c r="K667" s="66"/>
      <c r="L667" s="66"/>
      <c r="M667" s="57"/>
      <c r="N667" s="54"/>
      <c r="O667" s="57"/>
      <c r="P667" s="54"/>
      <c r="Q667" s="55"/>
      <c r="R667" s="54"/>
      <c r="S667" s="54"/>
      <c r="T667" s="57"/>
      <c r="U667" s="55"/>
    </row>
    <row r="668" spans="2:21" x14ac:dyDescent="0.2">
      <c r="B668" s="49"/>
      <c r="C668" s="50"/>
      <c r="D668" s="72"/>
      <c r="E668" s="49"/>
      <c r="F668" s="49"/>
      <c r="G668" s="49"/>
      <c r="H668" s="49"/>
      <c r="I668" s="51"/>
      <c r="J668" s="52"/>
      <c r="K668" s="66"/>
      <c r="L668" s="66"/>
      <c r="M668" s="57"/>
      <c r="N668" s="54"/>
      <c r="O668" s="57"/>
      <c r="P668" s="54"/>
      <c r="Q668" s="55"/>
      <c r="R668" s="54"/>
      <c r="S668" s="54"/>
      <c r="T668" s="57"/>
      <c r="U668" s="55"/>
    </row>
    <row r="669" spans="2:21" x14ac:dyDescent="0.2">
      <c r="B669" s="49"/>
      <c r="C669" s="50"/>
      <c r="D669" s="72"/>
      <c r="E669" s="49"/>
      <c r="F669" s="49"/>
      <c r="G669" s="49"/>
      <c r="H669" s="49"/>
      <c r="I669" s="51"/>
      <c r="J669" s="52"/>
      <c r="K669" s="66"/>
      <c r="L669" s="66"/>
      <c r="M669" s="57"/>
      <c r="N669" s="54"/>
      <c r="O669" s="57"/>
      <c r="P669" s="54"/>
      <c r="Q669" s="55"/>
      <c r="R669" s="54"/>
      <c r="S669" s="54"/>
      <c r="T669" s="57"/>
      <c r="U669" s="55"/>
    </row>
    <row r="670" spans="2:21" x14ac:dyDescent="0.2">
      <c r="B670" s="49"/>
      <c r="C670" s="50"/>
      <c r="D670" s="72"/>
      <c r="E670" s="49"/>
      <c r="F670" s="49"/>
      <c r="G670" s="49"/>
      <c r="H670" s="49"/>
      <c r="I670" s="51"/>
      <c r="J670" s="52"/>
      <c r="K670" s="66"/>
      <c r="L670" s="66"/>
      <c r="M670" s="57"/>
      <c r="N670" s="54"/>
      <c r="O670" s="57"/>
      <c r="P670" s="54"/>
      <c r="Q670" s="55"/>
      <c r="R670" s="54"/>
      <c r="S670" s="54"/>
      <c r="T670" s="57"/>
      <c r="U670" s="55"/>
    </row>
    <row r="671" spans="2:21" x14ac:dyDescent="0.2">
      <c r="B671" s="49"/>
      <c r="C671" s="50"/>
      <c r="D671" s="72"/>
      <c r="E671" s="49"/>
      <c r="F671" s="49"/>
      <c r="G671" s="49"/>
      <c r="H671" s="49"/>
      <c r="I671" s="51"/>
      <c r="J671" s="52"/>
      <c r="K671" s="66"/>
      <c r="L671" s="66"/>
      <c r="M671" s="57"/>
      <c r="N671" s="54"/>
      <c r="O671" s="57"/>
      <c r="P671" s="54"/>
      <c r="Q671" s="55"/>
      <c r="R671" s="54"/>
      <c r="S671" s="54"/>
      <c r="T671" s="57"/>
      <c r="U671" s="55"/>
    </row>
    <row r="672" spans="2:21" x14ac:dyDescent="0.2">
      <c r="B672" s="49"/>
      <c r="C672" s="50"/>
      <c r="D672" s="72"/>
      <c r="E672" s="49"/>
      <c r="F672" s="49"/>
      <c r="G672" s="49"/>
      <c r="H672" s="49"/>
      <c r="I672" s="51"/>
      <c r="J672" s="52"/>
      <c r="K672" s="66"/>
      <c r="L672" s="66"/>
      <c r="M672" s="57"/>
      <c r="N672" s="54"/>
      <c r="O672" s="57"/>
      <c r="P672" s="54"/>
      <c r="Q672" s="55"/>
      <c r="R672" s="54"/>
      <c r="S672" s="54"/>
      <c r="T672" s="57"/>
      <c r="U672" s="55"/>
    </row>
    <row r="673" spans="2:21" x14ac:dyDescent="0.2">
      <c r="B673" s="49"/>
      <c r="C673" s="50"/>
      <c r="D673" s="72"/>
      <c r="E673" s="49"/>
      <c r="F673" s="49"/>
      <c r="G673" s="49"/>
      <c r="H673" s="49"/>
      <c r="I673" s="51"/>
      <c r="J673" s="52"/>
      <c r="K673" s="66"/>
      <c r="L673" s="66"/>
      <c r="M673" s="57"/>
      <c r="N673" s="54"/>
      <c r="O673" s="57"/>
      <c r="P673" s="54"/>
      <c r="Q673" s="55"/>
      <c r="R673" s="54"/>
      <c r="S673" s="54"/>
      <c r="T673" s="57"/>
      <c r="U673" s="55"/>
    </row>
    <row r="674" spans="2:21" x14ac:dyDescent="0.2">
      <c r="B674" s="49"/>
      <c r="C674" s="50"/>
      <c r="D674" s="72"/>
      <c r="E674" s="49"/>
      <c r="F674" s="49"/>
      <c r="G674" s="49"/>
      <c r="H674" s="49"/>
      <c r="I674" s="51"/>
      <c r="J674" s="52"/>
      <c r="K674" s="66"/>
      <c r="L674" s="66"/>
      <c r="M674" s="57"/>
      <c r="N674" s="54"/>
      <c r="O674" s="57"/>
      <c r="P674" s="54"/>
      <c r="Q674" s="55"/>
      <c r="R674" s="54"/>
      <c r="S674" s="54"/>
      <c r="T674" s="57"/>
      <c r="U674" s="55"/>
    </row>
    <row r="675" spans="2:21" x14ac:dyDescent="0.2">
      <c r="B675" s="49"/>
      <c r="C675" s="50"/>
      <c r="D675" s="72"/>
      <c r="E675" s="49"/>
      <c r="F675" s="49"/>
      <c r="G675" s="49"/>
      <c r="H675" s="49"/>
      <c r="I675" s="51"/>
      <c r="J675" s="52"/>
      <c r="K675" s="66"/>
      <c r="L675" s="66"/>
      <c r="M675" s="57"/>
      <c r="N675" s="54"/>
      <c r="O675" s="57"/>
      <c r="P675" s="54"/>
      <c r="Q675" s="55"/>
      <c r="R675" s="54"/>
      <c r="S675" s="54"/>
      <c r="T675" s="57"/>
      <c r="U675" s="55"/>
    </row>
    <row r="676" spans="2:21" x14ac:dyDescent="0.2">
      <c r="B676" s="49"/>
      <c r="C676" s="50"/>
      <c r="D676" s="72"/>
      <c r="E676" s="49"/>
      <c r="F676" s="49"/>
      <c r="G676" s="49"/>
      <c r="H676" s="49"/>
      <c r="I676" s="51"/>
      <c r="J676" s="52"/>
      <c r="K676" s="66"/>
      <c r="L676" s="66"/>
      <c r="M676" s="57"/>
      <c r="N676" s="54"/>
      <c r="O676" s="57"/>
      <c r="P676" s="54"/>
      <c r="Q676" s="55"/>
      <c r="R676" s="54"/>
      <c r="S676" s="54"/>
      <c r="T676" s="57"/>
      <c r="U676" s="55"/>
    </row>
    <row r="677" spans="2:21" x14ac:dyDescent="0.2">
      <c r="B677" s="49"/>
      <c r="C677" s="50"/>
      <c r="D677" s="72"/>
      <c r="E677" s="49"/>
      <c r="F677" s="49"/>
      <c r="G677" s="49"/>
      <c r="H677" s="49"/>
      <c r="I677" s="51"/>
      <c r="J677" s="52"/>
      <c r="K677" s="66"/>
      <c r="L677" s="66"/>
      <c r="M677" s="57"/>
      <c r="N677" s="54"/>
      <c r="O677" s="57"/>
      <c r="P677" s="54"/>
      <c r="Q677" s="55"/>
      <c r="R677" s="54"/>
      <c r="S677" s="54"/>
      <c r="T677" s="57"/>
      <c r="U677" s="55"/>
    </row>
    <row r="678" spans="2:21" x14ac:dyDescent="0.2">
      <c r="B678" s="49"/>
      <c r="C678" s="50"/>
      <c r="D678" s="72"/>
      <c r="E678" s="49"/>
      <c r="F678" s="49"/>
      <c r="G678" s="49"/>
      <c r="H678" s="49"/>
      <c r="I678" s="51"/>
      <c r="J678" s="52"/>
      <c r="K678" s="66"/>
      <c r="L678" s="66"/>
      <c r="M678" s="57"/>
      <c r="N678" s="54"/>
      <c r="O678" s="57"/>
      <c r="P678" s="54"/>
      <c r="Q678" s="55"/>
      <c r="R678" s="54"/>
      <c r="S678" s="54"/>
      <c r="T678" s="57"/>
      <c r="U678" s="55"/>
    </row>
    <row r="679" spans="2:21" x14ac:dyDescent="0.2">
      <c r="B679" s="49"/>
      <c r="C679" s="50"/>
      <c r="D679" s="72"/>
      <c r="E679" s="49"/>
      <c r="F679" s="49"/>
      <c r="G679" s="49"/>
      <c r="H679" s="49"/>
      <c r="I679" s="51"/>
      <c r="J679" s="52"/>
      <c r="K679" s="66"/>
      <c r="L679" s="66"/>
      <c r="M679" s="57"/>
      <c r="N679" s="54"/>
      <c r="O679" s="57"/>
      <c r="P679" s="54"/>
      <c r="Q679" s="55"/>
      <c r="R679" s="54"/>
      <c r="S679" s="54"/>
      <c r="T679" s="57"/>
      <c r="U679" s="55"/>
    </row>
    <row r="680" spans="2:21" x14ac:dyDescent="0.2">
      <c r="B680" s="49"/>
      <c r="C680" s="50"/>
      <c r="D680" s="72"/>
      <c r="E680" s="49"/>
      <c r="F680" s="49"/>
      <c r="G680" s="49"/>
      <c r="H680" s="49"/>
      <c r="I680" s="51"/>
      <c r="J680" s="52"/>
      <c r="K680" s="66"/>
      <c r="L680" s="66"/>
      <c r="M680" s="57"/>
      <c r="N680" s="54"/>
      <c r="O680" s="57"/>
      <c r="P680" s="54"/>
      <c r="Q680" s="55"/>
      <c r="R680" s="54"/>
      <c r="S680" s="54"/>
      <c r="T680" s="57"/>
      <c r="U680" s="55"/>
    </row>
    <row r="681" spans="2:21" x14ac:dyDescent="0.2">
      <c r="B681" s="49"/>
      <c r="C681" s="50"/>
      <c r="D681" s="72"/>
      <c r="E681" s="49"/>
      <c r="F681" s="49"/>
      <c r="G681" s="49"/>
      <c r="H681" s="49"/>
      <c r="I681" s="51"/>
      <c r="J681" s="52"/>
      <c r="K681" s="66"/>
      <c r="L681" s="66"/>
      <c r="M681" s="57"/>
      <c r="N681" s="54"/>
      <c r="O681" s="57"/>
      <c r="P681" s="54"/>
      <c r="Q681" s="55"/>
      <c r="R681" s="54"/>
      <c r="S681" s="54"/>
      <c r="T681" s="57"/>
      <c r="U681" s="55"/>
    </row>
    <row r="682" spans="2:21" x14ac:dyDescent="0.2">
      <c r="B682" s="49"/>
      <c r="C682" s="50"/>
      <c r="D682" s="72"/>
      <c r="E682" s="49"/>
      <c r="F682" s="49"/>
      <c r="G682" s="49"/>
      <c r="H682" s="49"/>
      <c r="I682" s="51"/>
      <c r="J682" s="52"/>
      <c r="K682" s="66"/>
      <c r="L682" s="66"/>
      <c r="M682" s="57"/>
      <c r="N682" s="54"/>
      <c r="O682" s="57"/>
      <c r="P682" s="54"/>
      <c r="Q682" s="55"/>
      <c r="R682" s="54"/>
      <c r="S682" s="54"/>
      <c r="T682" s="57"/>
      <c r="U682" s="55"/>
    </row>
    <row r="683" spans="2:21" x14ac:dyDescent="0.2">
      <c r="B683" s="49"/>
      <c r="C683" s="50"/>
      <c r="D683" s="72"/>
      <c r="E683" s="49"/>
      <c r="F683" s="49"/>
      <c r="G683" s="49"/>
      <c r="H683" s="49"/>
      <c r="I683" s="51"/>
      <c r="J683" s="52"/>
      <c r="K683" s="66"/>
      <c r="L683" s="66"/>
      <c r="M683" s="57"/>
      <c r="N683" s="54"/>
      <c r="O683" s="57"/>
      <c r="P683" s="54"/>
      <c r="Q683" s="55"/>
      <c r="R683" s="54"/>
      <c r="S683" s="54"/>
      <c r="T683" s="57"/>
      <c r="U683" s="55"/>
    </row>
    <row r="684" spans="2:21" x14ac:dyDescent="0.2">
      <c r="B684" s="49"/>
      <c r="C684" s="50"/>
      <c r="D684" s="72"/>
      <c r="E684" s="49"/>
      <c r="F684" s="49"/>
      <c r="G684" s="49"/>
      <c r="H684" s="49"/>
      <c r="I684" s="51"/>
      <c r="J684" s="52"/>
      <c r="K684" s="66"/>
      <c r="L684" s="66"/>
      <c r="M684" s="57"/>
      <c r="N684" s="54"/>
      <c r="O684" s="57"/>
      <c r="P684" s="54"/>
      <c r="Q684" s="55"/>
      <c r="R684" s="54"/>
      <c r="S684" s="54"/>
      <c r="T684" s="57"/>
      <c r="U684" s="55"/>
    </row>
    <row r="685" spans="2:21" x14ac:dyDescent="0.2">
      <c r="B685" s="49"/>
      <c r="C685" s="50"/>
      <c r="D685" s="72"/>
      <c r="E685" s="49"/>
      <c r="F685" s="49"/>
      <c r="G685" s="49"/>
      <c r="H685" s="49"/>
      <c r="I685" s="51"/>
      <c r="J685" s="52"/>
      <c r="K685" s="66"/>
      <c r="L685" s="66"/>
      <c r="M685" s="57"/>
      <c r="N685" s="54"/>
      <c r="O685" s="57"/>
      <c r="P685" s="54"/>
      <c r="Q685" s="55"/>
      <c r="R685" s="54"/>
      <c r="S685" s="54"/>
      <c r="T685" s="57"/>
      <c r="U685" s="55"/>
    </row>
    <row r="686" spans="2:21" x14ac:dyDescent="0.2">
      <c r="B686" s="49"/>
      <c r="C686" s="50"/>
      <c r="D686" s="72"/>
      <c r="E686" s="49"/>
      <c r="F686" s="49"/>
      <c r="G686" s="49"/>
      <c r="H686" s="49"/>
      <c r="I686" s="51"/>
      <c r="J686" s="52"/>
      <c r="K686" s="66"/>
      <c r="L686" s="66"/>
      <c r="M686" s="57"/>
      <c r="N686" s="54"/>
      <c r="O686" s="57"/>
      <c r="P686" s="54"/>
      <c r="Q686" s="55"/>
      <c r="R686" s="54"/>
      <c r="S686" s="54"/>
      <c r="T686" s="57"/>
      <c r="U686" s="55"/>
    </row>
    <row r="687" spans="2:21" x14ac:dyDescent="0.2">
      <c r="B687" s="49"/>
      <c r="C687" s="50"/>
      <c r="D687" s="72"/>
      <c r="E687" s="49"/>
      <c r="F687" s="49"/>
      <c r="G687" s="49"/>
      <c r="H687" s="49"/>
      <c r="I687" s="51"/>
      <c r="J687" s="52"/>
      <c r="K687" s="66"/>
      <c r="L687" s="66"/>
      <c r="M687" s="57"/>
      <c r="N687" s="54"/>
      <c r="O687" s="57"/>
      <c r="P687" s="54"/>
      <c r="Q687" s="55"/>
      <c r="R687" s="54"/>
      <c r="S687" s="54"/>
      <c r="T687" s="57"/>
      <c r="U687" s="55"/>
    </row>
    <row r="688" spans="2:21" x14ac:dyDescent="0.2">
      <c r="B688" s="49"/>
      <c r="C688" s="50"/>
      <c r="D688" s="72"/>
      <c r="E688" s="49"/>
      <c r="F688" s="49"/>
      <c r="G688" s="49"/>
      <c r="H688" s="49"/>
      <c r="I688" s="51"/>
      <c r="J688" s="52"/>
      <c r="K688" s="66"/>
      <c r="L688" s="66"/>
      <c r="M688" s="57"/>
      <c r="N688" s="54"/>
      <c r="O688" s="57"/>
      <c r="P688" s="54"/>
      <c r="Q688" s="55"/>
      <c r="R688" s="54"/>
      <c r="S688" s="54"/>
      <c r="T688" s="57"/>
      <c r="U688" s="55"/>
    </row>
    <row r="689" spans="2:21" x14ac:dyDescent="0.2">
      <c r="B689" s="49"/>
      <c r="C689" s="50"/>
      <c r="D689" s="72"/>
      <c r="E689" s="49"/>
      <c r="F689" s="49"/>
      <c r="G689" s="49"/>
      <c r="H689" s="49"/>
      <c r="I689" s="51"/>
      <c r="J689" s="52"/>
      <c r="K689" s="66"/>
      <c r="L689" s="66"/>
      <c r="M689" s="57"/>
      <c r="N689" s="54"/>
      <c r="O689" s="57"/>
      <c r="P689" s="54"/>
      <c r="Q689" s="55"/>
      <c r="R689" s="54"/>
      <c r="S689" s="54"/>
      <c r="T689" s="57"/>
      <c r="U689" s="55"/>
    </row>
    <row r="690" spans="2:21" x14ac:dyDescent="0.2">
      <c r="B690" s="49"/>
      <c r="C690" s="50"/>
      <c r="D690" s="72"/>
      <c r="E690" s="49"/>
      <c r="F690" s="49"/>
      <c r="G690" s="49"/>
      <c r="H690" s="49"/>
      <c r="I690" s="51"/>
      <c r="J690" s="52"/>
      <c r="K690" s="66"/>
      <c r="L690" s="66"/>
      <c r="M690" s="57"/>
      <c r="N690" s="54"/>
      <c r="O690" s="57"/>
      <c r="P690" s="54"/>
      <c r="Q690" s="55"/>
      <c r="R690" s="54"/>
      <c r="S690" s="54"/>
      <c r="T690" s="57"/>
      <c r="U690" s="55"/>
    </row>
    <row r="691" spans="2:21" x14ac:dyDescent="0.2">
      <c r="B691" s="49"/>
      <c r="C691" s="50"/>
      <c r="D691" s="72"/>
      <c r="E691" s="49"/>
      <c r="F691" s="49"/>
      <c r="G691" s="49"/>
      <c r="H691" s="49"/>
      <c r="I691" s="51"/>
      <c r="J691" s="52"/>
      <c r="K691" s="66"/>
      <c r="L691" s="66"/>
      <c r="M691" s="57"/>
      <c r="N691" s="54"/>
      <c r="O691" s="57"/>
      <c r="P691" s="54"/>
      <c r="Q691" s="55"/>
      <c r="R691" s="54"/>
      <c r="S691" s="54"/>
      <c r="T691" s="57"/>
      <c r="U691" s="55"/>
    </row>
    <row r="692" spans="2:21" x14ac:dyDescent="0.2">
      <c r="B692" s="49"/>
      <c r="C692" s="50"/>
      <c r="D692" s="72"/>
      <c r="E692" s="49"/>
      <c r="F692" s="49"/>
      <c r="G692" s="49"/>
      <c r="H692" s="49"/>
      <c r="I692" s="51"/>
      <c r="J692" s="52"/>
      <c r="K692" s="66"/>
      <c r="L692" s="66"/>
      <c r="M692" s="57"/>
      <c r="N692" s="54"/>
      <c r="O692" s="57"/>
      <c r="P692" s="54"/>
      <c r="Q692" s="55"/>
      <c r="R692" s="54"/>
      <c r="S692" s="54"/>
      <c r="T692" s="57"/>
      <c r="U692" s="55"/>
    </row>
    <row r="693" spans="2:21" x14ac:dyDescent="0.2">
      <c r="B693" s="49"/>
      <c r="C693" s="50"/>
      <c r="D693" s="72"/>
      <c r="E693" s="49"/>
      <c r="F693" s="49"/>
      <c r="G693" s="49"/>
      <c r="H693" s="49"/>
      <c r="I693" s="51"/>
      <c r="J693" s="52"/>
      <c r="K693" s="66"/>
      <c r="L693" s="66"/>
      <c r="M693" s="57"/>
      <c r="N693" s="54"/>
      <c r="O693" s="57"/>
      <c r="P693" s="54"/>
      <c r="Q693" s="55"/>
      <c r="R693" s="54"/>
      <c r="S693" s="54"/>
      <c r="T693" s="57"/>
      <c r="U693" s="55"/>
    </row>
    <row r="694" spans="2:21" x14ac:dyDescent="0.2">
      <c r="B694" s="49"/>
      <c r="C694" s="50"/>
      <c r="D694" s="72"/>
      <c r="E694" s="49"/>
      <c r="F694" s="49"/>
      <c r="G694" s="49"/>
      <c r="H694" s="49"/>
      <c r="I694" s="51"/>
      <c r="J694" s="52"/>
      <c r="K694" s="66"/>
      <c r="L694" s="66"/>
      <c r="M694" s="57"/>
      <c r="N694" s="54"/>
      <c r="O694" s="57"/>
      <c r="P694" s="54"/>
      <c r="Q694" s="55"/>
      <c r="R694" s="54"/>
      <c r="S694" s="54"/>
      <c r="T694" s="57"/>
      <c r="U694" s="55"/>
    </row>
    <row r="695" spans="2:21" x14ac:dyDescent="0.2">
      <c r="B695" s="49"/>
      <c r="C695" s="50"/>
      <c r="D695" s="72"/>
      <c r="E695" s="49"/>
      <c r="F695" s="49"/>
      <c r="G695" s="49"/>
      <c r="H695" s="49"/>
      <c r="I695" s="51"/>
      <c r="J695" s="52"/>
      <c r="K695" s="66"/>
      <c r="L695" s="66"/>
      <c r="M695" s="57"/>
      <c r="N695" s="54"/>
      <c r="O695" s="57"/>
      <c r="P695" s="54"/>
      <c r="Q695" s="55"/>
      <c r="R695" s="54"/>
      <c r="S695" s="54"/>
      <c r="T695" s="57"/>
      <c r="U695" s="55"/>
    </row>
    <row r="696" spans="2:21" x14ac:dyDescent="0.2">
      <c r="B696" s="49"/>
      <c r="C696" s="50"/>
      <c r="D696" s="72"/>
      <c r="E696" s="49"/>
      <c r="F696" s="49"/>
      <c r="G696" s="49"/>
      <c r="H696" s="49"/>
      <c r="I696" s="51"/>
      <c r="J696" s="52"/>
      <c r="K696" s="66"/>
      <c r="L696" s="66"/>
      <c r="M696" s="57"/>
      <c r="N696" s="54"/>
      <c r="O696" s="57"/>
      <c r="P696" s="54"/>
      <c r="Q696" s="55"/>
      <c r="R696" s="54"/>
      <c r="S696" s="54"/>
      <c r="T696" s="57"/>
      <c r="U696" s="55"/>
    </row>
    <row r="697" spans="2:21" x14ac:dyDescent="0.2">
      <c r="B697" s="49"/>
      <c r="C697" s="50"/>
      <c r="D697" s="72"/>
      <c r="E697" s="49"/>
      <c r="F697" s="49"/>
      <c r="G697" s="49"/>
      <c r="H697" s="49"/>
      <c r="I697" s="51"/>
      <c r="J697" s="52"/>
      <c r="K697" s="66"/>
      <c r="L697" s="66"/>
      <c r="M697" s="57"/>
      <c r="N697" s="54"/>
      <c r="O697" s="57"/>
      <c r="P697" s="54"/>
      <c r="Q697" s="55"/>
      <c r="R697" s="54"/>
      <c r="S697" s="54"/>
      <c r="T697" s="57"/>
      <c r="U697" s="55"/>
    </row>
    <row r="698" spans="2:21" x14ac:dyDescent="0.2">
      <c r="B698" s="49"/>
      <c r="C698" s="50"/>
      <c r="D698" s="72"/>
      <c r="E698" s="49"/>
      <c r="F698" s="49"/>
      <c r="G698" s="49"/>
      <c r="H698" s="49"/>
      <c r="I698" s="51"/>
      <c r="J698" s="52"/>
      <c r="K698" s="66"/>
      <c r="L698" s="66"/>
      <c r="M698" s="57"/>
      <c r="N698" s="54"/>
      <c r="O698" s="57"/>
      <c r="P698" s="54"/>
      <c r="Q698" s="55"/>
      <c r="R698" s="54"/>
      <c r="S698" s="54"/>
      <c r="T698" s="57"/>
      <c r="U698" s="55"/>
    </row>
    <row r="699" spans="2:21" x14ac:dyDescent="0.2">
      <c r="B699" s="49"/>
      <c r="C699" s="50"/>
      <c r="D699" s="72"/>
      <c r="E699" s="49"/>
      <c r="F699" s="49"/>
      <c r="G699" s="49"/>
      <c r="H699" s="49"/>
      <c r="I699" s="51"/>
      <c r="J699" s="52"/>
      <c r="K699" s="66"/>
      <c r="L699" s="66"/>
      <c r="M699" s="57"/>
      <c r="N699" s="54"/>
      <c r="O699" s="57"/>
      <c r="P699" s="54"/>
      <c r="Q699" s="55"/>
      <c r="R699" s="54"/>
      <c r="S699" s="54"/>
      <c r="T699" s="57"/>
      <c r="U699" s="55"/>
    </row>
    <row r="700" spans="2:21" x14ac:dyDescent="0.2">
      <c r="B700" s="49"/>
      <c r="C700" s="50"/>
      <c r="D700" s="72"/>
      <c r="E700" s="49"/>
      <c r="F700" s="49"/>
      <c r="G700" s="49"/>
      <c r="H700" s="49"/>
      <c r="I700" s="51"/>
      <c r="J700" s="52"/>
      <c r="K700" s="66"/>
      <c r="L700" s="66"/>
      <c r="M700" s="57"/>
      <c r="N700" s="54"/>
      <c r="O700" s="57"/>
      <c r="P700" s="54"/>
      <c r="Q700" s="55"/>
      <c r="R700" s="54"/>
      <c r="S700" s="54"/>
      <c r="T700" s="57"/>
      <c r="U700" s="55"/>
    </row>
    <row r="701" spans="2:21" x14ac:dyDescent="0.2">
      <c r="B701" s="49"/>
      <c r="C701" s="50"/>
      <c r="D701" s="72"/>
      <c r="E701" s="49"/>
      <c r="F701" s="49"/>
      <c r="G701" s="49"/>
      <c r="H701" s="49"/>
      <c r="I701" s="51"/>
      <c r="J701" s="52"/>
      <c r="K701" s="66"/>
      <c r="L701" s="66"/>
      <c r="M701" s="57"/>
      <c r="N701" s="54"/>
      <c r="O701" s="57"/>
      <c r="P701" s="54"/>
      <c r="Q701" s="55"/>
      <c r="R701" s="54"/>
      <c r="S701" s="54"/>
      <c r="T701" s="57"/>
      <c r="U701" s="55"/>
    </row>
    <row r="702" spans="2:21" x14ac:dyDescent="0.2">
      <c r="B702" s="49"/>
      <c r="C702" s="50"/>
      <c r="D702" s="72"/>
      <c r="E702" s="49"/>
      <c r="F702" s="49"/>
      <c r="G702" s="49"/>
      <c r="H702" s="49"/>
      <c r="I702" s="51"/>
      <c r="J702" s="52"/>
      <c r="K702" s="66"/>
      <c r="L702" s="66"/>
      <c r="M702" s="57"/>
      <c r="N702" s="54"/>
      <c r="O702" s="57"/>
      <c r="P702" s="54"/>
      <c r="Q702" s="55"/>
      <c r="R702" s="54"/>
      <c r="S702" s="54"/>
      <c r="T702" s="57"/>
      <c r="U702" s="55"/>
    </row>
    <row r="703" spans="2:21" x14ac:dyDescent="0.2">
      <c r="B703" s="49"/>
      <c r="C703" s="50"/>
      <c r="D703" s="72"/>
      <c r="E703" s="49"/>
      <c r="F703" s="49"/>
      <c r="G703" s="49"/>
      <c r="H703" s="49"/>
      <c r="I703" s="51"/>
      <c r="J703" s="52"/>
      <c r="K703" s="66"/>
      <c r="L703" s="66"/>
      <c r="M703" s="57"/>
      <c r="N703" s="54"/>
      <c r="O703" s="57"/>
      <c r="P703" s="54"/>
      <c r="Q703" s="55"/>
      <c r="R703" s="54"/>
      <c r="S703" s="54"/>
      <c r="T703" s="57"/>
      <c r="U703" s="55"/>
    </row>
    <row r="704" spans="2:21" x14ac:dyDescent="0.2">
      <c r="B704" s="49"/>
      <c r="C704" s="50"/>
      <c r="D704" s="72"/>
      <c r="E704" s="49"/>
      <c r="F704" s="49"/>
      <c r="G704" s="49"/>
      <c r="H704" s="49"/>
      <c r="I704" s="51"/>
      <c r="J704" s="52"/>
      <c r="K704" s="66"/>
      <c r="L704" s="66"/>
      <c r="M704" s="57"/>
      <c r="N704" s="54"/>
      <c r="O704" s="57"/>
      <c r="P704" s="54"/>
      <c r="Q704" s="55"/>
      <c r="R704" s="54"/>
      <c r="S704" s="54"/>
      <c r="T704" s="57"/>
      <c r="U704" s="55"/>
    </row>
    <row r="705" spans="2:21" x14ac:dyDescent="0.2">
      <c r="B705" s="49"/>
      <c r="C705" s="50"/>
      <c r="D705" s="72"/>
      <c r="E705" s="49"/>
      <c r="F705" s="49"/>
      <c r="G705" s="49"/>
      <c r="H705" s="49"/>
      <c r="I705" s="51"/>
      <c r="J705" s="52"/>
      <c r="K705" s="66"/>
      <c r="L705" s="66"/>
      <c r="M705" s="57"/>
      <c r="N705" s="54"/>
      <c r="O705" s="57"/>
      <c r="P705" s="54"/>
      <c r="Q705" s="55"/>
      <c r="R705" s="54"/>
      <c r="S705" s="54"/>
      <c r="T705" s="57"/>
      <c r="U705" s="55"/>
    </row>
    <row r="706" spans="2:21" x14ac:dyDescent="0.2">
      <c r="B706" s="49"/>
      <c r="C706" s="50"/>
      <c r="D706" s="72"/>
      <c r="E706" s="49"/>
      <c r="F706" s="49"/>
      <c r="G706" s="49"/>
      <c r="H706" s="49"/>
      <c r="I706" s="51"/>
      <c r="J706" s="52"/>
      <c r="K706" s="66"/>
      <c r="L706" s="66"/>
      <c r="M706" s="57"/>
      <c r="N706" s="54"/>
      <c r="O706" s="57"/>
      <c r="P706" s="54"/>
      <c r="Q706" s="55"/>
      <c r="R706" s="54"/>
      <c r="S706" s="54"/>
      <c r="T706" s="57"/>
      <c r="U706" s="55"/>
    </row>
    <row r="707" spans="2:21" x14ac:dyDescent="0.2">
      <c r="B707" s="49"/>
      <c r="C707" s="50"/>
      <c r="D707" s="72"/>
      <c r="E707" s="49"/>
      <c r="F707" s="49"/>
      <c r="G707" s="49"/>
      <c r="H707" s="49"/>
      <c r="I707" s="51"/>
      <c r="J707" s="52"/>
      <c r="K707" s="66"/>
      <c r="L707" s="66"/>
      <c r="M707" s="57"/>
      <c r="N707" s="54"/>
      <c r="O707" s="57"/>
      <c r="P707" s="54"/>
      <c r="Q707" s="55"/>
      <c r="R707" s="54"/>
      <c r="S707" s="54"/>
      <c r="T707" s="57"/>
      <c r="U707" s="55"/>
    </row>
    <row r="708" spans="2:21" x14ac:dyDescent="0.2">
      <c r="B708" s="49"/>
      <c r="C708" s="50"/>
      <c r="D708" s="72"/>
      <c r="E708" s="49"/>
      <c r="F708" s="49"/>
      <c r="G708" s="49"/>
      <c r="H708" s="49"/>
      <c r="I708" s="51"/>
      <c r="J708" s="52"/>
      <c r="K708" s="66"/>
      <c r="L708" s="66"/>
      <c r="M708" s="57"/>
      <c r="N708" s="54"/>
      <c r="O708" s="57"/>
      <c r="P708" s="54"/>
      <c r="Q708" s="55"/>
      <c r="R708" s="54"/>
      <c r="S708" s="54"/>
      <c r="T708" s="57"/>
      <c r="U708" s="55"/>
    </row>
    <row r="709" spans="2:21" x14ac:dyDescent="0.2">
      <c r="B709" s="49"/>
      <c r="C709" s="50"/>
      <c r="D709" s="72"/>
      <c r="E709" s="49"/>
      <c r="F709" s="49"/>
      <c r="G709" s="49"/>
      <c r="H709" s="49"/>
      <c r="I709" s="51"/>
      <c r="J709" s="52"/>
      <c r="K709" s="66"/>
      <c r="L709" s="66"/>
      <c r="M709" s="57"/>
      <c r="N709" s="54"/>
      <c r="O709" s="57"/>
      <c r="P709" s="54"/>
      <c r="Q709" s="55"/>
      <c r="R709" s="54"/>
      <c r="S709" s="54"/>
      <c r="T709" s="57"/>
      <c r="U709" s="55"/>
    </row>
    <row r="710" spans="2:21" x14ac:dyDescent="0.2">
      <c r="B710" s="49"/>
      <c r="C710" s="50"/>
      <c r="D710" s="72"/>
      <c r="E710" s="49"/>
      <c r="F710" s="49"/>
      <c r="G710" s="49"/>
      <c r="H710" s="49"/>
      <c r="I710" s="51"/>
      <c r="J710" s="52"/>
      <c r="K710" s="66"/>
      <c r="L710" s="66"/>
      <c r="M710" s="57"/>
      <c r="N710" s="54"/>
      <c r="O710" s="57"/>
      <c r="P710" s="54"/>
      <c r="Q710" s="55"/>
      <c r="R710" s="54"/>
      <c r="S710" s="54"/>
      <c r="T710" s="57"/>
      <c r="U710" s="55"/>
    </row>
    <row r="711" spans="2:21" x14ac:dyDescent="0.2">
      <c r="B711" s="49"/>
      <c r="C711" s="50"/>
      <c r="D711" s="72"/>
      <c r="E711" s="49"/>
      <c r="F711" s="49"/>
      <c r="G711" s="49"/>
      <c r="H711" s="49"/>
      <c r="I711" s="51"/>
      <c r="J711" s="52"/>
      <c r="K711" s="66"/>
      <c r="L711" s="66"/>
      <c r="M711" s="57"/>
      <c r="N711" s="54"/>
      <c r="O711" s="57"/>
      <c r="P711" s="54"/>
      <c r="Q711" s="55"/>
      <c r="R711" s="54"/>
      <c r="S711" s="54"/>
      <c r="T711" s="57"/>
      <c r="U711" s="55"/>
    </row>
    <row r="712" spans="2:21" x14ac:dyDescent="0.2">
      <c r="B712" s="49"/>
      <c r="C712" s="50"/>
      <c r="D712" s="72"/>
      <c r="E712" s="49"/>
      <c r="F712" s="49"/>
      <c r="G712" s="49"/>
      <c r="H712" s="49"/>
      <c r="I712" s="51"/>
      <c r="J712" s="52"/>
      <c r="K712" s="66"/>
      <c r="L712" s="66"/>
      <c r="M712" s="57"/>
      <c r="N712" s="54"/>
      <c r="O712" s="57"/>
      <c r="P712" s="54"/>
      <c r="Q712" s="55"/>
      <c r="R712" s="54"/>
      <c r="S712" s="54"/>
      <c r="T712" s="57"/>
      <c r="U712" s="55"/>
    </row>
    <row r="713" spans="2:21" x14ac:dyDescent="0.2">
      <c r="B713" s="49"/>
      <c r="C713" s="50"/>
      <c r="D713" s="72"/>
      <c r="E713" s="49"/>
      <c r="F713" s="49"/>
      <c r="G713" s="49"/>
      <c r="H713" s="49"/>
      <c r="I713" s="51"/>
      <c r="J713" s="52"/>
      <c r="K713" s="66"/>
      <c r="L713" s="66"/>
      <c r="M713" s="57"/>
      <c r="N713" s="54"/>
      <c r="O713" s="57"/>
      <c r="P713" s="54"/>
      <c r="Q713" s="55"/>
      <c r="R713" s="54"/>
      <c r="S713" s="54"/>
      <c r="T713" s="57"/>
      <c r="U713" s="55"/>
    </row>
    <row r="714" spans="2:21" x14ac:dyDescent="0.2">
      <c r="B714" s="49"/>
      <c r="C714" s="50"/>
      <c r="D714" s="72"/>
      <c r="E714" s="49"/>
      <c r="F714" s="49"/>
      <c r="G714" s="49"/>
      <c r="H714" s="49"/>
      <c r="I714" s="51"/>
      <c r="J714" s="52"/>
      <c r="K714" s="66"/>
      <c r="L714" s="66"/>
      <c r="M714" s="57"/>
      <c r="N714" s="54"/>
      <c r="O714" s="57"/>
      <c r="P714" s="54"/>
      <c r="Q714" s="55"/>
      <c r="R714" s="54"/>
      <c r="S714" s="54"/>
      <c r="T714" s="57"/>
      <c r="U714" s="55"/>
    </row>
    <row r="715" spans="2:21" x14ac:dyDescent="0.2">
      <c r="B715" s="49"/>
      <c r="C715" s="50"/>
      <c r="D715" s="72"/>
      <c r="E715" s="49"/>
      <c r="F715" s="49"/>
      <c r="G715" s="49"/>
      <c r="H715" s="49"/>
      <c r="I715" s="51"/>
      <c r="J715" s="52"/>
      <c r="K715" s="66"/>
      <c r="L715" s="66"/>
      <c r="M715" s="57"/>
      <c r="N715" s="54"/>
      <c r="O715" s="57"/>
      <c r="P715" s="54"/>
      <c r="Q715" s="55"/>
      <c r="R715" s="54"/>
      <c r="S715" s="54"/>
      <c r="T715" s="57"/>
      <c r="U715" s="55"/>
    </row>
    <row r="716" spans="2:21" x14ac:dyDescent="0.2">
      <c r="B716" s="49"/>
      <c r="C716" s="50"/>
      <c r="D716" s="72"/>
      <c r="E716" s="49"/>
      <c r="F716" s="49"/>
      <c r="G716" s="49"/>
      <c r="H716" s="49"/>
      <c r="I716" s="51"/>
      <c r="J716" s="52"/>
      <c r="K716" s="66"/>
      <c r="L716" s="66"/>
      <c r="M716" s="57"/>
      <c r="N716" s="54"/>
      <c r="O716" s="57"/>
      <c r="P716" s="54"/>
      <c r="Q716" s="55"/>
      <c r="R716" s="54"/>
      <c r="S716" s="54"/>
      <c r="T716" s="57"/>
      <c r="U716" s="55"/>
    </row>
    <row r="717" spans="2:21" x14ac:dyDescent="0.2">
      <c r="B717" s="49"/>
      <c r="C717" s="50"/>
      <c r="D717" s="72"/>
      <c r="E717" s="49"/>
      <c r="F717" s="49"/>
      <c r="G717" s="49"/>
      <c r="H717" s="49"/>
      <c r="I717" s="51"/>
      <c r="J717" s="52"/>
      <c r="K717" s="66"/>
      <c r="L717" s="66"/>
      <c r="M717" s="57"/>
      <c r="N717" s="54"/>
      <c r="O717" s="57"/>
      <c r="P717" s="54"/>
      <c r="Q717" s="55"/>
      <c r="R717" s="54"/>
      <c r="S717" s="54"/>
      <c r="T717" s="57"/>
      <c r="U717" s="55"/>
    </row>
    <row r="718" spans="2:21" x14ac:dyDescent="0.2">
      <c r="B718" s="49"/>
      <c r="C718" s="50"/>
      <c r="D718" s="72"/>
      <c r="E718" s="49"/>
      <c r="F718" s="49"/>
      <c r="G718" s="49"/>
      <c r="H718" s="49"/>
      <c r="I718" s="51"/>
      <c r="J718" s="52"/>
      <c r="K718" s="66"/>
      <c r="L718" s="66"/>
      <c r="M718" s="57"/>
      <c r="N718" s="54"/>
      <c r="O718" s="57"/>
      <c r="P718" s="54"/>
      <c r="Q718" s="55"/>
      <c r="R718" s="54"/>
      <c r="S718" s="54"/>
      <c r="T718" s="57"/>
      <c r="U718" s="55"/>
    </row>
    <row r="719" spans="2:21" x14ac:dyDescent="0.2">
      <c r="B719" s="49"/>
      <c r="C719" s="50"/>
      <c r="D719" s="72"/>
      <c r="E719" s="49"/>
      <c r="F719" s="49"/>
      <c r="G719" s="49"/>
      <c r="H719" s="49"/>
      <c r="I719" s="51"/>
      <c r="J719" s="52"/>
      <c r="K719" s="66"/>
      <c r="L719" s="66"/>
      <c r="M719" s="57"/>
      <c r="N719" s="54"/>
      <c r="O719" s="57"/>
      <c r="P719" s="54"/>
      <c r="Q719" s="55"/>
      <c r="R719" s="54"/>
      <c r="S719" s="54"/>
      <c r="T719" s="57"/>
      <c r="U719" s="55"/>
    </row>
    <row r="720" spans="2:21" x14ac:dyDescent="0.2">
      <c r="B720" s="49"/>
      <c r="C720" s="50"/>
      <c r="D720" s="72"/>
      <c r="E720" s="49"/>
      <c r="F720" s="49"/>
      <c r="G720" s="49"/>
      <c r="H720" s="49"/>
      <c r="I720" s="51"/>
      <c r="J720" s="52"/>
      <c r="K720" s="66"/>
      <c r="L720" s="66"/>
      <c r="M720" s="57"/>
      <c r="N720" s="54"/>
      <c r="O720" s="57"/>
      <c r="P720" s="54"/>
      <c r="Q720" s="55"/>
      <c r="R720" s="54"/>
      <c r="S720" s="54"/>
      <c r="T720" s="57"/>
      <c r="U720" s="55"/>
    </row>
    <row r="721" spans="2:21" x14ac:dyDescent="0.2">
      <c r="B721" s="49"/>
      <c r="C721" s="50"/>
      <c r="D721" s="72"/>
      <c r="E721" s="49"/>
      <c r="F721" s="49"/>
      <c r="G721" s="49"/>
      <c r="H721" s="49"/>
      <c r="I721" s="51"/>
      <c r="J721" s="52"/>
      <c r="K721" s="66"/>
      <c r="L721" s="66"/>
      <c r="M721" s="57"/>
      <c r="N721" s="54"/>
      <c r="O721" s="57"/>
      <c r="P721" s="54"/>
      <c r="Q721" s="55"/>
      <c r="R721" s="54"/>
      <c r="S721" s="54"/>
      <c r="T721" s="57"/>
      <c r="U721" s="55"/>
    </row>
    <row r="722" spans="2:21" x14ac:dyDescent="0.2">
      <c r="B722" s="49"/>
      <c r="C722" s="50"/>
      <c r="D722" s="72"/>
      <c r="E722" s="49"/>
      <c r="F722" s="49"/>
      <c r="G722" s="49"/>
      <c r="H722" s="49"/>
      <c r="I722" s="51"/>
      <c r="J722" s="52"/>
      <c r="K722" s="66"/>
      <c r="L722" s="66"/>
      <c r="M722" s="57"/>
      <c r="N722" s="54"/>
      <c r="O722" s="57"/>
      <c r="P722" s="54"/>
      <c r="Q722" s="55"/>
      <c r="R722" s="54"/>
      <c r="S722" s="54"/>
      <c r="T722" s="57"/>
      <c r="U722" s="55"/>
    </row>
    <row r="723" spans="2:21" x14ac:dyDescent="0.2">
      <c r="B723" s="49"/>
      <c r="C723" s="50"/>
      <c r="D723" s="72"/>
      <c r="E723" s="49"/>
      <c r="F723" s="49"/>
      <c r="G723" s="49"/>
      <c r="H723" s="49"/>
      <c r="I723" s="51"/>
      <c r="J723" s="52"/>
      <c r="K723" s="66"/>
      <c r="L723" s="66"/>
      <c r="M723" s="57"/>
      <c r="N723" s="54"/>
      <c r="O723" s="57"/>
      <c r="P723" s="54"/>
      <c r="Q723" s="55"/>
      <c r="R723" s="54"/>
      <c r="S723" s="54"/>
      <c r="T723" s="57"/>
      <c r="U723" s="55"/>
    </row>
    <row r="724" spans="2:21" x14ac:dyDescent="0.2">
      <c r="B724" s="49"/>
      <c r="C724" s="50"/>
      <c r="D724" s="72"/>
      <c r="E724" s="49"/>
      <c r="F724" s="49"/>
      <c r="G724" s="49"/>
      <c r="H724" s="49"/>
      <c r="I724" s="51"/>
      <c r="J724" s="52"/>
      <c r="K724" s="66"/>
      <c r="L724" s="66"/>
      <c r="M724" s="57"/>
      <c r="N724" s="54"/>
      <c r="O724" s="57"/>
      <c r="P724" s="54"/>
      <c r="Q724" s="55"/>
      <c r="R724" s="54"/>
      <c r="S724" s="54"/>
      <c r="T724" s="57"/>
      <c r="U724" s="55"/>
    </row>
    <row r="725" spans="2:21" x14ac:dyDescent="0.2">
      <c r="B725" s="49"/>
      <c r="C725" s="50"/>
      <c r="D725" s="72"/>
      <c r="E725" s="49"/>
      <c r="F725" s="49"/>
      <c r="G725" s="49"/>
      <c r="H725" s="49"/>
      <c r="I725" s="51"/>
      <c r="J725" s="52"/>
      <c r="K725" s="66"/>
      <c r="L725" s="66"/>
      <c r="M725" s="57"/>
      <c r="N725" s="54"/>
      <c r="O725" s="57"/>
      <c r="P725" s="54"/>
      <c r="Q725" s="55"/>
      <c r="R725" s="54"/>
      <c r="S725" s="54"/>
      <c r="T725" s="57"/>
      <c r="U725" s="55"/>
    </row>
    <row r="726" spans="2:21" x14ac:dyDescent="0.2">
      <c r="B726" s="49"/>
      <c r="C726" s="50"/>
      <c r="D726" s="72"/>
      <c r="E726" s="49"/>
      <c r="F726" s="49"/>
      <c r="G726" s="49"/>
      <c r="H726" s="49"/>
      <c r="I726" s="51"/>
      <c r="J726" s="52"/>
      <c r="K726" s="66"/>
      <c r="L726" s="66"/>
      <c r="M726" s="57"/>
      <c r="N726" s="54"/>
      <c r="O726" s="57"/>
      <c r="P726" s="54"/>
      <c r="Q726" s="55"/>
      <c r="R726" s="54"/>
      <c r="S726" s="54"/>
      <c r="T726" s="57"/>
      <c r="U726" s="55"/>
    </row>
    <row r="727" spans="2:21" x14ac:dyDescent="0.2">
      <c r="B727" s="49"/>
      <c r="C727" s="50"/>
      <c r="D727" s="72"/>
      <c r="E727" s="49"/>
      <c r="F727" s="49"/>
      <c r="G727" s="49"/>
      <c r="H727" s="49"/>
      <c r="I727" s="51"/>
      <c r="J727" s="52"/>
      <c r="K727" s="66"/>
      <c r="L727" s="66"/>
      <c r="M727" s="57"/>
      <c r="N727" s="54"/>
      <c r="O727" s="57"/>
      <c r="P727" s="54"/>
      <c r="Q727" s="55"/>
      <c r="R727" s="54"/>
      <c r="S727" s="54"/>
      <c r="T727" s="57"/>
      <c r="U727" s="55"/>
    </row>
    <row r="728" spans="2:21" x14ac:dyDescent="0.2">
      <c r="B728" s="49"/>
      <c r="C728" s="50"/>
      <c r="D728" s="72"/>
      <c r="E728" s="49"/>
      <c r="F728" s="49"/>
      <c r="G728" s="49"/>
      <c r="H728" s="49"/>
      <c r="I728" s="51"/>
      <c r="J728" s="52"/>
      <c r="K728" s="66"/>
      <c r="L728" s="66"/>
      <c r="M728" s="57"/>
      <c r="N728" s="54"/>
      <c r="O728" s="57"/>
      <c r="P728" s="54"/>
      <c r="Q728" s="55"/>
      <c r="R728" s="54"/>
      <c r="S728" s="54"/>
      <c r="T728" s="57"/>
      <c r="U728" s="55"/>
    </row>
    <row r="729" spans="2:21" x14ac:dyDescent="0.2">
      <c r="B729" s="49"/>
      <c r="C729" s="50"/>
      <c r="D729" s="72"/>
      <c r="E729" s="49"/>
      <c r="F729" s="49"/>
      <c r="G729" s="49"/>
      <c r="H729" s="49"/>
      <c r="I729" s="51"/>
      <c r="J729" s="52"/>
      <c r="K729" s="66"/>
      <c r="L729" s="66"/>
      <c r="M729" s="57"/>
      <c r="N729" s="54"/>
      <c r="O729" s="57"/>
      <c r="P729" s="54"/>
      <c r="Q729" s="55"/>
      <c r="R729" s="54"/>
      <c r="S729" s="54"/>
      <c r="T729" s="57"/>
      <c r="U729" s="55"/>
    </row>
    <row r="730" spans="2:21" x14ac:dyDescent="0.2">
      <c r="B730" s="49"/>
      <c r="C730" s="50"/>
      <c r="D730" s="72"/>
      <c r="E730" s="49"/>
      <c r="F730" s="49"/>
      <c r="G730" s="49"/>
      <c r="H730" s="49"/>
      <c r="I730" s="51"/>
      <c r="J730" s="52"/>
      <c r="K730" s="66"/>
      <c r="L730" s="66"/>
      <c r="M730" s="57"/>
      <c r="N730" s="54"/>
      <c r="O730" s="57"/>
      <c r="P730" s="54"/>
      <c r="Q730" s="55"/>
      <c r="R730" s="54"/>
      <c r="S730" s="54"/>
      <c r="T730" s="57"/>
      <c r="U730" s="55"/>
    </row>
    <row r="731" spans="2:21" x14ac:dyDescent="0.2">
      <c r="B731" s="49"/>
      <c r="C731" s="50"/>
      <c r="D731" s="72"/>
      <c r="E731" s="49"/>
      <c r="F731" s="49"/>
      <c r="G731" s="49"/>
      <c r="H731" s="49"/>
      <c r="I731" s="51"/>
      <c r="J731" s="52"/>
      <c r="K731" s="66"/>
      <c r="L731" s="66"/>
      <c r="M731" s="57"/>
      <c r="N731" s="54"/>
      <c r="O731" s="57"/>
      <c r="P731" s="54"/>
      <c r="Q731" s="55"/>
      <c r="R731" s="54"/>
      <c r="S731" s="54"/>
      <c r="T731" s="57"/>
      <c r="U731" s="55"/>
    </row>
    <row r="732" spans="2:21" x14ac:dyDescent="0.2">
      <c r="B732" s="49"/>
      <c r="C732" s="50"/>
      <c r="D732" s="72"/>
      <c r="E732" s="49"/>
      <c r="F732" s="49"/>
      <c r="G732" s="49"/>
      <c r="H732" s="49"/>
      <c r="I732" s="51"/>
      <c r="J732" s="52"/>
      <c r="K732" s="66"/>
      <c r="L732" s="66"/>
      <c r="M732" s="57"/>
      <c r="N732" s="54"/>
      <c r="O732" s="57"/>
      <c r="P732" s="54"/>
      <c r="Q732" s="55"/>
      <c r="R732" s="54"/>
      <c r="S732" s="54"/>
      <c r="T732" s="57"/>
      <c r="U732" s="55"/>
    </row>
    <row r="733" spans="2:21" x14ac:dyDescent="0.2">
      <c r="B733" s="49"/>
      <c r="C733" s="50"/>
      <c r="D733" s="72"/>
      <c r="E733" s="49"/>
      <c r="F733" s="49"/>
      <c r="G733" s="49"/>
      <c r="H733" s="49"/>
      <c r="I733" s="51"/>
      <c r="J733" s="52"/>
      <c r="K733" s="66"/>
      <c r="L733" s="66"/>
      <c r="M733" s="57"/>
      <c r="N733" s="54"/>
      <c r="O733" s="57"/>
      <c r="P733" s="54"/>
      <c r="Q733" s="55"/>
      <c r="R733" s="54"/>
      <c r="S733" s="54"/>
      <c r="T733" s="57"/>
      <c r="U733" s="55"/>
    </row>
    <row r="734" spans="2:21" x14ac:dyDescent="0.2">
      <c r="B734" s="49"/>
      <c r="C734" s="50"/>
      <c r="D734" s="72"/>
      <c r="E734" s="49"/>
      <c r="F734" s="49"/>
      <c r="G734" s="49"/>
      <c r="H734" s="49"/>
      <c r="I734" s="51"/>
      <c r="J734" s="52"/>
      <c r="K734" s="66"/>
      <c r="L734" s="66"/>
      <c r="M734" s="57"/>
      <c r="N734" s="54"/>
      <c r="O734" s="57"/>
      <c r="P734" s="54"/>
      <c r="Q734" s="55"/>
      <c r="R734" s="54"/>
      <c r="S734" s="54"/>
      <c r="T734" s="57"/>
      <c r="U734" s="55"/>
    </row>
    <row r="735" spans="2:21" x14ac:dyDescent="0.2">
      <c r="B735" s="49"/>
      <c r="C735" s="50"/>
      <c r="D735" s="72"/>
      <c r="E735" s="49"/>
      <c r="F735" s="49"/>
      <c r="G735" s="49"/>
      <c r="H735" s="49"/>
      <c r="I735" s="51"/>
      <c r="J735" s="52"/>
      <c r="K735" s="66"/>
      <c r="L735" s="66"/>
      <c r="M735" s="57"/>
      <c r="N735" s="54"/>
      <c r="O735" s="57"/>
      <c r="P735" s="54"/>
      <c r="Q735" s="55"/>
      <c r="R735" s="54"/>
      <c r="S735" s="54"/>
      <c r="T735" s="57"/>
      <c r="U735" s="55"/>
    </row>
    <row r="736" spans="2:21" x14ac:dyDescent="0.2">
      <c r="B736" s="49"/>
      <c r="C736" s="50"/>
      <c r="D736" s="72"/>
      <c r="E736" s="49"/>
      <c r="F736" s="49"/>
      <c r="G736" s="49"/>
      <c r="H736" s="49"/>
      <c r="I736" s="51"/>
      <c r="J736" s="52"/>
      <c r="K736" s="66"/>
      <c r="L736" s="66"/>
      <c r="M736" s="57"/>
      <c r="N736" s="54"/>
      <c r="O736" s="57"/>
      <c r="P736" s="54"/>
      <c r="Q736" s="55"/>
      <c r="R736" s="54"/>
      <c r="S736" s="54"/>
      <c r="T736" s="57"/>
      <c r="U736" s="55"/>
    </row>
    <row r="737" spans="2:21" x14ac:dyDescent="0.2">
      <c r="B737" s="49"/>
      <c r="C737" s="50"/>
      <c r="D737" s="72"/>
      <c r="E737" s="49"/>
      <c r="F737" s="49"/>
      <c r="G737" s="49"/>
      <c r="H737" s="49"/>
      <c r="I737" s="51"/>
      <c r="J737" s="52"/>
      <c r="K737" s="66"/>
      <c r="L737" s="66"/>
      <c r="M737" s="57"/>
      <c r="N737" s="54"/>
      <c r="O737" s="57"/>
      <c r="P737" s="54"/>
      <c r="Q737" s="55"/>
      <c r="R737" s="54"/>
      <c r="S737" s="54"/>
      <c r="T737" s="57"/>
      <c r="U737" s="55"/>
    </row>
    <row r="738" spans="2:21" x14ac:dyDescent="0.2">
      <c r="B738" s="49"/>
      <c r="C738" s="50"/>
      <c r="D738" s="72"/>
      <c r="E738" s="49"/>
      <c r="F738" s="49"/>
      <c r="G738" s="49"/>
      <c r="H738" s="49"/>
      <c r="I738" s="51"/>
      <c r="J738" s="52"/>
      <c r="K738" s="66"/>
      <c r="L738" s="66"/>
      <c r="M738" s="57"/>
      <c r="N738" s="54"/>
      <c r="O738" s="57"/>
      <c r="P738" s="54"/>
      <c r="Q738" s="55"/>
      <c r="R738" s="54"/>
      <c r="S738" s="54"/>
      <c r="T738" s="57"/>
      <c r="U738" s="55"/>
    </row>
    <row r="739" spans="2:21" x14ac:dyDescent="0.2">
      <c r="B739" s="49"/>
      <c r="C739" s="50"/>
      <c r="D739" s="72"/>
      <c r="E739" s="49"/>
      <c r="F739" s="49"/>
      <c r="G739" s="49"/>
      <c r="H739" s="49"/>
      <c r="I739" s="51"/>
      <c r="J739" s="52"/>
      <c r="K739" s="66"/>
      <c r="L739" s="66"/>
      <c r="M739" s="57"/>
      <c r="N739" s="54"/>
      <c r="O739" s="57"/>
      <c r="P739" s="54"/>
      <c r="Q739" s="55"/>
      <c r="R739" s="54"/>
      <c r="S739" s="54"/>
      <c r="T739" s="57"/>
      <c r="U739" s="55"/>
    </row>
    <row r="740" spans="2:21" x14ac:dyDescent="0.2">
      <c r="B740" s="49"/>
      <c r="C740" s="50"/>
      <c r="D740" s="72"/>
      <c r="E740" s="49"/>
      <c r="F740" s="49"/>
      <c r="G740" s="49"/>
      <c r="H740" s="49"/>
      <c r="I740" s="51"/>
      <c r="J740" s="52"/>
      <c r="K740" s="66"/>
      <c r="L740" s="66"/>
      <c r="M740" s="57"/>
      <c r="N740" s="54"/>
      <c r="O740" s="57"/>
      <c r="P740" s="54"/>
      <c r="Q740" s="55"/>
      <c r="R740" s="54"/>
      <c r="S740" s="54"/>
      <c r="T740" s="57"/>
      <c r="U740" s="55"/>
    </row>
    <row r="741" spans="2:21" x14ac:dyDescent="0.2">
      <c r="B741" s="49"/>
      <c r="C741" s="50"/>
      <c r="D741" s="72"/>
      <c r="E741" s="49"/>
      <c r="F741" s="49"/>
      <c r="G741" s="49"/>
      <c r="H741" s="49"/>
      <c r="I741" s="51"/>
      <c r="J741" s="52"/>
      <c r="K741" s="66"/>
      <c r="L741" s="66"/>
      <c r="M741" s="57"/>
      <c r="N741" s="54"/>
      <c r="O741" s="57"/>
      <c r="P741" s="54"/>
      <c r="Q741" s="55"/>
      <c r="R741" s="54"/>
      <c r="S741" s="54"/>
      <c r="T741" s="57"/>
      <c r="U741" s="55"/>
    </row>
    <row r="742" spans="2:21" x14ac:dyDescent="0.2">
      <c r="B742" s="49"/>
      <c r="C742" s="50"/>
      <c r="D742" s="72"/>
      <c r="E742" s="49"/>
      <c r="F742" s="49"/>
      <c r="G742" s="49"/>
      <c r="H742" s="49"/>
      <c r="I742" s="51"/>
      <c r="J742" s="52"/>
      <c r="K742" s="66"/>
      <c r="L742" s="66"/>
      <c r="M742" s="57"/>
      <c r="N742" s="54"/>
      <c r="O742" s="57"/>
      <c r="P742" s="54"/>
      <c r="Q742" s="55"/>
      <c r="R742" s="54"/>
      <c r="S742" s="54"/>
      <c r="T742" s="57"/>
      <c r="U742" s="55"/>
    </row>
    <row r="743" spans="2:21" x14ac:dyDescent="0.2">
      <c r="B743" s="49"/>
      <c r="C743" s="50"/>
      <c r="D743" s="72"/>
      <c r="E743" s="49"/>
      <c r="F743" s="49"/>
      <c r="G743" s="49"/>
      <c r="H743" s="49"/>
      <c r="I743" s="51"/>
      <c r="J743" s="52"/>
      <c r="K743" s="66"/>
      <c r="L743" s="66"/>
      <c r="M743" s="57"/>
      <c r="N743" s="54"/>
      <c r="O743" s="57"/>
      <c r="P743" s="54"/>
      <c r="Q743" s="55"/>
      <c r="R743" s="54"/>
      <c r="S743" s="54"/>
      <c r="T743" s="57"/>
      <c r="U743" s="55"/>
    </row>
    <row r="744" spans="2:21" x14ac:dyDescent="0.2">
      <c r="B744" s="49"/>
      <c r="C744" s="50"/>
      <c r="D744" s="72"/>
      <c r="E744" s="49"/>
      <c r="F744" s="49"/>
      <c r="G744" s="49"/>
      <c r="H744" s="49"/>
      <c r="I744" s="51"/>
      <c r="J744" s="52"/>
      <c r="K744" s="66"/>
      <c r="L744" s="66"/>
      <c r="M744" s="57"/>
      <c r="N744" s="54"/>
      <c r="O744" s="57"/>
      <c r="P744" s="54"/>
      <c r="Q744" s="55"/>
      <c r="R744" s="54"/>
      <c r="S744" s="54"/>
      <c r="T744" s="57"/>
      <c r="U744" s="55"/>
    </row>
    <row r="745" spans="2:21" x14ac:dyDescent="0.2">
      <c r="B745" s="49"/>
      <c r="C745" s="50"/>
      <c r="D745" s="72"/>
      <c r="E745" s="49"/>
      <c r="F745" s="49"/>
      <c r="G745" s="49"/>
      <c r="H745" s="49"/>
      <c r="I745" s="51"/>
      <c r="J745" s="52"/>
      <c r="K745" s="66"/>
      <c r="L745" s="66"/>
      <c r="M745" s="57"/>
      <c r="N745" s="54"/>
      <c r="O745" s="57"/>
      <c r="P745" s="54"/>
      <c r="Q745" s="55"/>
      <c r="R745" s="54"/>
      <c r="S745" s="54"/>
      <c r="T745" s="57"/>
      <c r="U745" s="55"/>
    </row>
    <row r="746" spans="2:21" x14ac:dyDescent="0.2">
      <c r="B746" s="49"/>
      <c r="C746" s="50"/>
      <c r="D746" s="72"/>
      <c r="E746" s="49"/>
      <c r="F746" s="49"/>
      <c r="G746" s="49"/>
      <c r="H746" s="49"/>
      <c r="I746" s="51"/>
      <c r="J746" s="52"/>
      <c r="K746" s="66"/>
      <c r="L746" s="66"/>
      <c r="M746" s="57"/>
      <c r="N746" s="54"/>
      <c r="O746" s="57"/>
      <c r="P746" s="54"/>
      <c r="Q746" s="55"/>
      <c r="R746" s="54"/>
      <c r="S746" s="54"/>
      <c r="T746" s="57"/>
      <c r="U746" s="55"/>
    </row>
    <row r="747" spans="2:21" x14ac:dyDescent="0.2">
      <c r="B747" s="49"/>
      <c r="C747" s="50"/>
      <c r="D747" s="72"/>
      <c r="E747" s="49"/>
      <c r="F747" s="49"/>
      <c r="G747" s="49"/>
      <c r="H747" s="49"/>
      <c r="I747" s="51"/>
      <c r="J747" s="52"/>
      <c r="K747" s="66"/>
      <c r="L747" s="66"/>
      <c r="M747" s="57"/>
      <c r="N747" s="54"/>
      <c r="O747" s="57"/>
      <c r="P747" s="54"/>
      <c r="Q747" s="55"/>
      <c r="R747" s="54"/>
      <c r="S747" s="54"/>
      <c r="T747" s="57"/>
      <c r="U747" s="55"/>
    </row>
    <row r="748" spans="2:21" x14ac:dyDescent="0.2">
      <c r="B748" s="49"/>
      <c r="C748" s="50"/>
      <c r="D748" s="72"/>
      <c r="E748" s="49"/>
      <c r="F748" s="49"/>
      <c r="G748" s="49"/>
      <c r="H748" s="49"/>
      <c r="I748" s="51"/>
      <c r="J748" s="52"/>
      <c r="K748" s="66"/>
      <c r="L748" s="66"/>
      <c r="M748" s="57"/>
      <c r="N748" s="54"/>
      <c r="O748" s="57"/>
      <c r="P748" s="54"/>
      <c r="Q748" s="55"/>
      <c r="R748" s="54"/>
      <c r="S748" s="54"/>
      <c r="T748" s="57"/>
      <c r="U748" s="55"/>
    </row>
    <row r="749" spans="2:21" x14ac:dyDescent="0.2">
      <c r="B749" s="49"/>
      <c r="C749" s="50"/>
      <c r="D749" s="72"/>
      <c r="E749" s="49"/>
      <c r="F749" s="49"/>
      <c r="G749" s="49"/>
      <c r="H749" s="49"/>
      <c r="I749" s="51"/>
      <c r="J749" s="52"/>
      <c r="K749" s="66"/>
      <c r="L749" s="66"/>
      <c r="M749" s="57"/>
      <c r="N749" s="54"/>
      <c r="O749" s="57"/>
      <c r="P749" s="54"/>
      <c r="Q749" s="55"/>
      <c r="R749" s="54"/>
      <c r="S749" s="54"/>
      <c r="T749" s="57"/>
      <c r="U749" s="55"/>
    </row>
    <row r="750" spans="2:21" x14ac:dyDescent="0.2">
      <c r="B750" s="49"/>
      <c r="C750" s="50"/>
      <c r="D750" s="72"/>
      <c r="E750" s="49"/>
      <c r="F750" s="49"/>
      <c r="G750" s="49"/>
      <c r="H750" s="49"/>
      <c r="I750" s="51"/>
      <c r="J750" s="52"/>
      <c r="K750" s="66"/>
      <c r="L750" s="66"/>
      <c r="M750" s="57"/>
      <c r="N750" s="54"/>
      <c r="O750" s="57"/>
      <c r="P750" s="54"/>
      <c r="Q750" s="55"/>
      <c r="R750" s="54"/>
      <c r="S750" s="54"/>
      <c r="T750" s="57"/>
      <c r="U750" s="55"/>
    </row>
    <row r="751" spans="2:21" x14ac:dyDescent="0.2">
      <c r="B751" s="49"/>
      <c r="C751" s="50"/>
      <c r="D751" s="72"/>
      <c r="E751" s="49"/>
      <c r="F751" s="49"/>
      <c r="G751" s="49"/>
      <c r="H751" s="49"/>
      <c r="I751" s="51"/>
      <c r="J751" s="52"/>
      <c r="K751" s="66"/>
      <c r="L751" s="66"/>
      <c r="M751" s="57"/>
      <c r="N751" s="54"/>
      <c r="O751" s="57"/>
      <c r="P751" s="54"/>
      <c r="Q751" s="55"/>
      <c r="R751" s="54"/>
      <c r="S751" s="54"/>
      <c r="T751" s="57"/>
      <c r="U751" s="55"/>
    </row>
    <row r="752" spans="2:21" x14ac:dyDescent="0.2">
      <c r="B752" s="49"/>
      <c r="C752" s="50"/>
      <c r="D752" s="72"/>
      <c r="E752" s="49"/>
      <c r="F752" s="49"/>
      <c r="G752" s="49"/>
      <c r="H752" s="49"/>
      <c r="I752" s="51"/>
      <c r="J752" s="52"/>
      <c r="K752" s="66"/>
      <c r="L752" s="66"/>
      <c r="M752" s="57"/>
      <c r="N752" s="54"/>
      <c r="O752" s="57"/>
      <c r="P752" s="54"/>
      <c r="Q752" s="55"/>
      <c r="R752" s="54"/>
      <c r="S752" s="54"/>
      <c r="T752" s="57"/>
      <c r="U752" s="55"/>
    </row>
    <row r="753" spans="2:21" x14ac:dyDescent="0.2">
      <c r="B753" s="49"/>
      <c r="C753" s="50"/>
      <c r="D753" s="72"/>
      <c r="E753" s="49"/>
      <c r="F753" s="49"/>
      <c r="G753" s="49"/>
      <c r="H753" s="49"/>
      <c r="I753" s="51"/>
      <c r="J753" s="52"/>
      <c r="K753" s="66"/>
      <c r="L753" s="66"/>
      <c r="M753" s="57"/>
      <c r="N753" s="54"/>
      <c r="O753" s="57"/>
      <c r="P753" s="54"/>
      <c r="Q753" s="55"/>
      <c r="R753" s="54"/>
      <c r="S753" s="54"/>
      <c r="T753" s="57"/>
      <c r="U753" s="55"/>
    </row>
    <row r="754" spans="2:21" x14ac:dyDescent="0.2">
      <c r="B754" s="49"/>
      <c r="C754" s="50"/>
      <c r="D754" s="72"/>
      <c r="E754" s="49"/>
      <c r="F754" s="49"/>
      <c r="G754" s="49"/>
      <c r="H754" s="49"/>
      <c r="I754" s="51"/>
      <c r="J754" s="52"/>
      <c r="K754" s="66"/>
      <c r="L754" s="66"/>
      <c r="M754" s="57"/>
      <c r="N754" s="54"/>
      <c r="O754" s="57"/>
      <c r="P754" s="54"/>
      <c r="Q754" s="55"/>
      <c r="R754" s="54"/>
      <c r="S754" s="54"/>
      <c r="T754" s="57"/>
      <c r="U754" s="55"/>
    </row>
    <row r="755" spans="2:21" x14ac:dyDescent="0.2">
      <c r="B755" s="49"/>
      <c r="C755" s="50"/>
      <c r="D755" s="72"/>
      <c r="E755" s="49"/>
      <c r="F755" s="49"/>
      <c r="G755" s="49"/>
      <c r="H755" s="49"/>
      <c r="I755" s="51"/>
      <c r="J755" s="52"/>
      <c r="K755" s="66"/>
      <c r="L755" s="66"/>
      <c r="M755" s="57"/>
      <c r="N755" s="54"/>
      <c r="O755" s="57"/>
      <c r="P755" s="54"/>
      <c r="Q755" s="55"/>
      <c r="R755" s="54"/>
      <c r="S755" s="54"/>
      <c r="T755" s="57"/>
      <c r="U755" s="55"/>
    </row>
    <row r="756" spans="2:21" x14ac:dyDescent="0.2">
      <c r="B756" s="49"/>
      <c r="C756" s="50"/>
      <c r="D756" s="72"/>
      <c r="E756" s="49"/>
      <c r="F756" s="49"/>
      <c r="G756" s="49"/>
      <c r="H756" s="49"/>
      <c r="I756" s="51"/>
      <c r="J756" s="52"/>
      <c r="K756" s="66"/>
      <c r="L756" s="66"/>
      <c r="M756" s="57"/>
      <c r="N756" s="54"/>
      <c r="O756" s="57"/>
      <c r="P756" s="54"/>
      <c r="Q756" s="55"/>
      <c r="R756" s="54"/>
      <c r="S756" s="54"/>
      <c r="T756" s="57"/>
      <c r="U756" s="55"/>
    </row>
    <row r="757" spans="2:21" x14ac:dyDescent="0.2">
      <c r="B757" s="49"/>
      <c r="C757" s="50"/>
      <c r="D757" s="72"/>
      <c r="E757" s="49"/>
      <c r="F757" s="49"/>
      <c r="G757" s="49"/>
      <c r="H757" s="49"/>
      <c r="I757" s="51"/>
      <c r="J757" s="52"/>
      <c r="K757" s="66"/>
      <c r="L757" s="66"/>
      <c r="M757" s="57"/>
      <c r="N757" s="54"/>
      <c r="O757" s="57"/>
      <c r="P757" s="54"/>
      <c r="Q757" s="55"/>
      <c r="R757" s="54"/>
      <c r="S757" s="54"/>
      <c r="T757" s="57"/>
      <c r="U757" s="55"/>
    </row>
    <row r="758" spans="2:21" x14ac:dyDescent="0.2">
      <c r="B758" s="49"/>
      <c r="C758" s="50"/>
      <c r="D758" s="72"/>
      <c r="E758" s="49"/>
      <c r="F758" s="49"/>
      <c r="G758" s="49"/>
      <c r="H758" s="49"/>
      <c r="I758" s="51"/>
      <c r="J758" s="52"/>
      <c r="K758" s="66"/>
      <c r="L758" s="66"/>
      <c r="M758" s="57"/>
      <c r="N758" s="54"/>
      <c r="O758" s="57"/>
      <c r="P758" s="54"/>
      <c r="Q758" s="55"/>
      <c r="R758" s="54"/>
      <c r="S758" s="54"/>
      <c r="T758" s="57"/>
      <c r="U758" s="55"/>
    </row>
    <row r="759" spans="2:21" x14ac:dyDescent="0.2">
      <c r="B759" s="49"/>
      <c r="C759" s="50"/>
      <c r="D759" s="72"/>
      <c r="E759" s="49"/>
      <c r="F759" s="49"/>
      <c r="G759" s="49"/>
      <c r="H759" s="49"/>
      <c r="I759" s="51"/>
      <c r="J759" s="52"/>
      <c r="K759" s="66"/>
      <c r="L759" s="66"/>
      <c r="M759" s="57"/>
      <c r="N759" s="54"/>
      <c r="O759" s="57"/>
      <c r="P759" s="54"/>
      <c r="Q759" s="55"/>
      <c r="R759" s="54"/>
      <c r="S759" s="54"/>
      <c r="T759" s="57"/>
      <c r="U759" s="55"/>
    </row>
    <row r="760" spans="2:21" x14ac:dyDescent="0.2">
      <c r="B760" s="49"/>
      <c r="C760" s="50"/>
      <c r="D760" s="72"/>
      <c r="E760" s="49"/>
      <c r="F760" s="49"/>
      <c r="G760" s="49"/>
      <c r="H760" s="49"/>
      <c r="I760" s="51"/>
      <c r="J760" s="52"/>
      <c r="K760" s="66"/>
      <c r="L760" s="66"/>
      <c r="M760" s="57"/>
      <c r="N760" s="54"/>
      <c r="O760" s="57"/>
      <c r="P760" s="54"/>
      <c r="Q760" s="55"/>
      <c r="R760" s="54"/>
      <c r="S760" s="54"/>
      <c r="T760" s="57"/>
      <c r="U760" s="55"/>
    </row>
    <row r="761" spans="2:21" x14ac:dyDescent="0.2">
      <c r="B761" s="49"/>
      <c r="C761" s="50"/>
      <c r="D761" s="72"/>
      <c r="E761" s="49"/>
      <c r="F761" s="49"/>
      <c r="G761" s="49"/>
      <c r="H761" s="49"/>
      <c r="I761" s="51"/>
      <c r="J761" s="52"/>
      <c r="K761" s="66"/>
      <c r="L761" s="66"/>
      <c r="M761" s="57"/>
      <c r="N761" s="54"/>
      <c r="O761" s="57"/>
      <c r="P761" s="54"/>
      <c r="Q761" s="55"/>
      <c r="R761" s="54"/>
      <c r="S761" s="54"/>
      <c r="T761" s="57"/>
      <c r="U761" s="55"/>
    </row>
    <row r="762" spans="2:21" x14ac:dyDescent="0.2">
      <c r="B762" s="49"/>
      <c r="C762" s="50"/>
      <c r="D762" s="72"/>
      <c r="E762" s="49"/>
      <c r="F762" s="49"/>
      <c r="G762" s="49"/>
      <c r="H762" s="49"/>
      <c r="I762" s="51"/>
      <c r="J762" s="52"/>
      <c r="K762" s="66"/>
      <c r="L762" s="66"/>
      <c r="M762" s="57"/>
      <c r="N762" s="54"/>
      <c r="O762" s="57"/>
      <c r="P762" s="54"/>
      <c r="Q762" s="55"/>
      <c r="R762" s="54"/>
      <c r="S762" s="54"/>
      <c r="T762" s="57"/>
      <c r="U762" s="55"/>
    </row>
    <row r="763" spans="2:21" x14ac:dyDescent="0.2">
      <c r="B763" s="49"/>
      <c r="C763" s="50"/>
      <c r="D763" s="72"/>
      <c r="E763" s="49"/>
      <c r="F763" s="49"/>
      <c r="G763" s="49"/>
      <c r="H763" s="49"/>
      <c r="I763" s="51"/>
      <c r="J763" s="52"/>
      <c r="K763" s="66"/>
      <c r="L763" s="66"/>
      <c r="M763" s="57"/>
      <c r="N763" s="54"/>
      <c r="O763" s="57"/>
      <c r="P763" s="54"/>
      <c r="Q763" s="55"/>
      <c r="R763" s="54"/>
      <c r="S763" s="54"/>
      <c r="T763" s="57"/>
      <c r="U763" s="55"/>
    </row>
    <row r="764" spans="2:21" x14ac:dyDescent="0.2">
      <c r="B764" s="49"/>
      <c r="C764" s="50"/>
      <c r="D764" s="72"/>
      <c r="E764" s="49"/>
      <c r="F764" s="49"/>
      <c r="G764" s="49"/>
      <c r="H764" s="49"/>
      <c r="I764" s="51"/>
      <c r="J764" s="52"/>
      <c r="K764" s="66"/>
      <c r="L764" s="66"/>
      <c r="M764" s="57"/>
      <c r="N764" s="54"/>
      <c r="O764" s="57"/>
      <c r="P764" s="54"/>
      <c r="Q764" s="55"/>
      <c r="R764" s="54"/>
      <c r="S764" s="54"/>
      <c r="T764" s="57"/>
      <c r="U764" s="55"/>
    </row>
    <row r="765" spans="2:21" x14ac:dyDescent="0.2">
      <c r="B765" s="49"/>
      <c r="C765" s="50"/>
      <c r="D765" s="72"/>
      <c r="E765" s="49"/>
      <c r="F765" s="49"/>
      <c r="G765" s="49"/>
      <c r="H765" s="49"/>
      <c r="I765" s="51"/>
      <c r="J765" s="52"/>
      <c r="K765" s="66"/>
      <c r="L765" s="66"/>
      <c r="M765" s="57"/>
      <c r="N765" s="54"/>
      <c r="O765" s="57"/>
      <c r="P765" s="54"/>
      <c r="Q765" s="55"/>
      <c r="R765" s="54"/>
      <c r="S765" s="54"/>
      <c r="T765" s="57"/>
      <c r="U765" s="55"/>
    </row>
    <row r="766" spans="2:21" x14ac:dyDescent="0.2">
      <c r="B766" s="49"/>
      <c r="C766" s="50"/>
      <c r="D766" s="72"/>
      <c r="E766" s="49"/>
      <c r="F766" s="49"/>
      <c r="G766" s="49"/>
      <c r="H766" s="49"/>
      <c r="I766" s="51"/>
      <c r="J766" s="52"/>
      <c r="K766" s="66"/>
      <c r="L766" s="66"/>
      <c r="M766" s="57"/>
      <c r="N766" s="54"/>
      <c r="O766" s="57"/>
      <c r="P766" s="54"/>
      <c r="Q766" s="55"/>
      <c r="R766" s="54"/>
      <c r="S766" s="54"/>
      <c r="T766" s="57"/>
      <c r="U766" s="55"/>
    </row>
    <row r="767" spans="2:21" x14ac:dyDescent="0.2">
      <c r="B767" s="49"/>
      <c r="C767" s="50"/>
      <c r="D767" s="72"/>
      <c r="E767" s="49"/>
      <c r="F767" s="49"/>
      <c r="G767" s="49"/>
      <c r="H767" s="49"/>
      <c r="I767" s="51"/>
      <c r="J767" s="52"/>
      <c r="K767" s="66"/>
      <c r="L767" s="66"/>
      <c r="M767" s="57"/>
      <c r="N767" s="54"/>
      <c r="O767" s="57"/>
      <c r="P767" s="54"/>
      <c r="Q767" s="55"/>
      <c r="R767" s="54"/>
      <c r="S767" s="54"/>
      <c r="T767" s="57"/>
      <c r="U767" s="55"/>
    </row>
    <row r="768" spans="2:21" x14ac:dyDescent="0.2">
      <c r="B768" s="49"/>
      <c r="C768" s="50"/>
      <c r="D768" s="72"/>
      <c r="E768" s="49"/>
      <c r="F768" s="49"/>
      <c r="G768" s="49"/>
      <c r="H768" s="49"/>
      <c r="I768" s="51"/>
      <c r="J768" s="52"/>
      <c r="K768" s="66"/>
      <c r="L768" s="66"/>
      <c r="M768" s="57"/>
      <c r="N768" s="54"/>
      <c r="O768" s="57"/>
      <c r="P768" s="54"/>
      <c r="Q768" s="55"/>
      <c r="R768" s="54"/>
      <c r="S768" s="54"/>
      <c r="T768" s="57"/>
      <c r="U768" s="55"/>
    </row>
    <row r="769" spans="2:21" x14ac:dyDescent="0.2">
      <c r="B769" s="49"/>
      <c r="C769" s="50"/>
      <c r="D769" s="72"/>
      <c r="E769" s="49"/>
      <c r="F769" s="49"/>
      <c r="G769" s="49"/>
      <c r="H769" s="49"/>
      <c r="I769" s="51"/>
      <c r="J769" s="52"/>
      <c r="K769" s="66"/>
      <c r="L769" s="66"/>
      <c r="M769" s="57"/>
      <c r="N769" s="54"/>
      <c r="O769" s="57"/>
      <c r="P769" s="54"/>
      <c r="Q769" s="55"/>
      <c r="R769" s="54"/>
      <c r="S769" s="54"/>
      <c r="T769" s="57"/>
      <c r="U769" s="55"/>
    </row>
    <row r="770" spans="2:21" x14ac:dyDescent="0.2">
      <c r="B770" s="49"/>
      <c r="C770" s="50"/>
      <c r="D770" s="72"/>
      <c r="E770" s="49"/>
      <c r="F770" s="49"/>
      <c r="G770" s="49"/>
      <c r="H770" s="49"/>
      <c r="I770" s="51"/>
      <c r="J770" s="52"/>
      <c r="K770" s="66"/>
      <c r="L770" s="66"/>
      <c r="M770" s="57"/>
      <c r="N770" s="54"/>
      <c r="O770" s="57"/>
      <c r="P770" s="54"/>
      <c r="Q770" s="55"/>
      <c r="R770" s="54"/>
      <c r="S770" s="54"/>
      <c r="T770" s="57"/>
      <c r="U770" s="55"/>
    </row>
    <row r="771" spans="2:21" x14ac:dyDescent="0.2">
      <c r="B771" s="49"/>
      <c r="C771" s="50"/>
      <c r="D771" s="72"/>
      <c r="E771" s="49"/>
      <c r="F771" s="49"/>
      <c r="G771" s="49"/>
      <c r="H771" s="49"/>
      <c r="I771" s="51"/>
      <c r="J771" s="52"/>
      <c r="K771" s="66"/>
      <c r="L771" s="66"/>
      <c r="M771" s="57"/>
      <c r="N771" s="54"/>
      <c r="O771" s="57"/>
      <c r="P771" s="54"/>
      <c r="Q771" s="55"/>
      <c r="R771" s="54"/>
      <c r="S771" s="54"/>
      <c r="T771" s="57"/>
      <c r="U771" s="55"/>
    </row>
    <row r="772" spans="2:21" x14ac:dyDescent="0.2">
      <c r="B772" s="49"/>
      <c r="C772" s="50"/>
      <c r="D772" s="72"/>
      <c r="E772" s="49"/>
      <c r="F772" s="49"/>
      <c r="G772" s="49"/>
      <c r="H772" s="49"/>
      <c r="I772" s="51"/>
      <c r="J772" s="52"/>
      <c r="K772" s="66"/>
      <c r="L772" s="66"/>
      <c r="M772" s="57"/>
      <c r="N772" s="54"/>
      <c r="O772" s="57"/>
      <c r="P772" s="54"/>
      <c r="Q772" s="55"/>
      <c r="R772" s="54"/>
      <c r="S772" s="54"/>
      <c r="T772" s="57"/>
      <c r="U772" s="55"/>
    </row>
    <row r="773" spans="2:21" x14ac:dyDescent="0.2">
      <c r="B773" s="49"/>
      <c r="C773" s="50"/>
      <c r="D773" s="72"/>
      <c r="E773" s="49"/>
      <c r="F773" s="49"/>
      <c r="G773" s="49"/>
      <c r="H773" s="49"/>
      <c r="I773" s="51"/>
      <c r="J773" s="52"/>
      <c r="K773" s="66"/>
      <c r="L773" s="66"/>
      <c r="M773" s="57"/>
      <c r="N773" s="54"/>
      <c r="O773" s="57"/>
      <c r="P773" s="54"/>
      <c r="Q773" s="55"/>
      <c r="R773" s="54"/>
      <c r="S773" s="54"/>
      <c r="T773" s="57"/>
      <c r="U773" s="55"/>
    </row>
    <row r="774" spans="2:21" x14ac:dyDescent="0.2">
      <c r="B774" s="49"/>
      <c r="C774" s="50"/>
      <c r="D774" s="72"/>
      <c r="E774" s="49"/>
      <c r="F774" s="49"/>
      <c r="G774" s="49"/>
      <c r="H774" s="49"/>
      <c r="I774" s="51"/>
      <c r="J774" s="52"/>
      <c r="K774" s="66"/>
      <c r="L774" s="66"/>
      <c r="M774" s="57"/>
      <c r="N774" s="54"/>
      <c r="O774" s="57"/>
      <c r="P774" s="54"/>
      <c r="Q774" s="55"/>
      <c r="R774" s="54"/>
      <c r="S774" s="54"/>
      <c r="T774" s="57"/>
      <c r="U774" s="55"/>
    </row>
    <row r="775" spans="2:21" x14ac:dyDescent="0.2">
      <c r="B775" s="49"/>
      <c r="C775" s="50"/>
      <c r="D775" s="72"/>
      <c r="E775" s="49"/>
      <c r="F775" s="49"/>
      <c r="G775" s="49"/>
      <c r="H775" s="49"/>
      <c r="I775" s="51"/>
      <c r="J775" s="52"/>
      <c r="K775" s="66"/>
      <c r="L775" s="66"/>
      <c r="M775" s="57"/>
      <c r="N775" s="54"/>
      <c r="O775" s="57"/>
      <c r="P775" s="54"/>
      <c r="Q775" s="55"/>
      <c r="R775" s="54"/>
      <c r="S775" s="54"/>
      <c r="T775" s="57"/>
      <c r="U775" s="55"/>
    </row>
    <row r="776" spans="2:21" x14ac:dyDescent="0.2">
      <c r="B776" s="49"/>
      <c r="C776" s="50"/>
      <c r="D776" s="72"/>
      <c r="E776" s="49"/>
      <c r="F776" s="49"/>
      <c r="G776" s="49"/>
      <c r="H776" s="49"/>
      <c r="I776" s="51"/>
      <c r="J776" s="52"/>
      <c r="K776" s="66"/>
      <c r="L776" s="66"/>
      <c r="M776" s="57"/>
      <c r="N776" s="54"/>
      <c r="O776" s="57"/>
      <c r="P776" s="54"/>
      <c r="Q776" s="55"/>
      <c r="R776" s="54"/>
      <c r="S776" s="54"/>
      <c r="T776" s="57"/>
      <c r="U776" s="55"/>
    </row>
  </sheetData>
  <mergeCells count="12">
    <mergeCell ref="F4:I5"/>
    <mergeCell ref="I6:I7"/>
    <mergeCell ref="C4:D5"/>
    <mergeCell ref="R6:R8"/>
    <mergeCell ref="C6:C7"/>
    <mergeCell ref="D6:D7"/>
    <mergeCell ref="F6:F7"/>
    <mergeCell ref="U6:U8"/>
    <mergeCell ref="N7:N8"/>
    <mergeCell ref="O7:O8"/>
    <mergeCell ref="N4:Q5"/>
    <mergeCell ref="R4:U5"/>
  </mergeCells>
  <dataValidations count="1">
    <dataValidation type="list" allowBlank="1" showInputMessage="1" showErrorMessage="1" sqref="D6">
      <formula1>"Intra-Day,Daily"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6</xdr:col>
                    <xdr:colOff>47625</xdr:colOff>
                    <xdr:row>5</xdr:row>
                    <xdr:rowOff>85725</xdr:rowOff>
                  </from>
                  <to>
                    <xdr:col>7</xdr:col>
                    <xdr:colOff>790575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77"/>
  <sheetViews>
    <sheetView showGridLines="0" zoomScale="85" zoomScaleNormal="85" workbookViewId="0"/>
  </sheetViews>
  <sheetFormatPr defaultRowHeight="12.75" x14ac:dyDescent="0.2"/>
  <cols>
    <col min="1" max="1" width="9.140625" style="19"/>
    <col min="2" max="2" width="11.85546875" style="19" bestFit="1" customWidth="1"/>
    <col min="3" max="3" width="9.140625" style="19"/>
    <col min="4" max="4" width="16.140625" style="19" bestFit="1" customWidth="1"/>
    <col min="5" max="5" width="13.7109375" style="19" bestFit="1" customWidth="1"/>
    <col min="6" max="6" width="10" style="19" bestFit="1" customWidth="1"/>
    <col min="7" max="8" width="9.140625" style="19"/>
    <col min="9" max="9" width="11.140625" style="64" customWidth="1"/>
    <col min="14" max="14" width="11.85546875" style="71" bestFit="1" customWidth="1"/>
    <col min="16" max="16" width="12.28515625" style="65" bestFit="1" customWidth="1"/>
    <col min="17" max="20" width="13.7109375" style="19" bestFit="1" customWidth="1"/>
    <col min="23" max="23" width="11" bestFit="1" customWidth="1"/>
  </cols>
  <sheetData>
    <row r="1" spans="1:24" ht="39.75" customHeight="1" x14ac:dyDescent="0.2">
      <c r="A1" s="23" t="s">
        <v>35</v>
      </c>
      <c r="B1" s="23" t="s">
        <v>29</v>
      </c>
      <c r="C1" s="23" t="s">
        <v>43</v>
      </c>
      <c r="D1" s="22" t="s">
        <v>44</v>
      </c>
      <c r="E1" s="23" t="s">
        <v>36</v>
      </c>
      <c r="F1" s="23" t="s">
        <v>37</v>
      </c>
      <c r="G1" s="23" t="s">
        <v>45</v>
      </c>
      <c r="H1" s="23" t="s">
        <v>46</v>
      </c>
      <c r="I1" s="181" t="s">
        <v>30</v>
      </c>
      <c r="M1" s="23" t="s">
        <v>35</v>
      </c>
      <c r="N1" s="73" t="s">
        <v>67</v>
      </c>
      <c r="O1" s="23" t="s">
        <v>43</v>
      </c>
      <c r="P1" s="22" t="s">
        <v>44</v>
      </c>
      <c r="Q1" s="23" t="s">
        <v>36</v>
      </c>
      <c r="R1" s="23" t="s">
        <v>37</v>
      </c>
      <c r="S1" s="23" t="s">
        <v>45</v>
      </c>
      <c r="T1" s="23" t="s">
        <v>46</v>
      </c>
      <c r="W1" s="73" t="s">
        <v>67</v>
      </c>
      <c r="X1" s="73" t="s">
        <v>30</v>
      </c>
    </row>
    <row r="2" spans="1:24" ht="13.5" customHeight="1" x14ac:dyDescent="0.2">
      <c r="A2" s="231">
        <v>2009</v>
      </c>
      <c r="B2" s="26" t="s">
        <v>38</v>
      </c>
      <c r="C2" s="26">
        <f>IF(B2="Monday",A2,#REF!)</f>
        <v>2009</v>
      </c>
      <c r="D2" s="26" t="str">
        <f t="shared" ref="D2:D6" si="0">C2&amp;B2</f>
        <v>2009Monday</v>
      </c>
      <c r="E2" s="25">
        <f ca="1">IF(ISERROR(AVERAGEIF(Daily!$F:$K,$D2,Daily!$K:$K)),0,AVERAGEIF(Daily!$F:$K,$D2,Daily!$K:$K))</f>
        <v>0</v>
      </c>
      <c r="F2" s="25">
        <f ca="1">IF(ISERROR(E2*5/$G$2),0,E2*5/$G$2)</f>
        <v>0</v>
      </c>
      <c r="G2" s="25">
        <f ca="1">SUM(E2:E6)</f>
        <v>0</v>
      </c>
      <c r="H2" s="25">
        <f ca="1">SUM(F2:F6)</f>
        <v>0</v>
      </c>
      <c r="I2" s="77" t="str">
        <f ca="1">IF(ISERROR(AVERAGEIF(Daily!$F$9:$G$1048576,Indices!D2,Daily!$G$9:$G$1048576)),"",AVERAGEIF(Daily!$F$9:$G$1048576,Indices!D2,Daily!$G$9:$G$1048576))</f>
        <v/>
      </c>
      <c r="M2" s="229">
        <v>2010</v>
      </c>
      <c r="N2" s="74">
        <v>0.33333333333333331</v>
      </c>
      <c r="O2" s="26">
        <f>IF(N2=TIME(HOUR(N2),MINUTE(N2),SECOND(N2)),M2,O1)</f>
        <v>2010</v>
      </c>
      <c r="P2" s="26" t="str">
        <f>O2&amp;TEXT(TIME(HOUR(N2),MINUTE(N2),SECOND(N2)),"HH:MM:SS")</f>
        <v>201008:00:00</v>
      </c>
      <c r="Q2" s="25">
        <f ca="1">IF(ISERROR(AVERAGEIF(Daily!$F$9:$K$1048576,Indices!P2,Daily!$K$9:$K$1048576)),0,AVERAGEIF(Daily!$F$9:$K$1048576,Indices!P2,Daily!$K$9:$K$1048576))</f>
        <v>0</v>
      </c>
      <c r="R2" s="25">
        <f ca="1">IF(ISERROR(Q2*22/$S$2),0,Q2*22/$S$2)</f>
        <v>0</v>
      </c>
      <c r="S2" s="25">
        <f ca="1">SUM(Q2:Q23)</f>
        <v>0</v>
      </c>
      <c r="T2" s="25">
        <f ca="1">SUM(R2:R23)</f>
        <v>0</v>
      </c>
      <c r="W2" s="74">
        <v>0.33333333333333331</v>
      </c>
      <c r="X2" s="77" t="e">
        <f ca="1">AVERAGEIF(Daily!$D$9:$G$1048576,Indices!W2,Daily!$G$10:$G$1048576)</f>
        <v>#DIV/0!</v>
      </c>
    </row>
    <row r="3" spans="1:24" ht="13.5" customHeight="1" x14ac:dyDescent="0.2">
      <c r="A3" s="232"/>
      <c r="B3" s="27" t="s">
        <v>39</v>
      </c>
      <c r="C3" s="27">
        <f>IF(B3="Monday",A3,C2)</f>
        <v>2009</v>
      </c>
      <c r="D3" s="27" t="str">
        <f t="shared" si="0"/>
        <v>2009Tuesday</v>
      </c>
      <c r="E3" s="29">
        <f ca="1">IF(ISERROR(AVERAGEIF(Daily!$F:$K,$D3,Daily!$K:$K)),0,AVERAGEIF(Daily!$F:$K,$D3,Daily!$K:$K))</f>
        <v>0</v>
      </c>
      <c r="F3" s="25">
        <f t="shared" ref="F3:F6" ca="1" si="1">IF(ISERROR(E3*5/$G$2),0,E3*5/$G$2)</f>
        <v>0</v>
      </c>
      <c r="G3" s="29"/>
      <c r="H3" s="29"/>
      <c r="I3" s="78" t="str">
        <f ca="1">IF(ISERROR(AVERAGEIF(Daily!$F$9:$G$1048576,Indices!D3,Daily!$G$9:$G$1048576)),"",AVERAGEIF(Daily!$F$9:$G$1048576,Indices!D3,Daily!$G$9:$G$1048576))</f>
        <v/>
      </c>
      <c r="M3" s="229"/>
      <c r="N3" s="75">
        <v>0.35416666666666669</v>
      </c>
      <c r="O3" s="27">
        <f>IF(ISERROR(IF(N3=TIME(HOUR(N3),MINUTE(N3),SECOND(N3)),M3,O2)),"",O2)</f>
        <v>2010</v>
      </c>
      <c r="P3" s="27" t="str">
        <f t="shared" ref="P3:P66" si="2">O3&amp;TEXT(TIME(HOUR(N3),MINUTE(N3),SECOND(N3)),"HH:MM:SS")</f>
        <v>201008:30:00</v>
      </c>
      <c r="Q3" s="29">
        <f ca="1">IF(ISERROR(AVERAGEIF(Daily!$F$9:$K$1048576,Indices!P3,Daily!$K$9:$K$1048576)),0,AVERAGEIF(Daily!$F$9:$K$1048576,Indices!P3,Daily!$K$9:$K$1048576))</f>
        <v>0</v>
      </c>
      <c r="R3" s="29">
        <f t="shared" ref="R3:R23" ca="1" si="3">IF(ISERROR(Q3*22/$S$2),0,Q3*22/$S$2)</f>
        <v>0</v>
      </c>
      <c r="S3" s="29"/>
      <c r="T3" s="29"/>
      <c r="W3" s="75">
        <v>0.35416666666666669</v>
      </c>
      <c r="X3" s="78" t="e">
        <f ca="1">AVERAGEIF(Daily!$D$9:$G$1048576,Indices!W3,Daily!$G$10:$G$1048576)</f>
        <v>#DIV/0!</v>
      </c>
    </row>
    <row r="4" spans="1:24" ht="13.5" customHeight="1" x14ac:dyDescent="0.2">
      <c r="A4" s="232"/>
      <c r="B4" s="27" t="s">
        <v>40</v>
      </c>
      <c r="C4" s="27">
        <f>IF(B4="Monday",A4,C3)</f>
        <v>2009</v>
      </c>
      <c r="D4" s="27" t="str">
        <f t="shared" si="0"/>
        <v>2009Wednesday</v>
      </c>
      <c r="E4" s="29">
        <f ca="1">IF(ISERROR(AVERAGEIF(Daily!$F:$K,$D4,Daily!$K:$K)),0,AVERAGEIF(Daily!$F:$K,$D4,Daily!$K:$K))</f>
        <v>0</v>
      </c>
      <c r="F4" s="25">
        <f t="shared" ca="1" si="1"/>
        <v>0</v>
      </c>
      <c r="G4" s="29"/>
      <c r="H4" s="29"/>
      <c r="I4" s="78" t="str">
        <f ca="1">IF(ISERROR(AVERAGEIF(Daily!$F$9:$G$1048576,Indices!D4,Daily!$G$9:$G$1048576)),"",AVERAGEIF(Daily!$F$9:$G$1048576,Indices!D4,Daily!$G$9:$G$1048576))</f>
        <v/>
      </c>
      <c r="M4" s="229"/>
      <c r="N4" s="75">
        <v>0.375</v>
      </c>
      <c r="O4" s="27">
        <f t="shared" ref="O4:O23" si="4">IF(ISERROR(IF(N4=TIME(HOUR(N4),MINUTE(N4),SECOND(N4)),M4,O3)),"",O3)</f>
        <v>2010</v>
      </c>
      <c r="P4" s="27" t="str">
        <f t="shared" si="2"/>
        <v>201009:00:00</v>
      </c>
      <c r="Q4" s="29">
        <f ca="1">IF(ISERROR(AVERAGEIF(Daily!$F$9:$K$1048576,Indices!P4,Daily!$K$9:$K$1048576)),0,AVERAGEIF(Daily!$F$9:$K$1048576,Indices!P4,Daily!$K$9:$K$1048576))</f>
        <v>0</v>
      </c>
      <c r="R4" s="29">
        <f t="shared" ca="1" si="3"/>
        <v>0</v>
      </c>
      <c r="S4" s="29"/>
      <c r="T4" s="29"/>
      <c r="W4" s="75">
        <v>0.375</v>
      </c>
      <c r="X4" s="78" t="e">
        <f ca="1">AVERAGEIF(Daily!$D$9:$G$1048576,Indices!W4,Daily!$G$10:$G$1048576)</f>
        <v>#DIV/0!</v>
      </c>
    </row>
    <row r="5" spans="1:24" ht="13.5" customHeight="1" x14ac:dyDescent="0.2">
      <c r="A5" s="232"/>
      <c r="B5" s="27" t="s">
        <v>41</v>
      </c>
      <c r="C5" s="27">
        <f>IF(B5="Monday",A5,C4)</f>
        <v>2009</v>
      </c>
      <c r="D5" s="27" t="str">
        <f t="shared" si="0"/>
        <v>2009Thursday</v>
      </c>
      <c r="E5" s="29">
        <f ca="1">IF(ISERROR(AVERAGEIF(Daily!$F:$K,$D5,Daily!$K:$K)),0,AVERAGEIF(Daily!$F:$K,$D5,Daily!$K:$K))</f>
        <v>0</v>
      </c>
      <c r="F5" s="25">
        <f t="shared" ca="1" si="1"/>
        <v>0</v>
      </c>
      <c r="G5" s="29"/>
      <c r="H5" s="29"/>
      <c r="I5" s="78" t="str">
        <f ca="1">IF(ISERROR(AVERAGEIF(Daily!$F$9:$G$1048576,Indices!D5,Daily!$G$9:$G$1048576)),"",AVERAGEIF(Daily!$F$9:$G$1048576,Indices!D5,Daily!$G$9:$G$1048576))</f>
        <v/>
      </c>
      <c r="M5" s="229"/>
      <c r="N5" s="75">
        <v>0.39583333333333331</v>
      </c>
      <c r="O5" s="27">
        <f t="shared" si="4"/>
        <v>2010</v>
      </c>
      <c r="P5" s="27" t="str">
        <f t="shared" si="2"/>
        <v>201009:30:00</v>
      </c>
      <c r="Q5" s="29">
        <f ca="1">IF(ISERROR(AVERAGEIF(Daily!$F$9:$K$1048576,Indices!P5,Daily!$K$9:$K$1048576)),0,AVERAGEIF(Daily!$F$9:$K$1048576,Indices!P5,Daily!$K$9:$K$1048576))</f>
        <v>0</v>
      </c>
      <c r="R5" s="29">
        <f t="shared" ca="1" si="3"/>
        <v>0</v>
      </c>
      <c r="S5" s="29"/>
      <c r="T5" s="29"/>
      <c r="W5" s="75">
        <v>0.39583333333333331</v>
      </c>
      <c r="X5" s="78" t="e">
        <f ca="1">AVERAGEIF(Daily!$D$9:$G$1048576,Indices!W5,Daily!$G$10:$G$1048576)</f>
        <v>#DIV/0!</v>
      </c>
    </row>
    <row r="6" spans="1:24" ht="13.5" customHeight="1" thickBot="1" x14ac:dyDescent="0.25">
      <c r="A6" s="233"/>
      <c r="B6" s="28" t="s">
        <v>42</v>
      </c>
      <c r="C6" s="28">
        <f>IF(B6="Monday",A6,C5)</f>
        <v>2009</v>
      </c>
      <c r="D6" s="28" t="str">
        <f t="shared" si="0"/>
        <v>2009Friday</v>
      </c>
      <c r="E6" s="30">
        <f ca="1">IF(ISERROR(AVERAGEIF(Daily!$F:$K,$D6,Daily!$K:$K)),0,AVERAGEIF(Daily!$F:$K,$D6,Daily!$K:$K))</f>
        <v>0</v>
      </c>
      <c r="F6" s="30">
        <f t="shared" ca="1" si="1"/>
        <v>0</v>
      </c>
      <c r="G6" s="30"/>
      <c r="H6" s="30"/>
      <c r="I6" s="79" t="str">
        <f ca="1">IF(ISERROR(AVERAGEIF(Daily!$F$9:$G$1048576,Indices!D6,Daily!$G$9:$G$1048576)),"",AVERAGEIF(Daily!$F$9:$G$1048576,Indices!D6,Daily!$G$9:$G$1048576))</f>
        <v/>
      </c>
      <c r="M6" s="229"/>
      <c r="N6" s="75">
        <v>0.41666666666666669</v>
      </c>
      <c r="O6" s="27">
        <f t="shared" si="4"/>
        <v>2010</v>
      </c>
      <c r="P6" s="27" t="str">
        <f t="shared" si="2"/>
        <v>201010:00:00</v>
      </c>
      <c r="Q6" s="29">
        <f ca="1">IF(ISERROR(AVERAGEIF(Daily!$F$9:$K$1048576,Indices!P6,Daily!$K$9:$K$1048576)),0,AVERAGEIF(Daily!$F$9:$K$1048576,Indices!P6,Daily!$K$9:$K$1048576))</f>
        <v>0</v>
      </c>
      <c r="R6" s="29">
        <f t="shared" ca="1" si="3"/>
        <v>0</v>
      </c>
      <c r="S6" s="29"/>
      <c r="T6" s="29"/>
      <c r="W6" s="75">
        <v>0.41666666666666669</v>
      </c>
      <c r="X6" s="78" t="e">
        <f ca="1">AVERAGEIF(Daily!$D$9:$G$1048576,Indices!W6,Daily!$G$10:$G$1048576)</f>
        <v>#DIV/0!</v>
      </c>
    </row>
    <row r="7" spans="1:24" ht="13.5" customHeight="1" x14ac:dyDescent="0.2">
      <c r="A7" s="231">
        <v>2010</v>
      </c>
      <c r="B7" s="26" t="s">
        <v>38</v>
      </c>
      <c r="C7" s="26">
        <f>IF(B7="Monday",A7,C1)</f>
        <v>2010</v>
      </c>
      <c r="D7" s="26" t="str">
        <f t="shared" ref="D7:D36" si="5">C7&amp;B7</f>
        <v>2010Monday</v>
      </c>
      <c r="E7" s="25">
        <f ca="1">IF(ISERROR(AVERAGEIF(Daily!$F:$K,$D7,Daily!$K:$K)),0,AVERAGEIF(Daily!$F:$K,$D7,Daily!$K:$K))</f>
        <v>0</v>
      </c>
      <c r="F7" s="25">
        <f ca="1">IF(ISERROR(E7*5/$G$7),0,E7*5/$G$7)</f>
        <v>0</v>
      </c>
      <c r="G7" s="25">
        <f ca="1">SUM(E7:E11)</f>
        <v>0</v>
      </c>
      <c r="H7" s="25">
        <f ca="1">SUM(F7:F11)</f>
        <v>0</v>
      </c>
      <c r="I7" s="77" t="str">
        <f ca="1">IF(ISERROR(AVERAGEIF(Daily!$F$9:$G$1048576,Indices!D7,Daily!$G$9:$G$1048576)),"",AVERAGEIF(Daily!$F$9:$G$1048576,Indices!D7,Daily!$G$9:$G$1048576))</f>
        <v/>
      </c>
      <c r="M7" s="229"/>
      <c r="N7" s="75">
        <v>0.4375</v>
      </c>
      <c r="O7" s="27">
        <f t="shared" si="4"/>
        <v>2010</v>
      </c>
      <c r="P7" s="27" t="str">
        <f t="shared" si="2"/>
        <v>201010:30:00</v>
      </c>
      <c r="Q7" s="29">
        <f ca="1">IF(ISERROR(AVERAGEIF(Daily!$F$9:$K$1048576,Indices!P7,Daily!$K$9:$K$1048576)),0,AVERAGEIF(Daily!$F$9:$K$1048576,Indices!P7,Daily!$K$9:$K$1048576))</f>
        <v>0</v>
      </c>
      <c r="R7" s="29">
        <f t="shared" ca="1" si="3"/>
        <v>0</v>
      </c>
      <c r="S7" s="29"/>
      <c r="T7" s="29"/>
      <c r="W7" s="75">
        <v>0.4375</v>
      </c>
      <c r="X7" s="78" t="e">
        <f ca="1">AVERAGEIF(Daily!$D$9:$G$1048576,Indices!W7,Daily!$G$10:$G$1048576)</f>
        <v>#DIV/0!</v>
      </c>
    </row>
    <row r="8" spans="1:24" ht="13.5" customHeight="1" x14ac:dyDescent="0.2">
      <c r="A8" s="232"/>
      <c r="B8" s="27" t="s">
        <v>39</v>
      </c>
      <c r="C8" s="27">
        <f t="shared" ref="C8:C36" si="6">IF(B8="Monday",A8,C7)</f>
        <v>2010</v>
      </c>
      <c r="D8" s="27" t="str">
        <f t="shared" si="5"/>
        <v>2010Tuesday</v>
      </c>
      <c r="E8" s="29">
        <f ca="1">IF(ISERROR(AVERAGEIF(Daily!$F:$K,$D8,Daily!$K:$K)),0,AVERAGEIF(Daily!$F:$K,$D8,Daily!$K:$K))</f>
        <v>0</v>
      </c>
      <c r="F8" s="29">
        <f ca="1">IF(ISERROR(E8*5/$G$7),0,E8*5/$G$7)</f>
        <v>0</v>
      </c>
      <c r="G8" s="29"/>
      <c r="H8" s="29"/>
      <c r="I8" s="78" t="str">
        <f ca="1">IF(ISERROR(AVERAGEIF(Daily!$F$9:$G$1048576,Indices!D8,Daily!$G$9:$G$1048576)),"",AVERAGEIF(Daily!$F$9:$G$1048576,Indices!D8,Daily!$G$9:$G$1048576))</f>
        <v/>
      </c>
      <c r="M8" s="229"/>
      <c r="N8" s="75">
        <v>0.45833333333333331</v>
      </c>
      <c r="O8" s="27">
        <f t="shared" si="4"/>
        <v>2010</v>
      </c>
      <c r="P8" s="27" t="str">
        <f t="shared" si="2"/>
        <v>201011:00:00</v>
      </c>
      <c r="Q8" s="29">
        <f ca="1">IF(ISERROR(AVERAGEIF(Daily!$F$9:$K$1048576,Indices!P8,Daily!$K$9:$K$1048576)),0,AVERAGEIF(Daily!$F$9:$K$1048576,Indices!P8,Daily!$K$9:$K$1048576))</f>
        <v>0</v>
      </c>
      <c r="R8" s="29">
        <f t="shared" ca="1" si="3"/>
        <v>0</v>
      </c>
      <c r="S8" s="29"/>
      <c r="T8" s="29"/>
      <c r="W8" s="75">
        <v>0.45833333333333331</v>
      </c>
      <c r="X8" s="78" t="e">
        <f ca="1">AVERAGEIF(Daily!$D$9:$G$1048576,Indices!W8,Daily!$G$10:$G$1048576)</f>
        <v>#DIV/0!</v>
      </c>
    </row>
    <row r="9" spans="1:24" ht="13.5" customHeight="1" x14ac:dyDescent="0.2">
      <c r="A9" s="232"/>
      <c r="B9" s="27" t="s">
        <v>40</v>
      </c>
      <c r="C9" s="27">
        <f t="shared" si="6"/>
        <v>2010</v>
      </c>
      <c r="D9" s="27" t="str">
        <f t="shared" si="5"/>
        <v>2010Wednesday</v>
      </c>
      <c r="E9" s="29">
        <f ca="1">IF(ISERROR(AVERAGEIF(Daily!$F:$K,$D9,Daily!$K:$K)),0,AVERAGEIF(Daily!$F:$K,$D9,Daily!$K:$K))</f>
        <v>0</v>
      </c>
      <c r="F9" s="29">
        <f ca="1">IF(ISERROR(E9*5/$G$7),0,E9*5/$G$7)</f>
        <v>0</v>
      </c>
      <c r="G9" s="29"/>
      <c r="H9" s="29"/>
      <c r="I9" s="78" t="str">
        <f ca="1">IF(ISERROR(AVERAGEIF(Daily!$F$9:$G$1048576,Indices!D9,Daily!$G$9:$G$1048576)),"",AVERAGEIF(Daily!$F$9:$G$1048576,Indices!D9,Daily!$G$9:$G$1048576))</f>
        <v/>
      </c>
      <c r="M9" s="229"/>
      <c r="N9" s="75">
        <v>0.47916666666666669</v>
      </c>
      <c r="O9" s="27">
        <f t="shared" si="4"/>
        <v>2010</v>
      </c>
      <c r="P9" s="27" t="str">
        <f t="shared" si="2"/>
        <v>201011:30:00</v>
      </c>
      <c r="Q9" s="29">
        <f ca="1">IF(ISERROR(AVERAGEIF(Daily!$F$9:$K$1048576,Indices!P9,Daily!$K$9:$K$1048576)),0,AVERAGEIF(Daily!$F$9:$K$1048576,Indices!P9,Daily!$K$9:$K$1048576))</f>
        <v>0</v>
      </c>
      <c r="R9" s="29">
        <f t="shared" ca="1" si="3"/>
        <v>0</v>
      </c>
      <c r="S9" s="29"/>
      <c r="T9" s="29"/>
      <c r="W9" s="75">
        <v>0.47916666666666669</v>
      </c>
      <c r="X9" s="78" t="e">
        <f ca="1">AVERAGEIF(Daily!$D$9:$G$1048576,Indices!W9,Daily!$G$10:$G$1048576)</f>
        <v>#DIV/0!</v>
      </c>
    </row>
    <row r="10" spans="1:24" ht="13.5" customHeight="1" x14ac:dyDescent="0.2">
      <c r="A10" s="232"/>
      <c r="B10" s="27" t="s">
        <v>41</v>
      </c>
      <c r="C10" s="27">
        <f t="shared" si="6"/>
        <v>2010</v>
      </c>
      <c r="D10" s="27" t="str">
        <f t="shared" si="5"/>
        <v>2010Thursday</v>
      </c>
      <c r="E10" s="29">
        <f ca="1">IF(ISERROR(AVERAGEIF(Daily!$F:$K,$D10,Daily!$K:$K)),0,AVERAGEIF(Daily!$F:$K,$D10,Daily!$K:$K))</f>
        <v>0</v>
      </c>
      <c r="F10" s="29">
        <f ca="1">IF(ISERROR(E10*5/$G$7),0,E10*5/$G$7)</f>
        <v>0</v>
      </c>
      <c r="G10" s="29"/>
      <c r="H10" s="29"/>
      <c r="I10" s="78" t="str">
        <f ca="1">IF(ISERROR(AVERAGEIF(Daily!$F$9:$G$1048576,Indices!D10,Daily!$G$9:$G$1048576)),"",AVERAGEIF(Daily!$F$9:$G$1048576,Indices!D10,Daily!$G$9:$G$1048576))</f>
        <v/>
      </c>
      <c r="M10" s="229"/>
      <c r="N10" s="75">
        <v>0.5</v>
      </c>
      <c r="O10" s="27">
        <f t="shared" si="4"/>
        <v>2010</v>
      </c>
      <c r="P10" s="27" t="str">
        <f t="shared" si="2"/>
        <v>201012:00:00</v>
      </c>
      <c r="Q10" s="29">
        <f ca="1">IF(ISERROR(AVERAGEIF(Daily!$F$9:$K$1048576,Indices!P10,Daily!$K$9:$K$1048576)),0,AVERAGEIF(Daily!$F$9:$K$1048576,Indices!P10,Daily!$K$9:$K$1048576))</f>
        <v>0</v>
      </c>
      <c r="R10" s="29">
        <f t="shared" ca="1" si="3"/>
        <v>0</v>
      </c>
      <c r="S10" s="29"/>
      <c r="T10" s="29"/>
      <c r="W10" s="75">
        <v>0.5</v>
      </c>
      <c r="X10" s="78" t="e">
        <f ca="1">AVERAGEIF(Daily!$D$9:$G$1048576,Indices!W10,Daily!$G$10:$G$1048576)</f>
        <v>#DIV/0!</v>
      </c>
    </row>
    <row r="11" spans="1:24" ht="13.5" customHeight="1" thickBot="1" x14ac:dyDescent="0.25">
      <c r="A11" s="233"/>
      <c r="B11" s="28" t="s">
        <v>42</v>
      </c>
      <c r="C11" s="28">
        <f t="shared" si="6"/>
        <v>2010</v>
      </c>
      <c r="D11" s="28" t="str">
        <f t="shared" si="5"/>
        <v>2010Friday</v>
      </c>
      <c r="E11" s="30">
        <f ca="1">IF(ISERROR(AVERAGEIF(Daily!$F:$K,$D11,Daily!$K:$K)),0,AVERAGEIF(Daily!$F:$K,$D11,Daily!$K:$K))</f>
        <v>0</v>
      </c>
      <c r="F11" s="30">
        <f ca="1">IF(ISERROR(E11*5/$G$7),0,E11*5/$G$7)</f>
        <v>0</v>
      </c>
      <c r="G11" s="30"/>
      <c r="H11" s="30"/>
      <c r="I11" s="79" t="str">
        <f ca="1">IF(ISERROR(AVERAGEIF(Daily!$F$9:$G$1048576,Indices!D11,Daily!$G$9:$G$1048576)),"",AVERAGEIF(Daily!$F$9:$G$1048576,Indices!D11,Daily!$G$9:$G$1048576))</f>
        <v/>
      </c>
      <c r="M11" s="229"/>
      <c r="N11" s="75">
        <v>0.52083333333333337</v>
      </c>
      <c r="O11" s="27">
        <f t="shared" si="4"/>
        <v>2010</v>
      </c>
      <c r="P11" s="27" t="str">
        <f t="shared" si="2"/>
        <v>201012:30:00</v>
      </c>
      <c r="Q11" s="29">
        <f ca="1">IF(ISERROR(AVERAGEIF(Daily!$F$9:$K$1048576,Indices!P11,Daily!$K$9:$K$1048576)),0,AVERAGEIF(Daily!$F$9:$K$1048576,Indices!P11,Daily!$K$9:$K$1048576))</f>
        <v>0</v>
      </c>
      <c r="R11" s="29">
        <f t="shared" ca="1" si="3"/>
        <v>0</v>
      </c>
      <c r="S11" s="29"/>
      <c r="T11" s="29"/>
      <c r="W11" s="75">
        <v>0.52083333333333337</v>
      </c>
      <c r="X11" s="78" t="e">
        <f ca="1">AVERAGEIF(Daily!$D$9:$G$1048576,Indices!W11,Daily!$G$10:$G$1048576)</f>
        <v>#DIV/0!</v>
      </c>
    </row>
    <row r="12" spans="1:24" ht="13.5" customHeight="1" x14ac:dyDescent="0.2">
      <c r="A12" s="228">
        <f>A7+1</f>
        <v>2011</v>
      </c>
      <c r="B12" s="26" t="s">
        <v>38</v>
      </c>
      <c r="C12" s="26">
        <f t="shared" si="6"/>
        <v>2011</v>
      </c>
      <c r="D12" s="26" t="str">
        <f t="shared" si="5"/>
        <v>2011Monday</v>
      </c>
      <c r="E12" s="25">
        <f ca="1">IF(ISERROR(AVERAGEIF(Daily!$F:$K,$D12,Daily!$K:$K)),0,AVERAGEIF(Daily!$F:$K,$D12,Daily!$K:$K))</f>
        <v>0</v>
      </c>
      <c r="F12" s="25">
        <f ca="1">IF(ISERROR(E12*5/$G$12),0,E12*5/$G$12)</f>
        <v>0</v>
      </c>
      <c r="G12" s="25">
        <f ca="1">SUM(E12:E16)</f>
        <v>0</v>
      </c>
      <c r="H12" s="25">
        <f ca="1">SUM(F12:F16)</f>
        <v>0</v>
      </c>
      <c r="I12" s="77" t="str">
        <f ca="1">IF(ISERROR(AVERAGEIF(Daily!$F$9:$G$1048576,Indices!D12,Daily!$G$9:$G$1048576)),"",AVERAGEIF(Daily!$F$9:$G$1048576,Indices!D12,Daily!$G$9:$G$1048576))</f>
        <v/>
      </c>
      <c r="M12" s="229"/>
      <c r="N12" s="75">
        <v>0.54166666666666663</v>
      </c>
      <c r="O12" s="27">
        <f t="shared" si="4"/>
        <v>2010</v>
      </c>
      <c r="P12" s="27" t="str">
        <f t="shared" si="2"/>
        <v>201013:00:00</v>
      </c>
      <c r="Q12" s="29">
        <f ca="1">IF(ISERROR(AVERAGEIF(Daily!$F$9:$K$1048576,Indices!P12,Daily!$K$9:$K$1048576)),0,AVERAGEIF(Daily!$F$9:$K$1048576,Indices!P12,Daily!$K$9:$K$1048576))</f>
        <v>0</v>
      </c>
      <c r="R12" s="29">
        <f t="shared" ca="1" si="3"/>
        <v>0</v>
      </c>
      <c r="S12" s="29"/>
      <c r="T12" s="29"/>
      <c r="W12" s="75">
        <v>0.54166666666666663</v>
      </c>
      <c r="X12" s="78" t="e">
        <f ca="1">AVERAGEIF(Daily!$D$9:$G$1048576,Indices!W12,Daily!$G$10:$G$1048576)</f>
        <v>#DIV/0!</v>
      </c>
    </row>
    <row r="13" spans="1:24" ht="13.5" customHeight="1" x14ac:dyDescent="0.2">
      <c r="A13" s="229"/>
      <c r="B13" s="27" t="s">
        <v>39</v>
      </c>
      <c r="C13" s="27">
        <f t="shared" si="6"/>
        <v>2011</v>
      </c>
      <c r="D13" s="27" t="str">
        <f t="shared" si="5"/>
        <v>2011Tuesday</v>
      </c>
      <c r="E13" s="29">
        <f ca="1">IF(ISERROR(AVERAGEIF(Daily!$F:$K,$D13,Daily!$K:$K)),0,AVERAGEIF(Daily!$F:$K,$D13,Daily!$K:$K))</f>
        <v>0</v>
      </c>
      <c r="F13" s="29">
        <f ca="1">IF(ISERROR(E13*5/$G$12),0,E13*5/$G$12)</f>
        <v>0</v>
      </c>
      <c r="G13" s="29"/>
      <c r="H13" s="29"/>
      <c r="I13" s="78" t="str">
        <f ca="1">IF(ISERROR(AVERAGEIF(Daily!$F$9:$G$1048576,Indices!D13,Daily!$G$9:$G$1048576)),"",AVERAGEIF(Daily!$F$9:$G$1048576,Indices!D13,Daily!$G$9:$G$1048576))</f>
        <v/>
      </c>
      <c r="M13" s="229"/>
      <c r="N13" s="75">
        <v>0.5625</v>
      </c>
      <c r="O13" s="27">
        <f t="shared" si="4"/>
        <v>2010</v>
      </c>
      <c r="P13" s="27" t="str">
        <f t="shared" si="2"/>
        <v>201013:30:00</v>
      </c>
      <c r="Q13" s="29">
        <f ca="1">IF(ISERROR(AVERAGEIF(Daily!$F$9:$K$1048576,Indices!P13,Daily!$K$9:$K$1048576)),0,AVERAGEIF(Daily!$F$9:$K$1048576,Indices!P13,Daily!$K$9:$K$1048576))</f>
        <v>0</v>
      </c>
      <c r="R13" s="29">
        <f t="shared" ca="1" si="3"/>
        <v>0</v>
      </c>
      <c r="S13" s="29"/>
      <c r="T13" s="29"/>
      <c r="W13" s="75">
        <v>0.5625</v>
      </c>
      <c r="X13" s="78" t="e">
        <f ca="1">AVERAGEIF(Daily!$D$9:$G$1048576,Indices!W13,Daily!$G$10:$G$1048576)</f>
        <v>#DIV/0!</v>
      </c>
    </row>
    <row r="14" spans="1:24" ht="13.5" customHeight="1" x14ac:dyDescent="0.2">
      <c r="A14" s="229"/>
      <c r="B14" s="27" t="s">
        <v>40</v>
      </c>
      <c r="C14" s="27">
        <f t="shared" si="6"/>
        <v>2011</v>
      </c>
      <c r="D14" s="27" t="str">
        <f t="shared" si="5"/>
        <v>2011Wednesday</v>
      </c>
      <c r="E14" s="29">
        <f ca="1">IF(ISERROR(AVERAGEIF(Daily!$F:$K,$D14,Daily!$K:$K)),0,AVERAGEIF(Daily!$F:$K,$D14,Daily!$K:$K))</f>
        <v>0</v>
      </c>
      <c r="F14" s="29">
        <f ca="1">IF(ISERROR(E14*5/$G$12),0,E14*5/$G$12)</f>
        <v>0</v>
      </c>
      <c r="G14" s="29"/>
      <c r="H14" s="29"/>
      <c r="I14" s="78" t="str">
        <f ca="1">IF(ISERROR(AVERAGEIF(Daily!$F$9:$G$1048576,Indices!D14,Daily!$G$9:$G$1048576)),"",AVERAGEIF(Daily!$F$9:$G$1048576,Indices!D14,Daily!$G$9:$G$1048576))</f>
        <v/>
      </c>
      <c r="M14" s="229"/>
      <c r="N14" s="75">
        <v>0.58333333333333337</v>
      </c>
      <c r="O14" s="27">
        <f t="shared" si="4"/>
        <v>2010</v>
      </c>
      <c r="P14" s="27" t="str">
        <f t="shared" si="2"/>
        <v>201014:00:00</v>
      </c>
      <c r="Q14" s="29">
        <f ca="1">IF(ISERROR(AVERAGEIF(Daily!$F$9:$K$1048576,Indices!P14,Daily!$K$9:$K$1048576)),0,AVERAGEIF(Daily!$F$9:$K$1048576,Indices!P14,Daily!$K$9:$K$1048576))</f>
        <v>0</v>
      </c>
      <c r="R14" s="29">
        <f t="shared" ca="1" si="3"/>
        <v>0</v>
      </c>
      <c r="S14" s="29"/>
      <c r="T14" s="29"/>
      <c r="W14" s="75">
        <v>0.58333333333333337</v>
      </c>
      <c r="X14" s="78" t="e">
        <f ca="1">AVERAGEIF(Daily!$D$9:$G$1048576,Indices!W14,Daily!$G$10:$G$1048576)</f>
        <v>#DIV/0!</v>
      </c>
    </row>
    <row r="15" spans="1:24" ht="13.5" customHeight="1" x14ac:dyDescent="0.2">
      <c r="A15" s="229"/>
      <c r="B15" s="27" t="s">
        <v>41</v>
      </c>
      <c r="C15" s="27">
        <f t="shared" si="6"/>
        <v>2011</v>
      </c>
      <c r="D15" s="27" t="str">
        <f t="shared" si="5"/>
        <v>2011Thursday</v>
      </c>
      <c r="E15" s="29">
        <f ca="1">IF(ISERROR(AVERAGEIF(Daily!$F:$K,$D15,Daily!$K:$K)),0,AVERAGEIF(Daily!$F:$K,$D15,Daily!$K:$K))</f>
        <v>0</v>
      </c>
      <c r="F15" s="29">
        <f ca="1">IF(ISERROR(E15*5/$G$12),0,E15*5/$G$12)</f>
        <v>0</v>
      </c>
      <c r="G15" s="29"/>
      <c r="H15" s="29"/>
      <c r="I15" s="78" t="str">
        <f ca="1">IF(ISERROR(AVERAGEIF(Daily!$F$9:$G$1048576,Indices!D15,Daily!$G$9:$G$1048576)),"",AVERAGEIF(Daily!$F$9:$G$1048576,Indices!D15,Daily!$G$9:$G$1048576))</f>
        <v/>
      </c>
      <c r="M15" s="229"/>
      <c r="N15" s="75">
        <v>0.60416666666666663</v>
      </c>
      <c r="O15" s="27">
        <f t="shared" si="4"/>
        <v>2010</v>
      </c>
      <c r="P15" s="27" t="str">
        <f t="shared" si="2"/>
        <v>201014:30:00</v>
      </c>
      <c r="Q15" s="29">
        <f ca="1">IF(ISERROR(AVERAGEIF(Daily!$F$9:$K$1048576,Indices!P15,Daily!$K$9:$K$1048576)),0,AVERAGEIF(Daily!$F$9:$K$1048576,Indices!P15,Daily!$K$9:$K$1048576))</f>
        <v>0</v>
      </c>
      <c r="R15" s="29">
        <f t="shared" ca="1" si="3"/>
        <v>0</v>
      </c>
      <c r="S15" s="29"/>
      <c r="T15" s="29"/>
      <c r="W15" s="75">
        <v>0.60416666666666663</v>
      </c>
      <c r="X15" s="78" t="e">
        <f ca="1">AVERAGEIF(Daily!$D$9:$G$1048576,Indices!W15,Daily!$G$10:$G$1048576)</f>
        <v>#DIV/0!</v>
      </c>
    </row>
    <row r="16" spans="1:24" ht="13.5" customHeight="1" thickBot="1" x14ac:dyDescent="0.25">
      <c r="A16" s="230"/>
      <c r="B16" s="28" t="s">
        <v>42</v>
      </c>
      <c r="C16" s="28">
        <f t="shared" si="6"/>
        <v>2011</v>
      </c>
      <c r="D16" s="28" t="str">
        <f t="shared" si="5"/>
        <v>2011Friday</v>
      </c>
      <c r="E16" s="30">
        <f ca="1">IF(ISERROR(AVERAGEIF(Daily!$F:$K,$D16,Daily!$K:$K)),0,AVERAGEIF(Daily!$F:$K,$D16,Daily!$K:$K))</f>
        <v>0</v>
      </c>
      <c r="F16" s="30">
        <f ca="1">IF(ISERROR(E16*5/$G$12),0,E16*5/$G$12)</f>
        <v>0</v>
      </c>
      <c r="G16" s="30"/>
      <c r="H16" s="30"/>
      <c r="I16" s="79" t="str">
        <f ca="1">IF(ISERROR(AVERAGEIF(Daily!$F$9:$G$1048576,Indices!D16,Daily!$G$9:$G$1048576)),"",AVERAGEIF(Daily!$F$9:$G$1048576,Indices!D16,Daily!$G$9:$G$1048576))</f>
        <v/>
      </c>
      <c r="M16" s="229"/>
      <c r="N16" s="75">
        <v>0.625</v>
      </c>
      <c r="O16" s="27">
        <f t="shared" si="4"/>
        <v>2010</v>
      </c>
      <c r="P16" s="27" t="str">
        <f t="shared" si="2"/>
        <v>201015:00:00</v>
      </c>
      <c r="Q16" s="29">
        <f ca="1">IF(ISERROR(AVERAGEIF(Daily!$F$9:$K$1048576,Indices!P16,Daily!$K$9:$K$1048576)),0,AVERAGEIF(Daily!$F$9:$K$1048576,Indices!P16,Daily!$K$9:$K$1048576))</f>
        <v>0</v>
      </c>
      <c r="R16" s="29">
        <f t="shared" ca="1" si="3"/>
        <v>0</v>
      </c>
      <c r="S16" s="29"/>
      <c r="T16" s="29"/>
      <c r="W16" s="75">
        <v>0.625</v>
      </c>
      <c r="X16" s="78" t="e">
        <f ca="1">AVERAGEIF(Daily!$D$9:$G$1048576,Indices!W16,Daily!$G$10:$G$1048576)</f>
        <v>#DIV/0!</v>
      </c>
    </row>
    <row r="17" spans="1:24" ht="13.5" customHeight="1" x14ac:dyDescent="0.2">
      <c r="A17" s="228">
        <f>A12+1</f>
        <v>2012</v>
      </c>
      <c r="B17" s="26" t="s">
        <v>38</v>
      </c>
      <c r="C17" s="26">
        <f t="shared" si="6"/>
        <v>2012</v>
      </c>
      <c r="D17" s="26" t="str">
        <f t="shared" si="5"/>
        <v>2012Monday</v>
      </c>
      <c r="E17" s="25">
        <f ca="1">IF(ISERROR(AVERAGEIF(Daily!$F:$K,$D17,Daily!$K:$K)),0,AVERAGEIF(Daily!$F:$K,$D17,Daily!$K:$K))</f>
        <v>0</v>
      </c>
      <c r="F17" s="25">
        <f ca="1">IF(ISERROR(E17*5/$G$17),0,E17*5/$G$17)</f>
        <v>0</v>
      </c>
      <c r="G17" s="25">
        <f ca="1">SUM(E17:E21)</f>
        <v>0</v>
      </c>
      <c r="H17" s="25">
        <f ca="1">SUM(F17:F21)</f>
        <v>0</v>
      </c>
      <c r="I17" s="77" t="str">
        <f ca="1">IF(ISERROR(AVERAGEIF(Daily!$F$9:$G$1048576,Indices!D17,Daily!$G$9:$G$1048576)),"",AVERAGEIF(Daily!$F$9:$G$1048576,Indices!D17,Daily!$G$9:$G$1048576))</f>
        <v/>
      </c>
      <c r="M17" s="229"/>
      <c r="N17" s="75">
        <v>0.64583333333333337</v>
      </c>
      <c r="O17" s="27">
        <f t="shared" si="4"/>
        <v>2010</v>
      </c>
      <c r="P17" s="27" t="str">
        <f t="shared" si="2"/>
        <v>201015:30:00</v>
      </c>
      <c r="Q17" s="29">
        <f ca="1">IF(ISERROR(AVERAGEIF(Daily!$F$9:$K$1048576,Indices!P17,Daily!$K$9:$K$1048576)),0,AVERAGEIF(Daily!$F$9:$K$1048576,Indices!P17,Daily!$K$9:$K$1048576))</f>
        <v>0</v>
      </c>
      <c r="R17" s="29">
        <f t="shared" ca="1" si="3"/>
        <v>0</v>
      </c>
      <c r="S17" s="29"/>
      <c r="T17" s="29"/>
      <c r="W17" s="75">
        <v>0.64583333333333337</v>
      </c>
      <c r="X17" s="78" t="e">
        <f ca="1">AVERAGEIF(Daily!$D$9:$G$1048576,Indices!W17,Daily!$G$10:$G$1048576)</f>
        <v>#DIV/0!</v>
      </c>
    </row>
    <row r="18" spans="1:24" ht="13.5" customHeight="1" x14ac:dyDescent="0.2">
      <c r="A18" s="229"/>
      <c r="B18" s="27" t="s">
        <v>39</v>
      </c>
      <c r="C18" s="27">
        <f t="shared" si="6"/>
        <v>2012</v>
      </c>
      <c r="D18" s="27" t="str">
        <f t="shared" si="5"/>
        <v>2012Tuesday</v>
      </c>
      <c r="E18" s="29">
        <f ca="1">IF(ISERROR(AVERAGEIF(Daily!$F:$K,$D18,Daily!$K:$K)),0,AVERAGEIF(Daily!$F:$K,$D18,Daily!$K:$K))</f>
        <v>0</v>
      </c>
      <c r="F18" s="29">
        <f ca="1">IF(ISERROR(E18*5/$G$17),0,E18*5/$G$17)</f>
        <v>0</v>
      </c>
      <c r="G18" s="29"/>
      <c r="H18" s="29"/>
      <c r="I18" s="78" t="str">
        <f ca="1">IF(ISERROR(AVERAGEIF(Daily!$F$9:$G$1048576,Indices!D18,Daily!$G$9:$G$1048576)),"",AVERAGEIF(Daily!$F$9:$G$1048576,Indices!D18,Daily!$G$9:$G$1048576))</f>
        <v/>
      </c>
      <c r="M18" s="229"/>
      <c r="N18" s="75">
        <v>0.66666666666666663</v>
      </c>
      <c r="O18" s="27">
        <f t="shared" si="4"/>
        <v>2010</v>
      </c>
      <c r="P18" s="27" t="str">
        <f t="shared" si="2"/>
        <v>201016:00:00</v>
      </c>
      <c r="Q18" s="29">
        <f ca="1">IF(ISERROR(AVERAGEIF(Daily!$F$9:$K$1048576,Indices!P18,Daily!$K$9:$K$1048576)),0,AVERAGEIF(Daily!$F$9:$K$1048576,Indices!P18,Daily!$K$9:$K$1048576))</f>
        <v>0</v>
      </c>
      <c r="R18" s="29">
        <f t="shared" ca="1" si="3"/>
        <v>0</v>
      </c>
      <c r="S18" s="29"/>
      <c r="T18" s="29"/>
      <c r="W18" s="75">
        <v>0.66666666666666663</v>
      </c>
      <c r="X18" s="78" t="e">
        <f ca="1">AVERAGEIF(Daily!$D$9:$G$1048576,Indices!W18,Daily!$G$10:$G$1048576)</f>
        <v>#DIV/0!</v>
      </c>
    </row>
    <row r="19" spans="1:24" ht="13.5" customHeight="1" x14ac:dyDescent="0.2">
      <c r="A19" s="229"/>
      <c r="B19" s="27" t="s">
        <v>40</v>
      </c>
      <c r="C19" s="27">
        <f t="shared" si="6"/>
        <v>2012</v>
      </c>
      <c r="D19" s="27" t="str">
        <f t="shared" si="5"/>
        <v>2012Wednesday</v>
      </c>
      <c r="E19" s="29">
        <f ca="1">IF(ISERROR(AVERAGEIF(Daily!$F:$K,$D19,Daily!$K:$K)),0,AVERAGEIF(Daily!$F:$K,$D19,Daily!$K:$K))</f>
        <v>0</v>
      </c>
      <c r="F19" s="29">
        <f ca="1">IF(ISERROR(E19*5/$G$17),0,E19*5/$G$17)</f>
        <v>0</v>
      </c>
      <c r="G19" s="29"/>
      <c r="H19" s="29"/>
      <c r="I19" s="78" t="str">
        <f ca="1">IF(ISERROR(AVERAGEIF(Daily!$F$9:$G$1048576,Indices!D19,Daily!$G$9:$G$1048576)),"",AVERAGEIF(Daily!$F$9:$G$1048576,Indices!D19,Daily!$G$9:$G$1048576))</f>
        <v/>
      </c>
      <c r="M19" s="229"/>
      <c r="N19" s="75">
        <v>0.6875</v>
      </c>
      <c r="O19" s="27">
        <f t="shared" si="4"/>
        <v>2010</v>
      </c>
      <c r="P19" s="27" t="str">
        <f t="shared" si="2"/>
        <v>201016:30:00</v>
      </c>
      <c r="Q19" s="29">
        <f ca="1">IF(ISERROR(AVERAGEIF(Daily!$F$9:$K$1048576,Indices!P19,Daily!$K$9:$K$1048576)),0,AVERAGEIF(Daily!$F$9:$K$1048576,Indices!P19,Daily!$K$9:$K$1048576))</f>
        <v>0</v>
      </c>
      <c r="R19" s="29">
        <f t="shared" ca="1" si="3"/>
        <v>0</v>
      </c>
      <c r="S19" s="29"/>
      <c r="T19" s="29"/>
      <c r="W19" s="75">
        <v>0.6875</v>
      </c>
      <c r="X19" s="78" t="e">
        <f ca="1">AVERAGEIF(Daily!$D$9:$G$1048576,Indices!W19,Daily!$G$10:$G$1048576)</f>
        <v>#DIV/0!</v>
      </c>
    </row>
    <row r="20" spans="1:24" ht="13.5" customHeight="1" x14ac:dyDescent="0.2">
      <c r="A20" s="229"/>
      <c r="B20" s="27" t="s">
        <v>41</v>
      </c>
      <c r="C20" s="27">
        <f t="shared" si="6"/>
        <v>2012</v>
      </c>
      <c r="D20" s="27" t="str">
        <f t="shared" si="5"/>
        <v>2012Thursday</v>
      </c>
      <c r="E20" s="29">
        <f ca="1">IF(ISERROR(AVERAGEIF(Daily!$F:$K,$D20,Daily!$K:$K)),0,AVERAGEIF(Daily!$F:$K,$D20,Daily!$K:$K))</f>
        <v>0</v>
      </c>
      <c r="F20" s="29">
        <f ca="1">IF(ISERROR(E20*5/$G$17),0,E20*5/$G$17)</f>
        <v>0</v>
      </c>
      <c r="G20" s="29"/>
      <c r="H20" s="29"/>
      <c r="I20" s="78" t="str">
        <f ca="1">IF(ISERROR(AVERAGEIF(Daily!$F$9:$G$1048576,Indices!D20,Daily!$G$9:$G$1048576)),"",AVERAGEIF(Daily!$F$9:$G$1048576,Indices!D20,Daily!$G$9:$G$1048576))</f>
        <v/>
      </c>
      <c r="M20" s="229"/>
      <c r="N20" s="75">
        <v>0.70833333333333337</v>
      </c>
      <c r="O20" s="27">
        <f t="shared" si="4"/>
        <v>2010</v>
      </c>
      <c r="P20" s="27" t="str">
        <f t="shared" si="2"/>
        <v>201017:00:00</v>
      </c>
      <c r="Q20" s="29">
        <f ca="1">IF(ISERROR(AVERAGEIF(Daily!$F$9:$K$1048576,Indices!P20,Daily!$K$9:$K$1048576)),0,AVERAGEIF(Daily!$F$9:$K$1048576,Indices!P20,Daily!$K$9:$K$1048576))</f>
        <v>0</v>
      </c>
      <c r="R20" s="29">
        <f t="shared" ca="1" si="3"/>
        <v>0</v>
      </c>
      <c r="S20" s="29"/>
      <c r="T20" s="29"/>
      <c r="W20" s="75">
        <v>0.70833333333333337</v>
      </c>
      <c r="X20" s="78" t="e">
        <f ca="1">AVERAGEIF(Daily!$D$9:$G$1048576,Indices!W20,Daily!$G$10:$G$1048576)</f>
        <v>#DIV/0!</v>
      </c>
    </row>
    <row r="21" spans="1:24" ht="13.5" customHeight="1" thickBot="1" x14ac:dyDescent="0.25">
      <c r="A21" s="230"/>
      <c r="B21" s="28" t="s">
        <v>42</v>
      </c>
      <c r="C21" s="28">
        <f t="shared" si="6"/>
        <v>2012</v>
      </c>
      <c r="D21" s="28" t="str">
        <f t="shared" si="5"/>
        <v>2012Friday</v>
      </c>
      <c r="E21" s="30">
        <f ca="1">IF(ISERROR(AVERAGEIF(Daily!$F:$K,$D21,Daily!$K:$K)),0,AVERAGEIF(Daily!$F:$K,$D21,Daily!$K:$K))</f>
        <v>0</v>
      </c>
      <c r="F21" s="30">
        <f ca="1">IF(ISERROR(E21*5/$G$17),0,E21*5/$G$17)</f>
        <v>0</v>
      </c>
      <c r="G21" s="30"/>
      <c r="H21" s="30"/>
      <c r="I21" s="79" t="str">
        <f ca="1">IF(ISERROR(AVERAGEIF(Daily!$F$9:$G$1048576,Indices!D21,Daily!$G$9:$G$1048576)),"",AVERAGEIF(Daily!$F$9:$G$1048576,Indices!D21,Daily!$G$9:$G$1048576))</f>
        <v/>
      </c>
      <c r="M21" s="229"/>
      <c r="N21" s="75">
        <v>0.72916666666666663</v>
      </c>
      <c r="O21" s="27">
        <f t="shared" si="4"/>
        <v>2010</v>
      </c>
      <c r="P21" s="27" t="str">
        <f t="shared" si="2"/>
        <v>201017:30:00</v>
      </c>
      <c r="Q21" s="29">
        <f ca="1">IF(ISERROR(AVERAGEIF(Daily!$F$9:$K$1048576,Indices!P21,Daily!$K$9:$K$1048576)),0,AVERAGEIF(Daily!$F$9:$K$1048576,Indices!P21,Daily!$K$9:$K$1048576))</f>
        <v>0</v>
      </c>
      <c r="R21" s="29">
        <f t="shared" ca="1" si="3"/>
        <v>0</v>
      </c>
      <c r="S21" s="29"/>
      <c r="T21" s="29"/>
      <c r="W21" s="75">
        <v>0.72916666666666663</v>
      </c>
      <c r="X21" s="78" t="e">
        <f ca="1">AVERAGEIF(Daily!$D$9:$G$1048576,Indices!W21,Daily!$G$10:$G$1048576)</f>
        <v>#DIV/0!</v>
      </c>
    </row>
    <row r="22" spans="1:24" ht="13.5" customHeight="1" x14ac:dyDescent="0.2">
      <c r="A22" s="228">
        <f>A17+1</f>
        <v>2013</v>
      </c>
      <c r="B22" s="26" t="s">
        <v>38</v>
      </c>
      <c r="C22" s="26">
        <f t="shared" si="6"/>
        <v>2013</v>
      </c>
      <c r="D22" s="26" t="str">
        <f t="shared" si="5"/>
        <v>2013Monday</v>
      </c>
      <c r="E22" s="25">
        <f ca="1">IF(ISERROR(AVERAGEIF(Daily!$F:$K,$D22,Daily!$K:$K)),0,AVERAGEIF(Daily!$F:$K,$D22,Daily!$K:$K))</f>
        <v>0</v>
      </c>
      <c r="F22" s="25">
        <f ca="1">IF(ISERROR(E22*5/$G$22),0,E22*5/$G$22)</f>
        <v>0</v>
      </c>
      <c r="G22" s="25">
        <f ca="1">SUM(E22:E26)</f>
        <v>0</v>
      </c>
      <c r="H22" s="25">
        <f ca="1">SUM(F22:F26)</f>
        <v>0</v>
      </c>
      <c r="I22" s="77" t="str">
        <f ca="1">IF(ISERROR(AVERAGEIF(Daily!$F$9:$G$1048576,Indices!D22,Daily!$G$9:$G$1048576)),"",AVERAGEIF(Daily!$F$9:$G$1048576,Indices!D22,Daily!$G$9:$G$1048576))</f>
        <v/>
      </c>
      <c r="M22" s="229"/>
      <c r="N22" s="75">
        <v>0.75</v>
      </c>
      <c r="O22" s="27">
        <f t="shared" si="4"/>
        <v>2010</v>
      </c>
      <c r="P22" s="27" t="str">
        <f t="shared" si="2"/>
        <v>201018:00:00</v>
      </c>
      <c r="Q22" s="29">
        <f ca="1">IF(ISERROR(AVERAGEIF(Daily!$F$9:$K$1048576,Indices!P22,Daily!$K$9:$K$1048576)),0,AVERAGEIF(Daily!$F$9:$K$1048576,Indices!P22,Daily!$K$9:$K$1048576))</f>
        <v>0</v>
      </c>
      <c r="R22" s="29">
        <f t="shared" ca="1" si="3"/>
        <v>0</v>
      </c>
      <c r="S22" s="29"/>
      <c r="T22" s="29"/>
      <c r="W22" s="75">
        <v>0.75</v>
      </c>
      <c r="X22" s="78" t="e">
        <f ca="1">AVERAGEIF(Daily!$D$9:$G$1048576,Indices!W22,Daily!$G$10:$G$1048576)</f>
        <v>#DIV/0!</v>
      </c>
    </row>
    <row r="23" spans="1:24" ht="13.5" customHeight="1" thickBot="1" x14ac:dyDescent="0.25">
      <c r="A23" s="229"/>
      <c r="B23" s="27" t="s">
        <v>39</v>
      </c>
      <c r="C23" s="27">
        <f t="shared" si="6"/>
        <v>2013</v>
      </c>
      <c r="D23" s="27" t="str">
        <f t="shared" si="5"/>
        <v>2013Tuesday</v>
      </c>
      <c r="E23" s="29">
        <f ca="1">IF(ISERROR(AVERAGEIF(Daily!$F:$K,$D23,Daily!$K:$K)),0,AVERAGEIF(Daily!$F:$K,$D23,Daily!$K:$K))</f>
        <v>0</v>
      </c>
      <c r="F23" s="29">
        <f ca="1">IF(ISERROR(E23*5/$G$22),0,E23*5/$G$22)</f>
        <v>0</v>
      </c>
      <c r="G23" s="29"/>
      <c r="H23" s="29"/>
      <c r="I23" s="78" t="str">
        <f ca="1">IF(ISERROR(AVERAGEIF(Daily!$F$9:$G$1048576,Indices!D23,Daily!$G$9:$G$1048576)),"",AVERAGEIF(Daily!$F$9:$G$1048576,Indices!D23,Daily!$G$9:$G$1048576))</f>
        <v/>
      </c>
      <c r="M23" s="230"/>
      <c r="N23" s="76">
        <v>0.77083333333333337</v>
      </c>
      <c r="O23" s="28">
        <f t="shared" si="4"/>
        <v>2010</v>
      </c>
      <c r="P23" s="28" t="str">
        <f t="shared" si="2"/>
        <v>201018:30:00</v>
      </c>
      <c r="Q23" s="30">
        <f ca="1">IF(ISERROR(AVERAGEIF(Daily!$F$9:$K$1048576,Indices!P23,Daily!$K$9:$K$1048576)),0,AVERAGEIF(Daily!$F$9:$K$1048576,Indices!P23,Daily!$K$9:$K$1048576))</f>
        <v>0</v>
      </c>
      <c r="R23" s="30">
        <f t="shared" ca="1" si="3"/>
        <v>0</v>
      </c>
      <c r="S23" s="30"/>
      <c r="T23" s="30"/>
      <c r="W23" s="76">
        <v>0.77083333333333337</v>
      </c>
      <c r="X23" s="79" t="e">
        <f ca="1">AVERAGEIF(Daily!$D$9:$G$1048576,Indices!W23,Daily!$G$10:$G$1048576)</f>
        <v>#DIV/0!</v>
      </c>
    </row>
    <row r="24" spans="1:24" ht="13.5" customHeight="1" x14ac:dyDescent="0.2">
      <c r="A24" s="229"/>
      <c r="B24" s="27" t="s">
        <v>40</v>
      </c>
      <c r="C24" s="27">
        <f t="shared" si="6"/>
        <v>2013</v>
      </c>
      <c r="D24" s="27" t="str">
        <f t="shared" si="5"/>
        <v>2013Wednesday</v>
      </c>
      <c r="E24" s="29">
        <f ca="1">IF(ISERROR(AVERAGEIF(Daily!$F:$K,$D24,Daily!$K:$K)),0,AVERAGEIF(Daily!$F:$K,$D24,Daily!$K:$K))</f>
        <v>0</v>
      </c>
      <c r="F24" s="29">
        <f ca="1">IF(ISERROR(E24*5/$G$22),0,E24*5/$G$22)</f>
        <v>0</v>
      </c>
      <c r="G24" s="29"/>
      <c r="H24" s="29"/>
      <c r="I24" s="78" t="str">
        <f ca="1">IF(ISERROR(AVERAGEIF(Daily!$F$9:$G$1048576,Indices!D24,Daily!$G$9:$G$1048576)),"",AVERAGEIF(Daily!$F$9:$G$1048576,Indices!D24,Daily!$G$9:$G$1048576))</f>
        <v/>
      </c>
      <c r="M24" s="229">
        <f>M2+1</f>
        <v>2011</v>
      </c>
      <c r="N24" s="74">
        <v>0.33333333333333331</v>
      </c>
      <c r="O24" s="26">
        <f>IF(N24=TIME(HOUR(N24),MINUTE(N24),SECOND(N24)),M24,O23)</f>
        <v>2011</v>
      </c>
      <c r="P24" s="26" t="str">
        <f t="shared" si="2"/>
        <v>201108:00:00</v>
      </c>
      <c r="Q24" s="25">
        <f ca="1">IF(ISERROR(AVERAGEIF(Daily!$F$9:$K$1048576,Indices!P24,Daily!$K$9:$K$1048576)),0,AVERAGEIF(Daily!$F$9:$K$1048576,Indices!P24,Daily!$K$9:$K$1048576))</f>
        <v>0</v>
      </c>
      <c r="R24" s="25">
        <f ca="1">IF(ISERROR(Q24*22/$S$24),0,Q24*22/$S$24)</f>
        <v>0</v>
      </c>
      <c r="S24" s="25">
        <f ca="1">SUM(Q24:Q45)</f>
        <v>0</v>
      </c>
      <c r="T24" s="25">
        <f ca="1">SUM(R24:R45)</f>
        <v>0</v>
      </c>
    </row>
    <row r="25" spans="1:24" ht="13.5" customHeight="1" x14ac:dyDescent="0.2">
      <c r="A25" s="229"/>
      <c r="B25" s="27" t="s">
        <v>41</v>
      </c>
      <c r="C25" s="27">
        <f t="shared" si="6"/>
        <v>2013</v>
      </c>
      <c r="D25" s="27" t="str">
        <f t="shared" si="5"/>
        <v>2013Thursday</v>
      </c>
      <c r="E25" s="29">
        <f ca="1">IF(ISERROR(AVERAGEIF(Daily!$F:$K,$D25,Daily!$K:$K)),0,AVERAGEIF(Daily!$F:$K,$D25,Daily!$K:$K))</f>
        <v>0</v>
      </c>
      <c r="F25" s="29">
        <f ca="1">IF(ISERROR(E25*5/$G$22),0,E25*5/$G$22)</f>
        <v>0</v>
      </c>
      <c r="G25" s="29"/>
      <c r="H25" s="29"/>
      <c r="I25" s="78" t="str">
        <f ca="1">IF(ISERROR(AVERAGEIF(Daily!$F$9:$G$1048576,Indices!D25,Daily!$G$9:$G$1048576)),"",AVERAGEIF(Daily!$F$9:$G$1048576,Indices!D25,Daily!$G$9:$G$1048576))</f>
        <v/>
      </c>
      <c r="M25" s="229"/>
      <c r="N25" s="75">
        <v>0.35416666666666669</v>
      </c>
      <c r="O25" s="27">
        <f>IF(ISERROR(IF(N25=TIME(HOUR(N25),MINUTE(N25),SECOND(N25)),M25,O24)),"",O24)</f>
        <v>2011</v>
      </c>
      <c r="P25" s="27" t="str">
        <f t="shared" si="2"/>
        <v>201108:30:00</v>
      </c>
      <c r="Q25" s="29">
        <f ca="1">IF(ISERROR(AVERAGEIF(Daily!$F$9:$K$1048576,Indices!P25,Daily!$K$9:$K$1048576)),0,AVERAGEIF(Daily!$F$9:$K$1048576,Indices!P25,Daily!$K$9:$K$1048576))</f>
        <v>0</v>
      </c>
      <c r="R25" s="29">
        <f t="shared" ref="R25:R45" ca="1" si="7">IF(ISERROR(Q25*22/$S$24),0,Q25*22/$S$24)</f>
        <v>0</v>
      </c>
      <c r="S25" s="29"/>
      <c r="T25" s="29"/>
    </row>
    <row r="26" spans="1:24" ht="13.5" customHeight="1" thickBot="1" x14ac:dyDescent="0.25">
      <c r="A26" s="230"/>
      <c r="B26" s="28" t="s">
        <v>42</v>
      </c>
      <c r="C26" s="28">
        <f t="shared" si="6"/>
        <v>2013</v>
      </c>
      <c r="D26" s="28" t="str">
        <f t="shared" si="5"/>
        <v>2013Friday</v>
      </c>
      <c r="E26" s="30">
        <f ca="1">IF(ISERROR(AVERAGEIF(Daily!$F:$K,$D26,Daily!$K:$K)),0,AVERAGEIF(Daily!$F:$K,$D26,Daily!$K:$K))</f>
        <v>0</v>
      </c>
      <c r="F26" s="30">
        <f ca="1">IF(ISERROR(E26*5/$G$22),0,E26*5/$G$22)</f>
        <v>0</v>
      </c>
      <c r="G26" s="30"/>
      <c r="H26" s="30"/>
      <c r="I26" s="79" t="str">
        <f ca="1">IF(ISERROR(AVERAGEIF(Daily!$F$9:$G$1048576,Indices!D26,Daily!$G$9:$G$1048576)),"",AVERAGEIF(Daily!$F$9:$G$1048576,Indices!D26,Daily!$G$9:$G$1048576))</f>
        <v/>
      </c>
      <c r="M26" s="229"/>
      <c r="N26" s="75">
        <v>0.375</v>
      </c>
      <c r="O26" s="27">
        <f t="shared" ref="O26:O45" si="8">IF(ISERROR(IF(N26=TIME(HOUR(N26),MINUTE(N26),SECOND(N26)),M26,O25)),"",O25)</f>
        <v>2011</v>
      </c>
      <c r="P26" s="27" t="str">
        <f t="shared" si="2"/>
        <v>201109:00:00</v>
      </c>
      <c r="Q26" s="29">
        <f ca="1">IF(ISERROR(AVERAGEIF(Daily!$F$9:$K$1048576,Indices!P26,Daily!$K$9:$K$1048576)),0,AVERAGEIF(Daily!$F$9:$K$1048576,Indices!P26,Daily!$K$9:$K$1048576))</f>
        <v>0</v>
      </c>
      <c r="R26" s="29">
        <f t="shared" ca="1" si="7"/>
        <v>0</v>
      </c>
      <c r="S26" s="29"/>
      <c r="T26" s="29"/>
    </row>
    <row r="27" spans="1:24" ht="13.5" customHeight="1" x14ac:dyDescent="0.2">
      <c r="A27" s="228">
        <f>A22+1</f>
        <v>2014</v>
      </c>
      <c r="B27" s="26" t="s">
        <v>38</v>
      </c>
      <c r="C27" s="26">
        <f t="shared" si="6"/>
        <v>2014</v>
      </c>
      <c r="D27" s="26" t="str">
        <f t="shared" si="5"/>
        <v>2014Monday</v>
      </c>
      <c r="E27" s="25">
        <f ca="1">IF(ISERROR(AVERAGEIF(Daily!$F:$K,$D27,Daily!$K:$K)),0,AVERAGEIF(Daily!$F:$K,$D27,Daily!$K:$K))</f>
        <v>0</v>
      </c>
      <c r="F27" s="25">
        <f ca="1">IF(ISERROR(E27*5/$G$27),0,E27*5/$G$27)</f>
        <v>0</v>
      </c>
      <c r="G27" s="25">
        <f ca="1">SUM(E27:E31)</f>
        <v>0</v>
      </c>
      <c r="H27" s="25">
        <f ca="1">SUM(F27:F31)</f>
        <v>0</v>
      </c>
      <c r="I27" s="77" t="str">
        <f ca="1">IF(ISERROR(AVERAGEIF(Daily!$F$9:$G$1048576,Indices!D27,Daily!$G$9:$G$1048576)),"",AVERAGEIF(Daily!$F$9:$G$1048576,Indices!D27,Daily!$G$9:$G$1048576))</f>
        <v/>
      </c>
      <c r="M27" s="229"/>
      <c r="N27" s="75">
        <v>0.39583333333333331</v>
      </c>
      <c r="O27" s="27">
        <f t="shared" si="8"/>
        <v>2011</v>
      </c>
      <c r="P27" s="27" t="str">
        <f t="shared" si="2"/>
        <v>201109:30:00</v>
      </c>
      <c r="Q27" s="29">
        <f ca="1">IF(ISERROR(AVERAGEIF(Daily!$F$9:$K$1048576,Indices!P27,Daily!$K$9:$K$1048576)),0,AVERAGEIF(Daily!$F$9:$K$1048576,Indices!P27,Daily!$K$9:$K$1048576))</f>
        <v>0</v>
      </c>
      <c r="R27" s="29">
        <f t="shared" ca="1" si="7"/>
        <v>0</v>
      </c>
      <c r="S27" s="29"/>
      <c r="T27" s="29"/>
    </row>
    <row r="28" spans="1:24" ht="13.5" customHeight="1" x14ac:dyDescent="0.2">
      <c r="A28" s="229"/>
      <c r="B28" s="27" t="s">
        <v>39</v>
      </c>
      <c r="C28" s="27">
        <f t="shared" si="6"/>
        <v>2014</v>
      </c>
      <c r="D28" s="27" t="str">
        <f t="shared" si="5"/>
        <v>2014Tuesday</v>
      </c>
      <c r="E28" s="29">
        <f ca="1">IF(ISERROR(AVERAGEIF(Daily!$F:$K,$D28,Daily!$K:$K)),0,AVERAGEIF(Daily!$F:$K,$D28,Daily!$K:$K))</f>
        <v>0</v>
      </c>
      <c r="F28" s="29">
        <f ca="1">IF(ISERROR(E28*5/$G$27),0,E28*5/$G$27)</f>
        <v>0</v>
      </c>
      <c r="G28" s="29"/>
      <c r="H28" s="29"/>
      <c r="I28" s="78" t="str">
        <f ca="1">IF(ISERROR(AVERAGEIF(Daily!$F$9:$G$1048576,Indices!D28,Daily!$G$9:$G$1048576)),"",AVERAGEIF(Daily!$F$9:$G$1048576,Indices!D28,Daily!$G$9:$G$1048576))</f>
        <v/>
      </c>
      <c r="M28" s="229"/>
      <c r="N28" s="75">
        <v>0.41666666666666669</v>
      </c>
      <c r="O28" s="27">
        <f t="shared" si="8"/>
        <v>2011</v>
      </c>
      <c r="P28" s="27" t="str">
        <f t="shared" si="2"/>
        <v>201110:00:00</v>
      </c>
      <c r="Q28" s="29">
        <f ca="1">IF(ISERROR(AVERAGEIF(Daily!$F$9:$K$1048576,Indices!P28,Daily!$K$9:$K$1048576)),0,AVERAGEIF(Daily!$F$9:$K$1048576,Indices!P28,Daily!$K$9:$K$1048576))</f>
        <v>0</v>
      </c>
      <c r="R28" s="29">
        <f t="shared" ca="1" si="7"/>
        <v>0</v>
      </c>
      <c r="S28" s="29"/>
      <c r="T28" s="29"/>
    </row>
    <row r="29" spans="1:24" ht="13.5" customHeight="1" x14ac:dyDescent="0.2">
      <c r="A29" s="229"/>
      <c r="B29" s="27" t="s">
        <v>40</v>
      </c>
      <c r="C29" s="27">
        <f t="shared" si="6"/>
        <v>2014</v>
      </c>
      <c r="D29" s="27" t="str">
        <f t="shared" si="5"/>
        <v>2014Wednesday</v>
      </c>
      <c r="E29" s="29">
        <f ca="1">IF(ISERROR(AVERAGEIF(Daily!$F:$K,$D29,Daily!$K:$K)),0,AVERAGEIF(Daily!$F:$K,$D29,Daily!$K:$K))</f>
        <v>0</v>
      </c>
      <c r="F29" s="29">
        <f ca="1">IF(ISERROR(E29*5/$G$27),0,E29*5/$G$27)</f>
        <v>0</v>
      </c>
      <c r="G29" s="29"/>
      <c r="H29" s="29"/>
      <c r="I29" s="78" t="str">
        <f ca="1">IF(ISERROR(AVERAGEIF(Daily!$F$9:$G$1048576,Indices!D29,Daily!$G$9:$G$1048576)),"",AVERAGEIF(Daily!$F$9:$G$1048576,Indices!D29,Daily!$G$9:$G$1048576))</f>
        <v/>
      </c>
      <c r="M29" s="229"/>
      <c r="N29" s="75">
        <v>0.4375</v>
      </c>
      <c r="O29" s="27">
        <f t="shared" si="8"/>
        <v>2011</v>
      </c>
      <c r="P29" s="27" t="str">
        <f t="shared" si="2"/>
        <v>201110:30:00</v>
      </c>
      <c r="Q29" s="29">
        <f ca="1">IF(ISERROR(AVERAGEIF(Daily!$F$9:$K$1048576,Indices!P29,Daily!$K$9:$K$1048576)),0,AVERAGEIF(Daily!$F$9:$K$1048576,Indices!P29,Daily!$K$9:$K$1048576))</f>
        <v>0</v>
      </c>
      <c r="R29" s="29">
        <f t="shared" ca="1" si="7"/>
        <v>0</v>
      </c>
      <c r="S29" s="29"/>
      <c r="T29" s="29"/>
    </row>
    <row r="30" spans="1:24" ht="13.5" customHeight="1" x14ac:dyDescent="0.2">
      <c r="A30" s="229"/>
      <c r="B30" s="27" t="s">
        <v>41</v>
      </c>
      <c r="C30" s="27">
        <f t="shared" si="6"/>
        <v>2014</v>
      </c>
      <c r="D30" s="27" t="str">
        <f t="shared" si="5"/>
        <v>2014Thursday</v>
      </c>
      <c r="E30" s="29">
        <f ca="1">IF(ISERROR(AVERAGEIF(Daily!$F:$K,$D30,Daily!$K:$K)),0,AVERAGEIF(Daily!$F:$K,$D30,Daily!$K:$K))</f>
        <v>0</v>
      </c>
      <c r="F30" s="29">
        <f ca="1">IF(ISERROR(E30*5/$G$27),0,E30*5/$G$27)</f>
        <v>0</v>
      </c>
      <c r="G30" s="29"/>
      <c r="H30" s="29"/>
      <c r="I30" s="78" t="str">
        <f ca="1">IF(ISERROR(AVERAGEIF(Daily!$F$9:$G$1048576,Indices!D30,Daily!$G$9:$G$1048576)),"",AVERAGEIF(Daily!$F$9:$G$1048576,Indices!D30,Daily!$G$9:$G$1048576))</f>
        <v/>
      </c>
      <c r="M30" s="229"/>
      <c r="N30" s="75">
        <v>0.45833333333333331</v>
      </c>
      <c r="O30" s="27">
        <f t="shared" si="8"/>
        <v>2011</v>
      </c>
      <c r="P30" s="27" t="str">
        <f t="shared" si="2"/>
        <v>201111:00:00</v>
      </c>
      <c r="Q30" s="29">
        <f ca="1">IF(ISERROR(AVERAGEIF(Daily!$F$9:$K$1048576,Indices!P30,Daily!$K$9:$K$1048576)),0,AVERAGEIF(Daily!$F$9:$K$1048576,Indices!P30,Daily!$K$9:$K$1048576))</f>
        <v>0</v>
      </c>
      <c r="R30" s="29">
        <f t="shared" ca="1" si="7"/>
        <v>0</v>
      </c>
      <c r="S30" s="29"/>
      <c r="T30" s="29"/>
    </row>
    <row r="31" spans="1:24" ht="13.5" customHeight="1" thickBot="1" x14ac:dyDescent="0.25">
      <c r="A31" s="230"/>
      <c r="B31" s="28" t="s">
        <v>42</v>
      </c>
      <c r="C31" s="28">
        <f t="shared" si="6"/>
        <v>2014</v>
      </c>
      <c r="D31" s="28" t="str">
        <f t="shared" si="5"/>
        <v>2014Friday</v>
      </c>
      <c r="E31" s="30">
        <f ca="1">IF(ISERROR(AVERAGEIF(Daily!$F:$K,$D31,Daily!$K:$K)),0,AVERAGEIF(Daily!$F:$K,$D31,Daily!$K:$K))</f>
        <v>0</v>
      </c>
      <c r="F31" s="30">
        <f ca="1">IF(ISERROR(E31*5/$G$27),0,E31*5/$G$27)</f>
        <v>0</v>
      </c>
      <c r="G31" s="30"/>
      <c r="H31" s="30"/>
      <c r="I31" s="79" t="str">
        <f ca="1">IF(ISERROR(AVERAGEIF(Daily!$F$9:$G$1048576,Indices!D31,Daily!$G$9:$G$1048576)),"",AVERAGEIF(Daily!$F$9:$G$1048576,Indices!D31,Daily!$G$9:$G$1048576))</f>
        <v/>
      </c>
      <c r="M31" s="229"/>
      <c r="N31" s="75">
        <v>0.47916666666666669</v>
      </c>
      <c r="O31" s="27">
        <f t="shared" si="8"/>
        <v>2011</v>
      </c>
      <c r="P31" s="27" t="str">
        <f t="shared" si="2"/>
        <v>201111:30:00</v>
      </c>
      <c r="Q31" s="29">
        <f ca="1">IF(ISERROR(AVERAGEIF(Daily!$F$9:$K$1048576,Indices!P31,Daily!$K$9:$K$1048576)),0,AVERAGEIF(Daily!$F$9:$K$1048576,Indices!P31,Daily!$K$9:$K$1048576))</f>
        <v>0</v>
      </c>
      <c r="R31" s="29">
        <f t="shared" ca="1" si="7"/>
        <v>0</v>
      </c>
      <c r="S31" s="29"/>
      <c r="T31" s="29"/>
    </row>
    <row r="32" spans="1:24" x14ac:dyDescent="0.2">
      <c r="A32" s="228">
        <f>A27+1</f>
        <v>2015</v>
      </c>
      <c r="B32" s="26" t="s">
        <v>38</v>
      </c>
      <c r="C32" s="26">
        <f t="shared" si="6"/>
        <v>2015</v>
      </c>
      <c r="D32" s="26" t="str">
        <f t="shared" si="5"/>
        <v>2015Monday</v>
      </c>
      <c r="E32" s="25">
        <f ca="1">IF(ISERROR(AVERAGEIF(Daily!$F:$K,$D32,Daily!$K:$K)),0,AVERAGEIF(Daily!$F:$K,$D32,Daily!$K:$K))</f>
        <v>0</v>
      </c>
      <c r="F32" s="25">
        <f t="shared" ref="F32:F46" ca="1" si="9">IF(ISERROR(E32*5/$G$32),0,E32*5/$G$32)</f>
        <v>0</v>
      </c>
      <c r="G32" s="25">
        <f ca="1">SUM(E32:E36)</f>
        <v>0</v>
      </c>
      <c r="H32" s="25">
        <f ca="1">SUM(F32:F36)</f>
        <v>0</v>
      </c>
      <c r="I32" s="77" t="str">
        <f ca="1">IF(ISERROR(AVERAGEIF(Daily!$F$9:$G$1048576,Indices!D32,Daily!$G$9:$G$1048576)),"",AVERAGEIF(Daily!$F$9:$G$1048576,Indices!D32,Daily!$G$9:$G$1048576))</f>
        <v/>
      </c>
      <c r="M32" s="229"/>
      <c r="N32" s="75">
        <v>0.5</v>
      </c>
      <c r="O32" s="27">
        <f t="shared" si="8"/>
        <v>2011</v>
      </c>
      <c r="P32" s="27" t="str">
        <f t="shared" si="2"/>
        <v>201112:00:00</v>
      </c>
      <c r="Q32" s="29">
        <f ca="1">IF(ISERROR(AVERAGEIF(Daily!$F$9:$K$1048576,Indices!P32,Daily!$K$9:$K$1048576)),0,AVERAGEIF(Daily!$F$9:$K$1048576,Indices!P32,Daily!$K$9:$K$1048576))</f>
        <v>0</v>
      </c>
      <c r="R32" s="29">
        <f t="shared" ca="1" si="7"/>
        <v>0</v>
      </c>
      <c r="S32" s="29"/>
      <c r="T32" s="29"/>
    </row>
    <row r="33" spans="1:20" x14ac:dyDescent="0.2">
      <c r="A33" s="229"/>
      <c r="B33" s="27" t="s">
        <v>39</v>
      </c>
      <c r="C33" s="27">
        <f t="shared" si="6"/>
        <v>2015</v>
      </c>
      <c r="D33" s="27" t="str">
        <f t="shared" si="5"/>
        <v>2015Tuesday</v>
      </c>
      <c r="E33" s="29">
        <f ca="1">IF(ISERROR(AVERAGEIF(Daily!$F:$K,$D33,Daily!$K:$K)),0,AVERAGEIF(Daily!$F:$K,$D33,Daily!$K:$K))</f>
        <v>0</v>
      </c>
      <c r="F33" s="29">
        <f t="shared" ca="1" si="9"/>
        <v>0</v>
      </c>
      <c r="G33" s="29"/>
      <c r="H33" s="29"/>
      <c r="I33" s="78" t="str">
        <f ca="1">IF(ISERROR(AVERAGEIF(Daily!$F$9:$G$1048576,Indices!D33,Daily!$G$9:$G$1048576)),"",AVERAGEIF(Daily!$F$9:$G$1048576,Indices!D33,Daily!$G$9:$G$1048576))</f>
        <v/>
      </c>
      <c r="M33" s="229"/>
      <c r="N33" s="75">
        <v>0.52083333333333337</v>
      </c>
      <c r="O33" s="27">
        <f t="shared" si="8"/>
        <v>2011</v>
      </c>
      <c r="P33" s="27" t="str">
        <f t="shared" si="2"/>
        <v>201112:30:00</v>
      </c>
      <c r="Q33" s="29">
        <f ca="1">IF(ISERROR(AVERAGEIF(Daily!$F$9:$K$1048576,Indices!P33,Daily!$K$9:$K$1048576)),0,AVERAGEIF(Daily!$F$9:$K$1048576,Indices!P33,Daily!$K$9:$K$1048576))</f>
        <v>0</v>
      </c>
      <c r="R33" s="29">
        <f t="shared" ca="1" si="7"/>
        <v>0</v>
      </c>
      <c r="S33" s="29"/>
      <c r="T33" s="29"/>
    </row>
    <row r="34" spans="1:20" x14ac:dyDescent="0.2">
      <c r="A34" s="229"/>
      <c r="B34" s="27" t="s">
        <v>40</v>
      </c>
      <c r="C34" s="27">
        <f t="shared" si="6"/>
        <v>2015</v>
      </c>
      <c r="D34" s="27" t="str">
        <f t="shared" si="5"/>
        <v>2015Wednesday</v>
      </c>
      <c r="E34" s="29">
        <f ca="1">IF(ISERROR(AVERAGEIF(Daily!$F:$K,$D34,Daily!$K:$K)),0,AVERAGEIF(Daily!$F:$K,$D34,Daily!$K:$K))</f>
        <v>0</v>
      </c>
      <c r="F34" s="29">
        <f t="shared" ca="1" si="9"/>
        <v>0</v>
      </c>
      <c r="G34" s="29"/>
      <c r="H34" s="29"/>
      <c r="I34" s="78" t="str">
        <f ca="1">IF(ISERROR(AVERAGEIF(Daily!$F$9:$G$1048576,Indices!D34,Daily!$G$9:$G$1048576)),"",AVERAGEIF(Daily!$F$9:$G$1048576,Indices!D34,Daily!$G$9:$G$1048576))</f>
        <v/>
      </c>
      <c r="M34" s="229"/>
      <c r="N34" s="75">
        <v>0.54166666666666663</v>
      </c>
      <c r="O34" s="27">
        <f t="shared" si="8"/>
        <v>2011</v>
      </c>
      <c r="P34" s="27" t="str">
        <f t="shared" si="2"/>
        <v>201113:00:00</v>
      </c>
      <c r="Q34" s="29">
        <f ca="1">IF(ISERROR(AVERAGEIF(Daily!$F$9:$K$1048576,Indices!P34,Daily!$K$9:$K$1048576)),0,AVERAGEIF(Daily!$F$9:$K$1048576,Indices!P34,Daily!$K$9:$K$1048576))</f>
        <v>0</v>
      </c>
      <c r="R34" s="29">
        <f t="shared" ca="1" si="7"/>
        <v>0</v>
      </c>
      <c r="S34" s="29"/>
      <c r="T34" s="29"/>
    </row>
    <row r="35" spans="1:20" x14ac:dyDescent="0.2">
      <c r="A35" s="229"/>
      <c r="B35" s="27" t="s">
        <v>41</v>
      </c>
      <c r="C35" s="27">
        <f t="shared" si="6"/>
        <v>2015</v>
      </c>
      <c r="D35" s="27" t="str">
        <f t="shared" si="5"/>
        <v>2015Thursday</v>
      </c>
      <c r="E35" s="29">
        <f ca="1">IF(ISERROR(AVERAGEIF(Daily!$F:$K,$D35,Daily!$K:$K)),0,AVERAGEIF(Daily!$F:$K,$D35,Daily!$K:$K))</f>
        <v>0</v>
      </c>
      <c r="F35" s="29">
        <f t="shared" ca="1" si="9"/>
        <v>0</v>
      </c>
      <c r="G35" s="29"/>
      <c r="H35" s="29"/>
      <c r="I35" s="78" t="str">
        <f ca="1">IF(ISERROR(AVERAGEIF(Daily!$F$9:$G$1048576,Indices!D35,Daily!$G$9:$G$1048576)),"",AVERAGEIF(Daily!$F$9:$G$1048576,Indices!D35,Daily!$G$9:$G$1048576))</f>
        <v/>
      </c>
      <c r="M35" s="229"/>
      <c r="N35" s="75">
        <v>0.5625</v>
      </c>
      <c r="O35" s="27">
        <f t="shared" si="8"/>
        <v>2011</v>
      </c>
      <c r="P35" s="27" t="str">
        <f t="shared" si="2"/>
        <v>201113:30:00</v>
      </c>
      <c r="Q35" s="29">
        <f ca="1">IF(ISERROR(AVERAGEIF(Daily!$F$9:$K$1048576,Indices!P35,Daily!$K$9:$K$1048576)),0,AVERAGEIF(Daily!$F$9:$K$1048576,Indices!P35,Daily!$K$9:$K$1048576))</f>
        <v>0</v>
      </c>
      <c r="R35" s="29">
        <f t="shared" ca="1" si="7"/>
        <v>0</v>
      </c>
      <c r="S35" s="29"/>
      <c r="T35" s="29"/>
    </row>
    <row r="36" spans="1:20" ht="13.5" thickBot="1" x14ac:dyDescent="0.25">
      <c r="A36" s="230"/>
      <c r="B36" s="28" t="s">
        <v>42</v>
      </c>
      <c r="C36" s="28">
        <f t="shared" si="6"/>
        <v>2015</v>
      </c>
      <c r="D36" s="28" t="str">
        <f t="shared" si="5"/>
        <v>2015Friday</v>
      </c>
      <c r="E36" s="30">
        <f ca="1">IF(ISERROR(AVERAGEIF(Daily!$F:$K,$D36,Daily!$K:$K)),0,AVERAGEIF(Daily!$F:$K,$D36,Daily!$K:$K))</f>
        <v>0</v>
      </c>
      <c r="F36" s="30">
        <f t="shared" ca="1" si="9"/>
        <v>0</v>
      </c>
      <c r="G36" s="30"/>
      <c r="H36" s="30"/>
      <c r="I36" s="79" t="str">
        <f ca="1">IF(ISERROR(AVERAGEIF(Daily!$F$9:$G$1048576,Indices!D36,Daily!$G$9:$G$1048576)),"",AVERAGEIF(Daily!$F$9:$G$1048576,Indices!D36,Daily!$G$9:$G$1048576))</f>
        <v/>
      </c>
      <c r="M36" s="229"/>
      <c r="N36" s="75">
        <v>0.58333333333333337</v>
      </c>
      <c r="O36" s="27">
        <f t="shared" si="8"/>
        <v>2011</v>
      </c>
      <c r="P36" s="27" t="str">
        <f t="shared" si="2"/>
        <v>201114:00:00</v>
      </c>
      <c r="Q36" s="29">
        <f ca="1">IF(ISERROR(AVERAGEIF(Daily!$F$9:$K$1048576,Indices!P36,Daily!$K$9:$K$1048576)),0,AVERAGEIF(Daily!$F$9:$K$1048576,Indices!P36,Daily!$K$9:$K$1048576))</f>
        <v>0</v>
      </c>
      <c r="R36" s="29">
        <f t="shared" ca="1" si="7"/>
        <v>0</v>
      </c>
      <c r="S36" s="29"/>
      <c r="T36" s="29"/>
    </row>
    <row r="37" spans="1:20" x14ac:dyDescent="0.2">
      <c r="A37" s="228">
        <f>A32+1</f>
        <v>2016</v>
      </c>
      <c r="B37" s="26" t="s">
        <v>38</v>
      </c>
      <c r="C37" s="26">
        <f t="shared" ref="C37:C46" si="10">IF(B37="Monday",A37,C36)</f>
        <v>2016</v>
      </c>
      <c r="D37" s="26" t="str">
        <f t="shared" ref="D37:D46" si="11">C37&amp;B37</f>
        <v>2016Monday</v>
      </c>
      <c r="E37" s="25">
        <f ca="1">IF(ISERROR(AVERAGEIF(Daily!$F:$K,$D37,Daily!$K:$K)),0,AVERAGEIF(Daily!$F:$K,$D37,Daily!$K:$K))</f>
        <v>0</v>
      </c>
      <c r="F37" s="25">
        <f t="shared" ca="1" si="9"/>
        <v>0</v>
      </c>
      <c r="G37" s="25">
        <f ca="1">SUM(E37:E41)</f>
        <v>0</v>
      </c>
      <c r="H37" s="25">
        <f ca="1">SUM(F37:F41)</f>
        <v>0</v>
      </c>
      <c r="I37" s="77" t="str">
        <f ca="1">IF(ISERROR(AVERAGEIF(Daily!$F$9:$G$1048576,Indices!D37,Daily!$G$9:$G$1048576)),"",AVERAGEIF(Daily!$F$9:$G$1048576,Indices!D37,Daily!$G$9:$G$1048576))</f>
        <v/>
      </c>
      <c r="M37" s="229"/>
      <c r="N37" s="75">
        <v>0.60416666666666663</v>
      </c>
      <c r="O37" s="27">
        <f t="shared" si="8"/>
        <v>2011</v>
      </c>
      <c r="P37" s="27" t="str">
        <f t="shared" si="2"/>
        <v>201114:30:00</v>
      </c>
      <c r="Q37" s="29">
        <f ca="1">IF(ISERROR(AVERAGEIF(Daily!$F$9:$K$1048576,Indices!P37,Daily!$K$9:$K$1048576)),0,AVERAGEIF(Daily!$F$9:$K$1048576,Indices!P37,Daily!$K$9:$K$1048576))</f>
        <v>0</v>
      </c>
      <c r="R37" s="29">
        <f t="shared" ca="1" si="7"/>
        <v>0</v>
      </c>
      <c r="S37" s="29"/>
      <c r="T37" s="29"/>
    </row>
    <row r="38" spans="1:20" x14ac:dyDescent="0.2">
      <c r="A38" s="229"/>
      <c r="B38" s="27" t="s">
        <v>39</v>
      </c>
      <c r="C38" s="27">
        <f t="shared" si="10"/>
        <v>2016</v>
      </c>
      <c r="D38" s="27" t="str">
        <f t="shared" si="11"/>
        <v>2016Tuesday</v>
      </c>
      <c r="E38" s="29">
        <f ca="1">IF(ISERROR(AVERAGEIF(Daily!$F:$K,$D38,Daily!$K:$K)),0,AVERAGEIF(Daily!$F:$K,$D38,Daily!$K:$K))</f>
        <v>0</v>
      </c>
      <c r="F38" s="29">
        <f t="shared" ca="1" si="9"/>
        <v>0</v>
      </c>
      <c r="G38" s="29"/>
      <c r="H38" s="29"/>
      <c r="I38" s="78" t="str">
        <f ca="1">IF(ISERROR(AVERAGEIF(Daily!$F$9:$G$1048576,Indices!D38,Daily!$G$9:$G$1048576)),"",AVERAGEIF(Daily!$F$9:$G$1048576,Indices!D38,Daily!$G$9:$G$1048576))</f>
        <v/>
      </c>
      <c r="M38" s="229"/>
      <c r="N38" s="75">
        <v>0.625</v>
      </c>
      <c r="O38" s="27">
        <f t="shared" si="8"/>
        <v>2011</v>
      </c>
      <c r="P38" s="27" t="str">
        <f t="shared" si="2"/>
        <v>201115:00:00</v>
      </c>
      <c r="Q38" s="29">
        <f ca="1">IF(ISERROR(AVERAGEIF(Daily!$F$9:$K$1048576,Indices!P38,Daily!$K$9:$K$1048576)),0,AVERAGEIF(Daily!$F$9:$K$1048576,Indices!P38,Daily!$K$9:$K$1048576))</f>
        <v>0</v>
      </c>
      <c r="R38" s="29">
        <f t="shared" ca="1" si="7"/>
        <v>0</v>
      </c>
      <c r="S38" s="29"/>
      <c r="T38" s="29"/>
    </row>
    <row r="39" spans="1:20" x14ac:dyDescent="0.2">
      <c r="A39" s="229"/>
      <c r="B39" s="27" t="s">
        <v>40</v>
      </c>
      <c r="C39" s="27">
        <f t="shared" si="10"/>
        <v>2016</v>
      </c>
      <c r="D39" s="27" t="str">
        <f t="shared" si="11"/>
        <v>2016Wednesday</v>
      </c>
      <c r="E39" s="29">
        <f ca="1">IF(ISERROR(AVERAGEIF(Daily!$F:$K,$D39,Daily!$K:$K)),0,AVERAGEIF(Daily!$F:$K,$D39,Daily!$K:$K))</f>
        <v>0</v>
      </c>
      <c r="F39" s="29">
        <f t="shared" ca="1" si="9"/>
        <v>0</v>
      </c>
      <c r="G39" s="29"/>
      <c r="H39" s="29"/>
      <c r="I39" s="78" t="str">
        <f ca="1">IF(ISERROR(AVERAGEIF(Daily!$F$9:$G$1048576,Indices!D39,Daily!$G$9:$G$1048576)),"",AVERAGEIF(Daily!$F$9:$G$1048576,Indices!D39,Daily!$G$9:$G$1048576))</f>
        <v/>
      </c>
      <c r="M39" s="229"/>
      <c r="N39" s="75">
        <v>0.64583333333333337</v>
      </c>
      <c r="O39" s="27">
        <f t="shared" si="8"/>
        <v>2011</v>
      </c>
      <c r="P39" s="27" t="str">
        <f t="shared" si="2"/>
        <v>201115:30:00</v>
      </c>
      <c r="Q39" s="29">
        <f ca="1">IF(ISERROR(AVERAGEIF(Daily!$F$9:$K$1048576,Indices!P39,Daily!$K$9:$K$1048576)),0,AVERAGEIF(Daily!$F$9:$K$1048576,Indices!P39,Daily!$K$9:$K$1048576))</f>
        <v>0</v>
      </c>
      <c r="R39" s="29">
        <f t="shared" ca="1" si="7"/>
        <v>0</v>
      </c>
      <c r="S39" s="29"/>
      <c r="T39" s="29"/>
    </row>
    <row r="40" spans="1:20" x14ac:dyDescent="0.2">
      <c r="A40" s="229"/>
      <c r="B40" s="27" t="s">
        <v>41</v>
      </c>
      <c r="C40" s="27">
        <f t="shared" si="10"/>
        <v>2016</v>
      </c>
      <c r="D40" s="27" t="str">
        <f t="shared" si="11"/>
        <v>2016Thursday</v>
      </c>
      <c r="E40" s="29">
        <f ca="1">IF(ISERROR(AVERAGEIF(Daily!$F:$K,$D40,Daily!$K:$K)),0,AVERAGEIF(Daily!$F:$K,$D40,Daily!$K:$K))</f>
        <v>0</v>
      </c>
      <c r="F40" s="29">
        <f t="shared" ca="1" si="9"/>
        <v>0</v>
      </c>
      <c r="G40" s="29"/>
      <c r="H40" s="29"/>
      <c r="I40" s="78" t="str">
        <f ca="1">IF(ISERROR(AVERAGEIF(Daily!$F$9:$G$1048576,Indices!D40,Daily!$G$9:$G$1048576)),"",AVERAGEIF(Daily!$F$9:$G$1048576,Indices!D40,Daily!$G$9:$G$1048576))</f>
        <v/>
      </c>
      <c r="M40" s="229"/>
      <c r="N40" s="75">
        <v>0.66666666666666663</v>
      </c>
      <c r="O40" s="27">
        <f t="shared" si="8"/>
        <v>2011</v>
      </c>
      <c r="P40" s="27" t="str">
        <f t="shared" si="2"/>
        <v>201116:00:00</v>
      </c>
      <c r="Q40" s="29">
        <f ca="1">IF(ISERROR(AVERAGEIF(Daily!$F$9:$K$1048576,Indices!P40,Daily!$K$9:$K$1048576)),0,AVERAGEIF(Daily!$F$9:$K$1048576,Indices!P40,Daily!$K$9:$K$1048576))</f>
        <v>0</v>
      </c>
      <c r="R40" s="29">
        <f t="shared" ca="1" si="7"/>
        <v>0</v>
      </c>
      <c r="S40" s="29"/>
      <c r="T40" s="29"/>
    </row>
    <row r="41" spans="1:20" ht="13.5" thickBot="1" x14ac:dyDescent="0.25">
      <c r="A41" s="230"/>
      <c r="B41" s="28" t="s">
        <v>42</v>
      </c>
      <c r="C41" s="28">
        <f t="shared" si="10"/>
        <v>2016</v>
      </c>
      <c r="D41" s="28" t="str">
        <f t="shared" si="11"/>
        <v>2016Friday</v>
      </c>
      <c r="E41" s="30">
        <f ca="1">IF(ISERROR(AVERAGEIF(Daily!$F:$K,$D41,Daily!$K:$K)),0,AVERAGEIF(Daily!$F:$K,$D41,Daily!$K:$K))</f>
        <v>0</v>
      </c>
      <c r="F41" s="30">
        <f t="shared" ca="1" si="9"/>
        <v>0</v>
      </c>
      <c r="G41" s="30"/>
      <c r="H41" s="30"/>
      <c r="I41" s="79" t="str">
        <f ca="1">IF(ISERROR(AVERAGEIF(Daily!$F$9:$G$1048576,Indices!D41,Daily!$G$9:$G$1048576)),"",AVERAGEIF(Daily!$F$9:$G$1048576,Indices!D41,Daily!$G$9:$G$1048576))</f>
        <v/>
      </c>
      <c r="M41" s="229"/>
      <c r="N41" s="75">
        <v>0.6875</v>
      </c>
      <c r="O41" s="27">
        <f t="shared" si="8"/>
        <v>2011</v>
      </c>
      <c r="P41" s="27" t="str">
        <f t="shared" si="2"/>
        <v>201116:30:00</v>
      </c>
      <c r="Q41" s="29">
        <f ca="1">IF(ISERROR(AVERAGEIF(Daily!$F$9:$K$1048576,Indices!P41,Daily!$K$9:$K$1048576)),0,AVERAGEIF(Daily!$F$9:$K$1048576,Indices!P41,Daily!$K$9:$K$1048576))</f>
        <v>0</v>
      </c>
      <c r="R41" s="29">
        <f t="shared" ca="1" si="7"/>
        <v>0</v>
      </c>
      <c r="S41" s="29"/>
      <c r="T41" s="29"/>
    </row>
    <row r="42" spans="1:20" x14ac:dyDescent="0.2">
      <c r="A42" s="228">
        <f>A37+1</f>
        <v>2017</v>
      </c>
      <c r="B42" s="26" t="s">
        <v>38</v>
      </c>
      <c r="C42" s="26">
        <f t="shared" si="10"/>
        <v>2017</v>
      </c>
      <c r="D42" s="26" t="str">
        <f t="shared" si="11"/>
        <v>2017Monday</v>
      </c>
      <c r="E42" s="25">
        <f ca="1">IF(ISERROR(AVERAGEIF(Daily!$F:$K,$D42,Daily!$K:$K)),0,AVERAGEIF(Daily!$F:$K,$D42,Daily!$K:$K))</f>
        <v>0</v>
      </c>
      <c r="F42" s="25">
        <f t="shared" ca="1" si="9"/>
        <v>0</v>
      </c>
      <c r="G42" s="25">
        <f ca="1">SUM(E42:E46)</f>
        <v>0</v>
      </c>
      <c r="H42" s="25">
        <f ca="1">SUM(F42:F46)</f>
        <v>0</v>
      </c>
      <c r="I42" s="77" t="str">
        <f ca="1">IF(ISERROR(AVERAGEIF(Daily!$F$9:$G$1048576,Indices!D42,Daily!$G$9:$G$1048576)),"",AVERAGEIF(Daily!$F$9:$G$1048576,Indices!D42,Daily!$G$9:$G$1048576))</f>
        <v/>
      </c>
      <c r="M42" s="229"/>
      <c r="N42" s="75">
        <v>0.70833333333333337</v>
      </c>
      <c r="O42" s="27">
        <f t="shared" si="8"/>
        <v>2011</v>
      </c>
      <c r="P42" s="27" t="str">
        <f t="shared" si="2"/>
        <v>201117:00:00</v>
      </c>
      <c r="Q42" s="29">
        <f ca="1">IF(ISERROR(AVERAGEIF(Daily!$F$9:$K$1048576,Indices!P42,Daily!$K$9:$K$1048576)),0,AVERAGEIF(Daily!$F$9:$K$1048576,Indices!P42,Daily!$K$9:$K$1048576))</f>
        <v>0</v>
      </c>
      <c r="R42" s="29">
        <f t="shared" ca="1" si="7"/>
        <v>0</v>
      </c>
      <c r="S42" s="29"/>
      <c r="T42" s="29"/>
    </row>
    <row r="43" spans="1:20" x14ac:dyDescent="0.2">
      <c r="A43" s="229"/>
      <c r="B43" s="27" t="s">
        <v>39</v>
      </c>
      <c r="C43" s="27">
        <f t="shared" si="10"/>
        <v>2017</v>
      </c>
      <c r="D43" s="27" t="str">
        <f t="shared" si="11"/>
        <v>2017Tuesday</v>
      </c>
      <c r="E43" s="29">
        <f ca="1">IF(ISERROR(AVERAGEIF(Daily!$F:$K,$D43,Daily!$K:$K)),0,AVERAGEIF(Daily!$F:$K,$D43,Daily!$K:$K))</f>
        <v>0</v>
      </c>
      <c r="F43" s="29">
        <f t="shared" ca="1" si="9"/>
        <v>0</v>
      </c>
      <c r="G43" s="29"/>
      <c r="H43" s="29"/>
      <c r="I43" s="78" t="str">
        <f ca="1">IF(ISERROR(AVERAGEIF(Daily!$F$9:$G$1048576,Indices!D43,Daily!$G$9:$G$1048576)),"",AVERAGEIF(Daily!$F$9:$G$1048576,Indices!D43,Daily!$G$9:$G$1048576))</f>
        <v/>
      </c>
      <c r="M43" s="229"/>
      <c r="N43" s="75">
        <v>0.72916666666666663</v>
      </c>
      <c r="O43" s="27">
        <f t="shared" si="8"/>
        <v>2011</v>
      </c>
      <c r="P43" s="27" t="str">
        <f t="shared" si="2"/>
        <v>201117:30:00</v>
      </c>
      <c r="Q43" s="29">
        <f ca="1">IF(ISERROR(AVERAGEIF(Daily!$F$9:$K$1048576,Indices!P43,Daily!$K$9:$K$1048576)),0,AVERAGEIF(Daily!$F$9:$K$1048576,Indices!P43,Daily!$K$9:$K$1048576))</f>
        <v>0</v>
      </c>
      <c r="R43" s="29">
        <f t="shared" ca="1" si="7"/>
        <v>0</v>
      </c>
      <c r="S43" s="29"/>
      <c r="T43" s="29"/>
    </row>
    <row r="44" spans="1:20" x14ac:dyDescent="0.2">
      <c r="A44" s="229"/>
      <c r="B44" s="27" t="s">
        <v>40</v>
      </c>
      <c r="C44" s="27">
        <f t="shared" si="10"/>
        <v>2017</v>
      </c>
      <c r="D44" s="27" t="str">
        <f t="shared" si="11"/>
        <v>2017Wednesday</v>
      </c>
      <c r="E44" s="29">
        <f ca="1">IF(ISERROR(AVERAGEIF(Daily!$F:$K,$D44,Daily!$K:$K)),0,AVERAGEIF(Daily!$F:$K,$D44,Daily!$K:$K))</f>
        <v>0</v>
      </c>
      <c r="F44" s="29">
        <f t="shared" ca="1" si="9"/>
        <v>0</v>
      </c>
      <c r="G44" s="29"/>
      <c r="H44" s="29"/>
      <c r="I44" s="78" t="str">
        <f ca="1">IF(ISERROR(AVERAGEIF(Daily!$F$9:$G$1048576,Indices!D44,Daily!$G$9:$G$1048576)),"",AVERAGEIF(Daily!$F$9:$G$1048576,Indices!D44,Daily!$G$9:$G$1048576))</f>
        <v/>
      </c>
      <c r="M44" s="229"/>
      <c r="N44" s="75">
        <v>0.75</v>
      </c>
      <c r="O44" s="27">
        <f t="shared" si="8"/>
        <v>2011</v>
      </c>
      <c r="P44" s="27" t="str">
        <f t="shared" si="2"/>
        <v>201118:00:00</v>
      </c>
      <c r="Q44" s="29">
        <f ca="1">IF(ISERROR(AVERAGEIF(Daily!$F$9:$K$1048576,Indices!P44,Daily!$K$9:$K$1048576)),0,AVERAGEIF(Daily!$F$9:$K$1048576,Indices!P44,Daily!$K$9:$K$1048576))</f>
        <v>0</v>
      </c>
      <c r="R44" s="29">
        <f t="shared" ca="1" si="7"/>
        <v>0</v>
      </c>
      <c r="S44" s="29"/>
      <c r="T44" s="29"/>
    </row>
    <row r="45" spans="1:20" ht="13.5" thickBot="1" x14ac:dyDescent="0.25">
      <c r="A45" s="229"/>
      <c r="B45" s="27" t="s">
        <v>41</v>
      </c>
      <c r="C45" s="27">
        <f t="shared" si="10"/>
        <v>2017</v>
      </c>
      <c r="D45" s="27" t="str">
        <f t="shared" si="11"/>
        <v>2017Thursday</v>
      </c>
      <c r="E45" s="29">
        <f ca="1">IF(ISERROR(AVERAGEIF(Daily!$F:$K,$D45,Daily!$K:$K)),0,AVERAGEIF(Daily!$F:$K,$D45,Daily!$K:$K))</f>
        <v>0</v>
      </c>
      <c r="F45" s="29">
        <f t="shared" ca="1" si="9"/>
        <v>0</v>
      </c>
      <c r="G45" s="29"/>
      <c r="H45" s="29"/>
      <c r="I45" s="78" t="str">
        <f ca="1">IF(ISERROR(AVERAGEIF(Daily!$F$9:$G$1048576,Indices!D45,Daily!$G$9:$G$1048576)),"",AVERAGEIF(Daily!$F$9:$G$1048576,Indices!D45,Daily!$G$9:$G$1048576))</f>
        <v/>
      </c>
      <c r="M45" s="230"/>
      <c r="N45" s="76">
        <v>0.77083333333333337</v>
      </c>
      <c r="O45" s="28">
        <f t="shared" si="8"/>
        <v>2011</v>
      </c>
      <c r="P45" s="28" t="str">
        <f t="shared" si="2"/>
        <v>201118:30:00</v>
      </c>
      <c r="Q45" s="30">
        <f ca="1">IF(ISERROR(AVERAGEIF(Daily!$F$9:$K$1048576,Indices!P45,Daily!$K$9:$K$1048576)),0,AVERAGEIF(Daily!$F$9:$K$1048576,Indices!P45,Daily!$K$9:$K$1048576))</f>
        <v>0</v>
      </c>
      <c r="R45" s="30">
        <f t="shared" ca="1" si="7"/>
        <v>0</v>
      </c>
      <c r="S45" s="30"/>
      <c r="T45" s="30"/>
    </row>
    <row r="46" spans="1:20" ht="13.5" thickBot="1" x14ac:dyDescent="0.25">
      <c r="A46" s="230"/>
      <c r="B46" s="28" t="s">
        <v>42</v>
      </c>
      <c r="C46" s="28">
        <f t="shared" si="10"/>
        <v>2017</v>
      </c>
      <c r="D46" s="28" t="str">
        <f t="shared" si="11"/>
        <v>2017Friday</v>
      </c>
      <c r="E46" s="30">
        <f ca="1">IF(ISERROR(AVERAGEIF(Daily!$F:$K,$D46,Daily!$K:$K)),0,AVERAGEIF(Daily!$F:$K,$D46,Daily!$K:$K))</f>
        <v>0</v>
      </c>
      <c r="F46" s="30">
        <f t="shared" ca="1" si="9"/>
        <v>0</v>
      </c>
      <c r="G46" s="30"/>
      <c r="H46" s="30"/>
      <c r="I46" s="79" t="str">
        <f ca="1">IF(ISERROR(AVERAGEIF(Daily!$F$9:$G$1048576,Indices!D46,Daily!$G$9:$G$1048576)),"",AVERAGEIF(Daily!$F$9:$G$1048576,Indices!D46,Daily!$G$9:$G$1048576))</f>
        <v/>
      </c>
      <c r="M46" s="229">
        <f>M24+1</f>
        <v>2012</v>
      </c>
      <c r="N46" s="74">
        <v>0.33333333333333331</v>
      </c>
      <c r="O46" s="26">
        <f>IF(N46=TIME(HOUR(N46),MINUTE(N46),SECOND(N46)),M46,O45)</f>
        <v>2012</v>
      </c>
      <c r="P46" s="26" t="str">
        <f t="shared" si="2"/>
        <v>201208:00:00</v>
      </c>
      <c r="Q46" s="25">
        <f ca="1">IF(ISERROR(AVERAGEIF(Daily!$F$9:$K$1048576,Indices!P46,Daily!$K$9:$K$1048576)),0,AVERAGEIF(Daily!$F$9:$K$1048576,Indices!P46,Daily!$K$9:$K$1048576))</f>
        <v>0</v>
      </c>
      <c r="R46" s="25">
        <f ca="1">IF(ISERROR(Q46*22/$S$46),0,Q46*22/$S$46)</f>
        <v>0</v>
      </c>
      <c r="S46" s="25">
        <f ca="1">SUM(Q46:Q67)</f>
        <v>0</v>
      </c>
      <c r="T46" s="25">
        <f ca="1">SUM(R46:R67)</f>
        <v>0</v>
      </c>
    </row>
    <row r="47" spans="1:20" x14ac:dyDescent="0.2">
      <c r="M47" s="229"/>
      <c r="N47" s="75">
        <v>0.35416666666666669</v>
      </c>
      <c r="O47" s="27">
        <f>IF(ISERROR(IF(N47=TIME(HOUR(N47),MINUTE(N47),SECOND(N47)),M47,O46)),"",O46)</f>
        <v>2012</v>
      </c>
      <c r="P47" s="27" t="str">
        <f t="shared" si="2"/>
        <v>201208:30:00</v>
      </c>
      <c r="Q47" s="29">
        <f ca="1">IF(ISERROR(AVERAGEIF(Daily!$F$9:$K$1048576,Indices!P47,Daily!$K$9:$K$1048576)),0,AVERAGEIF(Daily!$F$9:$K$1048576,Indices!P47,Daily!$K$9:$K$1048576))</f>
        <v>0</v>
      </c>
      <c r="R47" s="29">
        <f t="shared" ref="R47:R67" ca="1" si="12">IF(ISERROR(Q47*22/$S$46),0,Q47*22/$S$46)</f>
        <v>0</v>
      </c>
      <c r="S47" s="29"/>
      <c r="T47" s="29"/>
    </row>
    <row r="48" spans="1:20" x14ac:dyDescent="0.2">
      <c r="M48" s="229"/>
      <c r="N48" s="75">
        <v>0.375</v>
      </c>
      <c r="O48" s="27">
        <f t="shared" ref="O48:O67" si="13">IF(ISERROR(IF(N48=TIME(HOUR(N48),MINUTE(N48),SECOND(N48)),M48,O47)),"",O47)</f>
        <v>2012</v>
      </c>
      <c r="P48" s="27" t="str">
        <f t="shared" si="2"/>
        <v>201209:00:00</v>
      </c>
      <c r="Q48" s="29">
        <f ca="1">IF(ISERROR(AVERAGEIF(Daily!$F$9:$K$1048576,Indices!P48,Daily!$K$9:$K$1048576)),0,AVERAGEIF(Daily!$F$9:$K$1048576,Indices!P48,Daily!$K$9:$K$1048576))</f>
        <v>0</v>
      </c>
      <c r="R48" s="29">
        <f t="shared" ca="1" si="12"/>
        <v>0</v>
      </c>
      <c r="S48" s="29"/>
      <c r="T48" s="29"/>
    </row>
    <row r="49" spans="13:20" x14ac:dyDescent="0.2">
      <c r="M49" s="229"/>
      <c r="N49" s="75">
        <v>0.39583333333333331</v>
      </c>
      <c r="O49" s="27">
        <f t="shared" si="13"/>
        <v>2012</v>
      </c>
      <c r="P49" s="27" t="str">
        <f t="shared" si="2"/>
        <v>201209:30:00</v>
      </c>
      <c r="Q49" s="29">
        <f ca="1">IF(ISERROR(AVERAGEIF(Daily!$F$9:$K$1048576,Indices!P49,Daily!$K$9:$K$1048576)),0,AVERAGEIF(Daily!$F$9:$K$1048576,Indices!P49,Daily!$K$9:$K$1048576))</f>
        <v>0</v>
      </c>
      <c r="R49" s="29">
        <f t="shared" ca="1" si="12"/>
        <v>0</v>
      </c>
      <c r="S49" s="29"/>
      <c r="T49" s="29"/>
    </row>
    <row r="50" spans="13:20" x14ac:dyDescent="0.2">
      <c r="M50" s="229"/>
      <c r="N50" s="75">
        <v>0.41666666666666669</v>
      </c>
      <c r="O50" s="27">
        <f t="shared" si="13"/>
        <v>2012</v>
      </c>
      <c r="P50" s="27" t="str">
        <f t="shared" si="2"/>
        <v>201210:00:00</v>
      </c>
      <c r="Q50" s="29">
        <f ca="1">IF(ISERROR(AVERAGEIF(Daily!$F$9:$K$1048576,Indices!P50,Daily!$K$9:$K$1048576)),0,AVERAGEIF(Daily!$F$9:$K$1048576,Indices!P50,Daily!$K$9:$K$1048576))</f>
        <v>0</v>
      </c>
      <c r="R50" s="29">
        <f t="shared" ca="1" si="12"/>
        <v>0</v>
      </c>
      <c r="S50" s="29"/>
      <c r="T50" s="29"/>
    </row>
    <row r="51" spans="13:20" x14ac:dyDescent="0.2">
      <c r="M51" s="229"/>
      <c r="N51" s="75">
        <v>0.4375</v>
      </c>
      <c r="O51" s="27">
        <f t="shared" si="13"/>
        <v>2012</v>
      </c>
      <c r="P51" s="27" t="str">
        <f t="shared" si="2"/>
        <v>201210:30:00</v>
      </c>
      <c r="Q51" s="29">
        <f ca="1">IF(ISERROR(AVERAGEIF(Daily!$F$9:$K$1048576,Indices!P51,Daily!$K$9:$K$1048576)),0,AVERAGEIF(Daily!$F$9:$K$1048576,Indices!P51,Daily!$K$9:$K$1048576))</f>
        <v>0</v>
      </c>
      <c r="R51" s="29">
        <f t="shared" ca="1" si="12"/>
        <v>0</v>
      </c>
      <c r="S51" s="29"/>
      <c r="T51" s="29"/>
    </row>
    <row r="52" spans="13:20" x14ac:dyDescent="0.2">
      <c r="M52" s="229"/>
      <c r="N52" s="75">
        <v>0.45833333333333331</v>
      </c>
      <c r="O52" s="27">
        <f t="shared" si="13"/>
        <v>2012</v>
      </c>
      <c r="P52" s="27" t="str">
        <f t="shared" si="2"/>
        <v>201211:00:00</v>
      </c>
      <c r="Q52" s="29">
        <f ca="1">IF(ISERROR(AVERAGEIF(Daily!$F$9:$K$1048576,Indices!P52,Daily!$K$9:$K$1048576)),0,AVERAGEIF(Daily!$F$9:$K$1048576,Indices!P52,Daily!$K$9:$K$1048576))</f>
        <v>0</v>
      </c>
      <c r="R52" s="29">
        <f t="shared" ca="1" si="12"/>
        <v>0</v>
      </c>
      <c r="S52" s="29"/>
      <c r="T52" s="29"/>
    </row>
    <row r="53" spans="13:20" x14ac:dyDescent="0.2">
      <c r="M53" s="229"/>
      <c r="N53" s="75">
        <v>0.47916666666666669</v>
      </c>
      <c r="O53" s="27">
        <f t="shared" si="13"/>
        <v>2012</v>
      </c>
      <c r="P53" s="27" t="str">
        <f t="shared" si="2"/>
        <v>201211:30:00</v>
      </c>
      <c r="Q53" s="29">
        <f ca="1">IF(ISERROR(AVERAGEIF(Daily!$F$9:$K$1048576,Indices!P53,Daily!$K$9:$K$1048576)),0,AVERAGEIF(Daily!$F$9:$K$1048576,Indices!P53,Daily!$K$9:$K$1048576))</f>
        <v>0</v>
      </c>
      <c r="R53" s="29">
        <f t="shared" ca="1" si="12"/>
        <v>0</v>
      </c>
      <c r="S53" s="29"/>
      <c r="T53" s="29"/>
    </row>
    <row r="54" spans="13:20" x14ac:dyDescent="0.2">
      <c r="M54" s="229"/>
      <c r="N54" s="75">
        <v>0.5</v>
      </c>
      <c r="O54" s="27">
        <f t="shared" si="13"/>
        <v>2012</v>
      </c>
      <c r="P54" s="27" t="str">
        <f t="shared" si="2"/>
        <v>201212:00:00</v>
      </c>
      <c r="Q54" s="29">
        <f ca="1">IF(ISERROR(AVERAGEIF(Daily!$F$9:$K$1048576,Indices!P54,Daily!$K$9:$K$1048576)),0,AVERAGEIF(Daily!$F$9:$K$1048576,Indices!P54,Daily!$K$9:$K$1048576))</f>
        <v>0</v>
      </c>
      <c r="R54" s="29">
        <f t="shared" ca="1" si="12"/>
        <v>0</v>
      </c>
      <c r="S54" s="29"/>
      <c r="T54" s="29"/>
    </row>
    <row r="55" spans="13:20" x14ac:dyDescent="0.2">
      <c r="M55" s="229"/>
      <c r="N55" s="75">
        <v>0.52083333333333337</v>
      </c>
      <c r="O55" s="27">
        <f t="shared" si="13"/>
        <v>2012</v>
      </c>
      <c r="P55" s="27" t="str">
        <f t="shared" si="2"/>
        <v>201212:30:00</v>
      </c>
      <c r="Q55" s="29">
        <f ca="1">IF(ISERROR(AVERAGEIF(Daily!$F$9:$K$1048576,Indices!P55,Daily!$K$9:$K$1048576)),0,AVERAGEIF(Daily!$F$9:$K$1048576,Indices!P55,Daily!$K$9:$K$1048576))</f>
        <v>0</v>
      </c>
      <c r="R55" s="29">
        <f t="shared" ca="1" si="12"/>
        <v>0</v>
      </c>
      <c r="S55" s="29"/>
      <c r="T55" s="29"/>
    </row>
    <row r="56" spans="13:20" x14ac:dyDescent="0.2">
      <c r="M56" s="229"/>
      <c r="N56" s="75">
        <v>0.54166666666666663</v>
      </c>
      <c r="O56" s="27">
        <f t="shared" si="13"/>
        <v>2012</v>
      </c>
      <c r="P56" s="27" t="str">
        <f t="shared" si="2"/>
        <v>201213:00:00</v>
      </c>
      <c r="Q56" s="29">
        <f ca="1">IF(ISERROR(AVERAGEIF(Daily!$F$9:$K$1048576,Indices!P56,Daily!$K$9:$K$1048576)),0,AVERAGEIF(Daily!$F$9:$K$1048576,Indices!P56,Daily!$K$9:$K$1048576))</f>
        <v>0</v>
      </c>
      <c r="R56" s="29">
        <f t="shared" ca="1" si="12"/>
        <v>0</v>
      </c>
      <c r="S56" s="29"/>
      <c r="T56" s="29"/>
    </row>
    <row r="57" spans="13:20" x14ac:dyDescent="0.2">
      <c r="M57" s="229"/>
      <c r="N57" s="75">
        <v>0.5625</v>
      </c>
      <c r="O57" s="27">
        <f t="shared" si="13"/>
        <v>2012</v>
      </c>
      <c r="P57" s="27" t="str">
        <f t="shared" si="2"/>
        <v>201213:30:00</v>
      </c>
      <c r="Q57" s="29">
        <f ca="1">IF(ISERROR(AVERAGEIF(Daily!$F$9:$K$1048576,Indices!P57,Daily!$K$9:$K$1048576)),0,AVERAGEIF(Daily!$F$9:$K$1048576,Indices!P57,Daily!$K$9:$K$1048576))</f>
        <v>0</v>
      </c>
      <c r="R57" s="29">
        <f t="shared" ca="1" si="12"/>
        <v>0</v>
      </c>
      <c r="S57" s="29"/>
      <c r="T57" s="29"/>
    </row>
    <row r="58" spans="13:20" x14ac:dyDescent="0.2">
      <c r="M58" s="229"/>
      <c r="N58" s="75">
        <v>0.58333333333333337</v>
      </c>
      <c r="O58" s="27">
        <f t="shared" si="13"/>
        <v>2012</v>
      </c>
      <c r="P58" s="27" t="str">
        <f t="shared" si="2"/>
        <v>201214:00:00</v>
      </c>
      <c r="Q58" s="29">
        <f ca="1">IF(ISERROR(AVERAGEIF(Daily!$F$9:$K$1048576,Indices!P58,Daily!$K$9:$K$1048576)),0,AVERAGEIF(Daily!$F$9:$K$1048576,Indices!P58,Daily!$K$9:$K$1048576))</f>
        <v>0</v>
      </c>
      <c r="R58" s="29">
        <f t="shared" ca="1" si="12"/>
        <v>0</v>
      </c>
      <c r="S58" s="29"/>
      <c r="T58" s="29"/>
    </row>
    <row r="59" spans="13:20" x14ac:dyDescent="0.2">
      <c r="M59" s="229"/>
      <c r="N59" s="75">
        <v>0.60416666666666663</v>
      </c>
      <c r="O59" s="27">
        <f t="shared" si="13"/>
        <v>2012</v>
      </c>
      <c r="P59" s="27" t="str">
        <f t="shared" si="2"/>
        <v>201214:30:00</v>
      </c>
      <c r="Q59" s="29">
        <f ca="1">IF(ISERROR(AVERAGEIF(Daily!$F$9:$K$1048576,Indices!P59,Daily!$K$9:$K$1048576)),0,AVERAGEIF(Daily!$F$9:$K$1048576,Indices!P59,Daily!$K$9:$K$1048576))</f>
        <v>0</v>
      </c>
      <c r="R59" s="29">
        <f t="shared" ca="1" si="12"/>
        <v>0</v>
      </c>
      <c r="S59" s="29"/>
      <c r="T59" s="29"/>
    </row>
    <row r="60" spans="13:20" x14ac:dyDescent="0.2">
      <c r="M60" s="229"/>
      <c r="N60" s="75">
        <v>0.625</v>
      </c>
      <c r="O60" s="27">
        <f t="shared" si="13"/>
        <v>2012</v>
      </c>
      <c r="P60" s="27" t="str">
        <f t="shared" si="2"/>
        <v>201215:00:00</v>
      </c>
      <c r="Q60" s="29">
        <f ca="1">IF(ISERROR(AVERAGEIF(Daily!$F$9:$K$1048576,Indices!P60,Daily!$K$9:$K$1048576)),0,AVERAGEIF(Daily!$F$9:$K$1048576,Indices!P60,Daily!$K$9:$K$1048576))</f>
        <v>0</v>
      </c>
      <c r="R60" s="29">
        <f t="shared" ca="1" si="12"/>
        <v>0</v>
      </c>
      <c r="S60" s="29"/>
      <c r="T60" s="29"/>
    </row>
    <row r="61" spans="13:20" x14ac:dyDescent="0.2">
      <c r="M61" s="229"/>
      <c r="N61" s="75">
        <v>0.64583333333333337</v>
      </c>
      <c r="O61" s="27">
        <f t="shared" si="13"/>
        <v>2012</v>
      </c>
      <c r="P61" s="27" t="str">
        <f t="shared" si="2"/>
        <v>201215:30:00</v>
      </c>
      <c r="Q61" s="29">
        <f ca="1">IF(ISERROR(AVERAGEIF(Daily!$F$9:$K$1048576,Indices!P61,Daily!$K$9:$K$1048576)),0,AVERAGEIF(Daily!$F$9:$K$1048576,Indices!P61,Daily!$K$9:$K$1048576))</f>
        <v>0</v>
      </c>
      <c r="R61" s="29">
        <f t="shared" ca="1" si="12"/>
        <v>0</v>
      </c>
      <c r="S61" s="29"/>
      <c r="T61" s="29"/>
    </row>
    <row r="62" spans="13:20" x14ac:dyDescent="0.2">
      <c r="M62" s="229"/>
      <c r="N62" s="75">
        <v>0.66666666666666663</v>
      </c>
      <c r="O62" s="27">
        <f t="shared" si="13"/>
        <v>2012</v>
      </c>
      <c r="P62" s="27" t="str">
        <f t="shared" si="2"/>
        <v>201216:00:00</v>
      </c>
      <c r="Q62" s="29">
        <f ca="1">IF(ISERROR(AVERAGEIF(Daily!$F$9:$K$1048576,Indices!P62,Daily!$K$9:$K$1048576)),0,AVERAGEIF(Daily!$F$9:$K$1048576,Indices!P62,Daily!$K$9:$K$1048576))</f>
        <v>0</v>
      </c>
      <c r="R62" s="29">
        <f t="shared" ca="1" si="12"/>
        <v>0</v>
      </c>
      <c r="S62" s="29"/>
      <c r="T62" s="29"/>
    </row>
    <row r="63" spans="13:20" x14ac:dyDescent="0.2">
      <c r="M63" s="229"/>
      <c r="N63" s="75">
        <v>0.6875</v>
      </c>
      <c r="O63" s="27">
        <f t="shared" si="13"/>
        <v>2012</v>
      </c>
      <c r="P63" s="27" t="str">
        <f t="shared" si="2"/>
        <v>201216:30:00</v>
      </c>
      <c r="Q63" s="29">
        <f ca="1">IF(ISERROR(AVERAGEIF(Daily!$F$9:$K$1048576,Indices!P63,Daily!$K$9:$K$1048576)),0,AVERAGEIF(Daily!$F$9:$K$1048576,Indices!P63,Daily!$K$9:$K$1048576))</f>
        <v>0</v>
      </c>
      <c r="R63" s="29">
        <f t="shared" ca="1" si="12"/>
        <v>0</v>
      </c>
      <c r="S63" s="29"/>
      <c r="T63" s="29"/>
    </row>
    <row r="64" spans="13:20" x14ac:dyDescent="0.2">
      <c r="M64" s="229"/>
      <c r="N64" s="75">
        <v>0.70833333333333337</v>
      </c>
      <c r="O64" s="27">
        <f t="shared" si="13"/>
        <v>2012</v>
      </c>
      <c r="P64" s="27" t="str">
        <f t="shared" si="2"/>
        <v>201217:00:00</v>
      </c>
      <c r="Q64" s="29">
        <f ca="1">IF(ISERROR(AVERAGEIF(Daily!$F$9:$K$1048576,Indices!P64,Daily!$K$9:$K$1048576)),0,AVERAGEIF(Daily!$F$9:$K$1048576,Indices!P64,Daily!$K$9:$K$1048576))</f>
        <v>0</v>
      </c>
      <c r="R64" s="29">
        <f t="shared" ca="1" si="12"/>
        <v>0</v>
      </c>
      <c r="S64" s="29"/>
      <c r="T64" s="29"/>
    </row>
    <row r="65" spans="13:20" x14ac:dyDescent="0.2">
      <c r="M65" s="229"/>
      <c r="N65" s="75">
        <v>0.72916666666666663</v>
      </c>
      <c r="O65" s="27">
        <f t="shared" si="13"/>
        <v>2012</v>
      </c>
      <c r="P65" s="27" t="str">
        <f t="shared" si="2"/>
        <v>201217:30:00</v>
      </c>
      <c r="Q65" s="29">
        <f ca="1">IF(ISERROR(AVERAGEIF(Daily!$F$9:$K$1048576,Indices!P65,Daily!$K$9:$K$1048576)),0,AVERAGEIF(Daily!$F$9:$K$1048576,Indices!P65,Daily!$K$9:$K$1048576))</f>
        <v>0</v>
      </c>
      <c r="R65" s="29">
        <f t="shared" ca="1" si="12"/>
        <v>0</v>
      </c>
      <c r="S65" s="29"/>
      <c r="T65" s="29"/>
    </row>
    <row r="66" spans="13:20" x14ac:dyDescent="0.2">
      <c r="M66" s="229"/>
      <c r="N66" s="75">
        <v>0.75</v>
      </c>
      <c r="O66" s="27">
        <f t="shared" si="13"/>
        <v>2012</v>
      </c>
      <c r="P66" s="27" t="str">
        <f t="shared" si="2"/>
        <v>201218:00:00</v>
      </c>
      <c r="Q66" s="29">
        <f ca="1">IF(ISERROR(AVERAGEIF(Daily!$F$9:$K$1048576,Indices!P66,Daily!$K$9:$K$1048576)),0,AVERAGEIF(Daily!$F$9:$K$1048576,Indices!P66,Daily!$K$9:$K$1048576))</f>
        <v>0</v>
      </c>
      <c r="R66" s="29">
        <f t="shared" ca="1" si="12"/>
        <v>0</v>
      </c>
      <c r="S66" s="29"/>
      <c r="T66" s="29"/>
    </row>
    <row r="67" spans="13:20" ht="13.5" thickBot="1" x14ac:dyDescent="0.25">
      <c r="M67" s="230"/>
      <c r="N67" s="76">
        <v>0.77083333333333337</v>
      </c>
      <c r="O67" s="28">
        <f t="shared" si="13"/>
        <v>2012</v>
      </c>
      <c r="P67" s="28" t="str">
        <f t="shared" ref="P67:P130" si="14">O67&amp;TEXT(TIME(HOUR(N67),MINUTE(N67),SECOND(N67)),"HH:MM:SS")</f>
        <v>201218:30:00</v>
      </c>
      <c r="Q67" s="30">
        <f ca="1">IF(ISERROR(AVERAGEIF(Daily!$F$9:$K$1048576,Indices!P67,Daily!$K$9:$K$1048576)),0,AVERAGEIF(Daily!$F$9:$K$1048576,Indices!P67,Daily!$K$9:$K$1048576))</f>
        <v>0</v>
      </c>
      <c r="R67" s="30">
        <f t="shared" ca="1" si="12"/>
        <v>0</v>
      </c>
      <c r="S67" s="30"/>
      <c r="T67" s="30"/>
    </row>
    <row r="68" spans="13:20" x14ac:dyDescent="0.2">
      <c r="M68" s="229">
        <f>M46+1</f>
        <v>2013</v>
      </c>
      <c r="N68" s="74">
        <v>0.33333333333333331</v>
      </c>
      <c r="O68" s="26">
        <f>IF(N68=TIME(HOUR(N68),MINUTE(N68),SECOND(N68)),M68,O67)</f>
        <v>2013</v>
      </c>
      <c r="P68" s="26" t="str">
        <f t="shared" si="14"/>
        <v>201308:00:00</v>
      </c>
      <c r="Q68" s="25">
        <f ca="1">IF(ISERROR(AVERAGEIF(Daily!$F$9:$K$1048576,Indices!P68,Daily!$K$9:$K$1048576)),0,AVERAGEIF(Daily!$F$9:$K$1048576,Indices!P68,Daily!$K$9:$K$1048576))</f>
        <v>0</v>
      </c>
      <c r="R68" s="25">
        <f ca="1">IF(ISERROR(Q68*22/$S$68),0,Q68*22/$S$68)</f>
        <v>0</v>
      </c>
      <c r="S68" s="25">
        <f ca="1">SUM(Q68:Q89)</f>
        <v>0</v>
      </c>
      <c r="T68" s="25">
        <f ca="1">SUM(R68:R89)</f>
        <v>0</v>
      </c>
    </row>
    <row r="69" spans="13:20" x14ac:dyDescent="0.2">
      <c r="M69" s="229"/>
      <c r="N69" s="75">
        <v>0.35416666666666669</v>
      </c>
      <c r="O69" s="27">
        <f>IF(ISERROR(IF(N69=TIME(HOUR(N69),MINUTE(N69),SECOND(N69)),M69,O68)),"",O68)</f>
        <v>2013</v>
      </c>
      <c r="P69" s="27" t="str">
        <f t="shared" si="14"/>
        <v>201308:30:00</v>
      </c>
      <c r="Q69" s="29">
        <f ca="1">IF(ISERROR(AVERAGEIF(Daily!$F$9:$K$1048576,Indices!P69,Daily!$K$9:$K$1048576)),0,AVERAGEIF(Daily!$F$9:$K$1048576,Indices!P69,Daily!$K$9:$K$1048576))</f>
        <v>0</v>
      </c>
      <c r="R69" s="29">
        <f t="shared" ref="R69:R89" ca="1" si="15">IF(ISERROR(Q69*22/$S$68),0,Q69*22/$S$68)</f>
        <v>0</v>
      </c>
      <c r="S69" s="29"/>
      <c r="T69" s="29"/>
    </row>
    <row r="70" spans="13:20" x14ac:dyDescent="0.2">
      <c r="M70" s="229"/>
      <c r="N70" s="75">
        <v>0.375</v>
      </c>
      <c r="O70" s="27">
        <f t="shared" ref="O70:O89" si="16">IF(ISERROR(IF(N70=TIME(HOUR(N70),MINUTE(N70),SECOND(N70)),M70,O69)),"",O69)</f>
        <v>2013</v>
      </c>
      <c r="P70" s="27" t="str">
        <f t="shared" si="14"/>
        <v>201309:00:00</v>
      </c>
      <c r="Q70" s="29">
        <f ca="1">IF(ISERROR(AVERAGEIF(Daily!$F$9:$K$1048576,Indices!P70,Daily!$K$9:$K$1048576)),0,AVERAGEIF(Daily!$F$9:$K$1048576,Indices!P70,Daily!$K$9:$K$1048576))</f>
        <v>0</v>
      </c>
      <c r="R70" s="29">
        <f t="shared" ca="1" si="15"/>
        <v>0</v>
      </c>
      <c r="S70" s="29"/>
      <c r="T70" s="29"/>
    </row>
    <row r="71" spans="13:20" x14ac:dyDescent="0.2">
      <c r="M71" s="229"/>
      <c r="N71" s="75">
        <v>0.39583333333333331</v>
      </c>
      <c r="O71" s="27">
        <f t="shared" si="16"/>
        <v>2013</v>
      </c>
      <c r="P71" s="27" t="str">
        <f t="shared" si="14"/>
        <v>201309:30:00</v>
      </c>
      <c r="Q71" s="29">
        <f ca="1">IF(ISERROR(AVERAGEIF(Daily!$F$9:$K$1048576,Indices!P71,Daily!$K$9:$K$1048576)),0,AVERAGEIF(Daily!$F$9:$K$1048576,Indices!P71,Daily!$K$9:$K$1048576))</f>
        <v>0</v>
      </c>
      <c r="R71" s="29">
        <f t="shared" ca="1" si="15"/>
        <v>0</v>
      </c>
      <c r="S71" s="29"/>
      <c r="T71" s="29"/>
    </row>
    <row r="72" spans="13:20" x14ac:dyDescent="0.2">
      <c r="M72" s="229"/>
      <c r="N72" s="75">
        <v>0.41666666666666669</v>
      </c>
      <c r="O72" s="27">
        <f t="shared" si="16"/>
        <v>2013</v>
      </c>
      <c r="P72" s="27" t="str">
        <f t="shared" si="14"/>
        <v>201310:00:00</v>
      </c>
      <c r="Q72" s="29">
        <f ca="1">IF(ISERROR(AVERAGEIF(Daily!$F$9:$K$1048576,Indices!P72,Daily!$K$9:$K$1048576)),0,AVERAGEIF(Daily!$F$9:$K$1048576,Indices!P72,Daily!$K$9:$K$1048576))</f>
        <v>0</v>
      </c>
      <c r="R72" s="29">
        <f t="shared" ca="1" si="15"/>
        <v>0</v>
      </c>
      <c r="S72" s="29"/>
      <c r="T72" s="29"/>
    </row>
    <row r="73" spans="13:20" x14ac:dyDescent="0.2">
      <c r="M73" s="229"/>
      <c r="N73" s="75">
        <v>0.4375</v>
      </c>
      <c r="O73" s="27">
        <f t="shared" si="16"/>
        <v>2013</v>
      </c>
      <c r="P73" s="27" t="str">
        <f t="shared" si="14"/>
        <v>201310:30:00</v>
      </c>
      <c r="Q73" s="29">
        <f ca="1">IF(ISERROR(AVERAGEIF(Daily!$F$9:$K$1048576,Indices!P73,Daily!$K$9:$K$1048576)),0,AVERAGEIF(Daily!$F$9:$K$1048576,Indices!P73,Daily!$K$9:$K$1048576))</f>
        <v>0</v>
      </c>
      <c r="R73" s="29">
        <f t="shared" ca="1" si="15"/>
        <v>0</v>
      </c>
      <c r="S73" s="29"/>
      <c r="T73" s="29"/>
    </row>
    <row r="74" spans="13:20" x14ac:dyDescent="0.2">
      <c r="M74" s="229"/>
      <c r="N74" s="75">
        <v>0.45833333333333331</v>
      </c>
      <c r="O74" s="27">
        <f t="shared" si="16"/>
        <v>2013</v>
      </c>
      <c r="P74" s="27" t="str">
        <f t="shared" si="14"/>
        <v>201311:00:00</v>
      </c>
      <c r="Q74" s="29">
        <f ca="1">IF(ISERROR(AVERAGEIF(Daily!$F$9:$K$1048576,Indices!P74,Daily!$K$9:$K$1048576)),0,AVERAGEIF(Daily!$F$9:$K$1048576,Indices!P74,Daily!$K$9:$K$1048576))</f>
        <v>0</v>
      </c>
      <c r="R74" s="29">
        <f t="shared" ca="1" si="15"/>
        <v>0</v>
      </c>
      <c r="S74" s="29"/>
      <c r="T74" s="29"/>
    </row>
    <row r="75" spans="13:20" x14ac:dyDescent="0.2">
      <c r="M75" s="229"/>
      <c r="N75" s="75">
        <v>0.47916666666666669</v>
      </c>
      <c r="O75" s="27">
        <f t="shared" si="16"/>
        <v>2013</v>
      </c>
      <c r="P75" s="27" t="str">
        <f t="shared" si="14"/>
        <v>201311:30:00</v>
      </c>
      <c r="Q75" s="29">
        <f ca="1">IF(ISERROR(AVERAGEIF(Daily!$F$9:$K$1048576,Indices!P75,Daily!$K$9:$K$1048576)),0,AVERAGEIF(Daily!$F$9:$K$1048576,Indices!P75,Daily!$K$9:$K$1048576))</f>
        <v>0</v>
      </c>
      <c r="R75" s="29">
        <f t="shared" ca="1" si="15"/>
        <v>0</v>
      </c>
      <c r="S75" s="29"/>
      <c r="T75" s="29"/>
    </row>
    <row r="76" spans="13:20" x14ac:dyDescent="0.2">
      <c r="M76" s="229"/>
      <c r="N76" s="75">
        <v>0.5</v>
      </c>
      <c r="O76" s="27">
        <f t="shared" si="16"/>
        <v>2013</v>
      </c>
      <c r="P76" s="27" t="str">
        <f t="shared" si="14"/>
        <v>201312:00:00</v>
      </c>
      <c r="Q76" s="29">
        <f ca="1">IF(ISERROR(AVERAGEIF(Daily!$F$9:$K$1048576,Indices!P76,Daily!$K$9:$K$1048576)),0,AVERAGEIF(Daily!$F$9:$K$1048576,Indices!P76,Daily!$K$9:$K$1048576))</f>
        <v>0</v>
      </c>
      <c r="R76" s="29">
        <f t="shared" ca="1" si="15"/>
        <v>0</v>
      </c>
      <c r="S76" s="29"/>
      <c r="T76" s="29"/>
    </row>
    <row r="77" spans="13:20" x14ac:dyDescent="0.2">
      <c r="M77" s="229"/>
      <c r="N77" s="75">
        <v>0.52083333333333337</v>
      </c>
      <c r="O77" s="27">
        <f t="shared" si="16"/>
        <v>2013</v>
      </c>
      <c r="P77" s="27" t="str">
        <f t="shared" si="14"/>
        <v>201312:30:00</v>
      </c>
      <c r="Q77" s="29">
        <f ca="1">IF(ISERROR(AVERAGEIF(Daily!$F$9:$K$1048576,Indices!P77,Daily!$K$9:$K$1048576)),0,AVERAGEIF(Daily!$F$9:$K$1048576,Indices!P77,Daily!$K$9:$K$1048576))</f>
        <v>0</v>
      </c>
      <c r="R77" s="29">
        <f t="shared" ca="1" si="15"/>
        <v>0</v>
      </c>
      <c r="S77" s="29"/>
      <c r="T77" s="29"/>
    </row>
    <row r="78" spans="13:20" x14ac:dyDescent="0.2">
      <c r="M78" s="229"/>
      <c r="N78" s="75">
        <v>0.54166666666666663</v>
      </c>
      <c r="O78" s="27">
        <f t="shared" si="16"/>
        <v>2013</v>
      </c>
      <c r="P78" s="27" t="str">
        <f t="shared" si="14"/>
        <v>201313:00:00</v>
      </c>
      <c r="Q78" s="29">
        <f ca="1">IF(ISERROR(AVERAGEIF(Daily!$F$9:$K$1048576,Indices!P78,Daily!$K$9:$K$1048576)),0,AVERAGEIF(Daily!$F$9:$K$1048576,Indices!P78,Daily!$K$9:$K$1048576))</f>
        <v>0</v>
      </c>
      <c r="R78" s="29">
        <f t="shared" ca="1" si="15"/>
        <v>0</v>
      </c>
      <c r="S78" s="29"/>
      <c r="T78" s="29"/>
    </row>
    <row r="79" spans="13:20" x14ac:dyDescent="0.2">
      <c r="M79" s="229"/>
      <c r="N79" s="75">
        <v>0.5625</v>
      </c>
      <c r="O79" s="27">
        <f t="shared" si="16"/>
        <v>2013</v>
      </c>
      <c r="P79" s="27" t="str">
        <f t="shared" si="14"/>
        <v>201313:30:00</v>
      </c>
      <c r="Q79" s="29">
        <f ca="1">IF(ISERROR(AVERAGEIF(Daily!$F$9:$K$1048576,Indices!P79,Daily!$K$9:$K$1048576)),0,AVERAGEIF(Daily!$F$9:$K$1048576,Indices!P79,Daily!$K$9:$K$1048576))</f>
        <v>0</v>
      </c>
      <c r="R79" s="29">
        <f t="shared" ca="1" si="15"/>
        <v>0</v>
      </c>
      <c r="S79" s="29"/>
      <c r="T79" s="29"/>
    </row>
    <row r="80" spans="13:20" x14ac:dyDescent="0.2">
      <c r="M80" s="229"/>
      <c r="N80" s="75">
        <v>0.58333333333333337</v>
      </c>
      <c r="O80" s="27">
        <f t="shared" si="16"/>
        <v>2013</v>
      </c>
      <c r="P80" s="27" t="str">
        <f t="shared" si="14"/>
        <v>201314:00:00</v>
      </c>
      <c r="Q80" s="29">
        <f ca="1">IF(ISERROR(AVERAGEIF(Daily!$F$9:$K$1048576,Indices!P80,Daily!$K$9:$K$1048576)),0,AVERAGEIF(Daily!$F$9:$K$1048576,Indices!P80,Daily!$K$9:$K$1048576))</f>
        <v>0</v>
      </c>
      <c r="R80" s="29">
        <f t="shared" ca="1" si="15"/>
        <v>0</v>
      </c>
      <c r="S80" s="29"/>
      <c r="T80" s="29"/>
    </row>
    <row r="81" spans="13:20" x14ac:dyDescent="0.2">
      <c r="M81" s="229"/>
      <c r="N81" s="75">
        <v>0.60416666666666663</v>
      </c>
      <c r="O81" s="27">
        <f t="shared" si="16"/>
        <v>2013</v>
      </c>
      <c r="P81" s="27" t="str">
        <f t="shared" si="14"/>
        <v>201314:30:00</v>
      </c>
      <c r="Q81" s="29">
        <f ca="1">IF(ISERROR(AVERAGEIF(Daily!$F$9:$K$1048576,Indices!P81,Daily!$K$9:$K$1048576)),0,AVERAGEIF(Daily!$F$9:$K$1048576,Indices!P81,Daily!$K$9:$K$1048576))</f>
        <v>0</v>
      </c>
      <c r="R81" s="29">
        <f t="shared" ca="1" si="15"/>
        <v>0</v>
      </c>
      <c r="S81" s="29"/>
      <c r="T81" s="29"/>
    </row>
    <row r="82" spans="13:20" x14ac:dyDescent="0.2">
      <c r="M82" s="229"/>
      <c r="N82" s="75">
        <v>0.625</v>
      </c>
      <c r="O82" s="27">
        <f t="shared" si="16"/>
        <v>2013</v>
      </c>
      <c r="P82" s="27" t="str">
        <f t="shared" si="14"/>
        <v>201315:00:00</v>
      </c>
      <c r="Q82" s="29">
        <f ca="1">IF(ISERROR(AVERAGEIF(Daily!$F$9:$K$1048576,Indices!P82,Daily!$K$9:$K$1048576)),0,AVERAGEIF(Daily!$F$9:$K$1048576,Indices!P82,Daily!$K$9:$K$1048576))</f>
        <v>0</v>
      </c>
      <c r="R82" s="29">
        <f t="shared" ca="1" si="15"/>
        <v>0</v>
      </c>
      <c r="S82" s="29"/>
      <c r="T82" s="29"/>
    </row>
    <row r="83" spans="13:20" x14ac:dyDescent="0.2">
      <c r="M83" s="229"/>
      <c r="N83" s="75">
        <v>0.64583333333333337</v>
      </c>
      <c r="O83" s="27">
        <f t="shared" si="16"/>
        <v>2013</v>
      </c>
      <c r="P83" s="27" t="str">
        <f t="shared" si="14"/>
        <v>201315:30:00</v>
      </c>
      <c r="Q83" s="29">
        <f ca="1">IF(ISERROR(AVERAGEIF(Daily!$F$9:$K$1048576,Indices!P83,Daily!$K$9:$K$1048576)),0,AVERAGEIF(Daily!$F$9:$K$1048576,Indices!P83,Daily!$K$9:$K$1048576))</f>
        <v>0</v>
      </c>
      <c r="R83" s="29">
        <f t="shared" ca="1" si="15"/>
        <v>0</v>
      </c>
      <c r="S83" s="29"/>
      <c r="T83" s="29"/>
    </row>
    <row r="84" spans="13:20" x14ac:dyDescent="0.2">
      <c r="M84" s="229"/>
      <c r="N84" s="75">
        <v>0.66666666666666663</v>
      </c>
      <c r="O84" s="27">
        <f t="shared" si="16"/>
        <v>2013</v>
      </c>
      <c r="P84" s="27" t="str">
        <f t="shared" si="14"/>
        <v>201316:00:00</v>
      </c>
      <c r="Q84" s="29">
        <f ca="1">IF(ISERROR(AVERAGEIF(Daily!$F$9:$K$1048576,Indices!P84,Daily!$K$9:$K$1048576)),0,AVERAGEIF(Daily!$F$9:$K$1048576,Indices!P84,Daily!$K$9:$K$1048576))</f>
        <v>0</v>
      </c>
      <c r="R84" s="29">
        <f t="shared" ca="1" si="15"/>
        <v>0</v>
      </c>
      <c r="S84" s="29"/>
      <c r="T84" s="29"/>
    </row>
    <row r="85" spans="13:20" x14ac:dyDescent="0.2">
      <c r="M85" s="229"/>
      <c r="N85" s="75">
        <v>0.6875</v>
      </c>
      <c r="O85" s="27">
        <f t="shared" si="16"/>
        <v>2013</v>
      </c>
      <c r="P85" s="27" t="str">
        <f t="shared" si="14"/>
        <v>201316:30:00</v>
      </c>
      <c r="Q85" s="29">
        <f ca="1">IF(ISERROR(AVERAGEIF(Daily!$F$9:$K$1048576,Indices!P85,Daily!$K$9:$K$1048576)),0,AVERAGEIF(Daily!$F$9:$K$1048576,Indices!P85,Daily!$K$9:$K$1048576))</f>
        <v>0</v>
      </c>
      <c r="R85" s="29">
        <f t="shared" ca="1" si="15"/>
        <v>0</v>
      </c>
      <c r="S85" s="29"/>
      <c r="T85" s="29"/>
    </row>
    <row r="86" spans="13:20" x14ac:dyDescent="0.2">
      <c r="M86" s="229"/>
      <c r="N86" s="75">
        <v>0.70833333333333337</v>
      </c>
      <c r="O86" s="27">
        <f t="shared" si="16"/>
        <v>2013</v>
      </c>
      <c r="P86" s="27" t="str">
        <f t="shared" si="14"/>
        <v>201317:00:00</v>
      </c>
      <c r="Q86" s="29">
        <f ca="1">IF(ISERROR(AVERAGEIF(Daily!$F$9:$K$1048576,Indices!P86,Daily!$K$9:$K$1048576)),0,AVERAGEIF(Daily!$F$9:$K$1048576,Indices!P86,Daily!$K$9:$K$1048576))</f>
        <v>0</v>
      </c>
      <c r="R86" s="29">
        <f t="shared" ca="1" si="15"/>
        <v>0</v>
      </c>
      <c r="S86" s="29"/>
      <c r="T86" s="29"/>
    </row>
    <row r="87" spans="13:20" x14ac:dyDescent="0.2">
      <c r="M87" s="229"/>
      <c r="N87" s="75">
        <v>0.72916666666666663</v>
      </c>
      <c r="O87" s="27">
        <f t="shared" si="16"/>
        <v>2013</v>
      </c>
      <c r="P87" s="27" t="str">
        <f t="shared" si="14"/>
        <v>201317:30:00</v>
      </c>
      <c r="Q87" s="29">
        <f ca="1">IF(ISERROR(AVERAGEIF(Daily!$F$9:$K$1048576,Indices!P87,Daily!$K$9:$K$1048576)),0,AVERAGEIF(Daily!$F$9:$K$1048576,Indices!P87,Daily!$K$9:$K$1048576))</f>
        <v>0</v>
      </c>
      <c r="R87" s="29">
        <f t="shared" ca="1" si="15"/>
        <v>0</v>
      </c>
      <c r="S87" s="29"/>
      <c r="T87" s="29"/>
    </row>
    <row r="88" spans="13:20" x14ac:dyDescent="0.2">
      <c r="M88" s="229"/>
      <c r="N88" s="75">
        <v>0.75</v>
      </c>
      <c r="O88" s="27">
        <f t="shared" si="16"/>
        <v>2013</v>
      </c>
      <c r="P88" s="27" t="str">
        <f t="shared" si="14"/>
        <v>201318:00:00</v>
      </c>
      <c r="Q88" s="29">
        <f ca="1">IF(ISERROR(AVERAGEIF(Daily!$F$9:$K$1048576,Indices!P88,Daily!$K$9:$K$1048576)),0,AVERAGEIF(Daily!$F$9:$K$1048576,Indices!P88,Daily!$K$9:$K$1048576))</f>
        <v>0</v>
      </c>
      <c r="R88" s="29">
        <f t="shared" ca="1" si="15"/>
        <v>0</v>
      </c>
      <c r="S88" s="29"/>
      <c r="T88" s="29"/>
    </row>
    <row r="89" spans="13:20" ht="13.5" thickBot="1" x14ac:dyDescent="0.25">
      <c r="M89" s="230"/>
      <c r="N89" s="76">
        <v>0.77083333333333337</v>
      </c>
      <c r="O89" s="28">
        <f t="shared" si="16"/>
        <v>2013</v>
      </c>
      <c r="P89" s="28" t="str">
        <f t="shared" si="14"/>
        <v>201318:30:00</v>
      </c>
      <c r="Q89" s="30">
        <f ca="1">IF(ISERROR(AVERAGEIF(Daily!$F$9:$K$1048576,Indices!P89,Daily!$K$9:$K$1048576)),0,AVERAGEIF(Daily!$F$9:$K$1048576,Indices!P89,Daily!$K$9:$K$1048576))</f>
        <v>0</v>
      </c>
      <c r="R89" s="30">
        <f t="shared" ca="1" si="15"/>
        <v>0</v>
      </c>
      <c r="S89" s="30"/>
      <c r="T89" s="30"/>
    </row>
    <row r="90" spans="13:20" x14ac:dyDescent="0.2">
      <c r="M90" s="229">
        <f>M68+1</f>
        <v>2014</v>
      </c>
      <c r="N90" s="74">
        <v>0.33333333333333331</v>
      </c>
      <c r="O90" s="26">
        <f>IF(N90=TIME(HOUR(N90),MINUTE(N90),SECOND(N90)),M90,O89)</f>
        <v>2014</v>
      </c>
      <c r="P90" s="26" t="str">
        <f t="shared" si="14"/>
        <v>201408:00:00</v>
      </c>
      <c r="Q90" s="25">
        <f ca="1">IF(ISERROR(AVERAGEIF(Daily!$F$9:$K$1048576,Indices!P90,Daily!$K$9:$K$1048576)),0,AVERAGEIF(Daily!$F$9:$K$1048576,Indices!P90,Daily!$K$9:$K$1048576))</f>
        <v>0</v>
      </c>
      <c r="R90" s="25">
        <f ca="1">IF(ISERROR(Q90*22/$S$90),0,Q90*22/$S$90)</f>
        <v>0</v>
      </c>
      <c r="S90" s="25">
        <f ca="1">SUM(Q90:Q111)</f>
        <v>0</v>
      </c>
      <c r="T90" s="25">
        <f ca="1">SUM(R90:R111)</f>
        <v>0</v>
      </c>
    </row>
    <row r="91" spans="13:20" x14ac:dyDescent="0.2">
      <c r="M91" s="229"/>
      <c r="N91" s="75">
        <v>0.35416666666666669</v>
      </c>
      <c r="O91" s="27">
        <f>IF(ISERROR(IF(N91=TIME(HOUR(N91),MINUTE(N91),SECOND(N91)),M91,O90)),"",O90)</f>
        <v>2014</v>
      </c>
      <c r="P91" s="27" t="str">
        <f t="shared" si="14"/>
        <v>201408:30:00</v>
      </c>
      <c r="Q91" s="29">
        <f ca="1">IF(ISERROR(AVERAGEIF(Daily!$F$9:$K$1048576,Indices!P91,Daily!$K$9:$K$1048576)),0,AVERAGEIF(Daily!$F$9:$K$1048576,Indices!P91,Daily!$K$9:$K$1048576))</f>
        <v>0</v>
      </c>
      <c r="R91" s="29">
        <f t="shared" ref="R91:R111" ca="1" si="17">IF(ISERROR(Q91*22/$S$90),0,Q91*22/$S$90)</f>
        <v>0</v>
      </c>
      <c r="S91" s="29"/>
      <c r="T91" s="29"/>
    </row>
    <row r="92" spans="13:20" x14ac:dyDescent="0.2">
      <c r="M92" s="229"/>
      <c r="N92" s="75">
        <v>0.375</v>
      </c>
      <c r="O92" s="27">
        <f t="shared" ref="O92:O111" si="18">IF(ISERROR(IF(N92=TIME(HOUR(N92),MINUTE(N92),SECOND(N92)),M92,O91)),"",O91)</f>
        <v>2014</v>
      </c>
      <c r="P92" s="27" t="str">
        <f t="shared" si="14"/>
        <v>201409:00:00</v>
      </c>
      <c r="Q92" s="29">
        <f ca="1">IF(ISERROR(AVERAGEIF(Daily!$F$9:$K$1048576,Indices!P92,Daily!$K$9:$K$1048576)),0,AVERAGEIF(Daily!$F$9:$K$1048576,Indices!P92,Daily!$K$9:$K$1048576))</f>
        <v>0</v>
      </c>
      <c r="R92" s="29">
        <f t="shared" ca="1" si="17"/>
        <v>0</v>
      </c>
      <c r="S92" s="29"/>
      <c r="T92" s="29"/>
    </row>
    <row r="93" spans="13:20" x14ac:dyDescent="0.2">
      <c r="M93" s="229"/>
      <c r="N93" s="75">
        <v>0.39583333333333331</v>
      </c>
      <c r="O93" s="27">
        <f t="shared" si="18"/>
        <v>2014</v>
      </c>
      <c r="P93" s="27" t="str">
        <f t="shared" si="14"/>
        <v>201409:30:00</v>
      </c>
      <c r="Q93" s="29">
        <f ca="1">IF(ISERROR(AVERAGEIF(Daily!$F$9:$K$1048576,Indices!P93,Daily!$K$9:$K$1048576)),0,AVERAGEIF(Daily!$F$9:$K$1048576,Indices!P93,Daily!$K$9:$K$1048576))</f>
        <v>0</v>
      </c>
      <c r="R93" s="29">
        <f t="shared" ca="1" si="17"/>
        <v>0</v>
      </c>
      <c r="S93" s="29"/>
      <c r="T93" s="29"/>
    </row>
    <row r="94" spans="13:20" x14ac:dyDescent="0.2">
      <c r="M94" s="229"/>
      <c r="N94" s="75">
        <v>0.41666666666666669</v>
      </c>
      <c r="O94" s="27">
        <f t="shared" si="18"/>
        <v>2014</v>
      </c>
      <c r="P94" s="27" t="str">
        <f t="shared" si="14"/>
        <v>201410:00:00</v>
      </c>
      <c r="Q94" s="29">
        <f ca="1">IF(ISERROR(AVERAGEIF(Daily!$F$9:$K$1048576,Indices!P94,Daily!$K$9:$K$1048576)),0,AVERAGEIF(Daily!$F$9:$K$1048576,Indices!P94,Daily!$K$9:$K$1048576))</f>
        <v>0</v>
      </c>
      <c r="R94" s="29">
        <f t="shared" ca="1" si="17"/>
        <v>0</v>
      </c>
      <c r="S94" s="29"/>
      <c r="T94" s="29"/>
    </row>
    <row r="95" spans="13:20" x14ac:dyDescent="0.2">
      <c r="M95" s="229"/>
      <c r="N95" s="75">
        <v>0.4375</v>
      </c>
      <c r="O95" s="27">
        <f t="shared" si="18"/>
        <v>2014</v>
      </c>
      <c r="P95" s="27" t="str">
        <f t="shared" si="14"/>
        <v>201410:30:00</v>
      </c>
      <c r="Q95" s="29">
        <f ca="1">IF(ISERROR(AVERAGEIF(Daily!$F$9:$K$1048576,Indices!P95,Daily!$K$9:$K$1048576)),0,AVERAGEIF(Daily!$F$9:$K$1048576,Indices!P95,Daily!$K$9:$K$1048576))</f>
        <v>0</v>
      </c>
      <c r="R95" s="29">
        <f t="shared" ca="1" si="17"/>
        <v>0</v>
      </c>
      <c r="S95" s="29"/>
      <c r="T95" s="29"/>
    </row>
    <row r="96" spans="13:20" x14ac:dyDescent="0.2">
      <c r="M96" s="229"/>
      <c r="N96" s="75">
        <v>0.45833333333333331</v>
      </c>
      <c r="O96" s="27">
        <f t="shared" si="18"/>
        <v>2014</v>
      </c>
      <c r="P96" s="27" t="str">
        <f t="shared" si="14"/>
        <v>201411:00:00</v>
      </c>
      <c r="Q96" s="29">
        <f ca="1">IF(ISERROR(AVERAGEIF(Daily!$F$9:$K$1048576,Indices!P96,Daily!$K$9:$K$1048576)),0,AVERAGEIF(Daily!$F$9:$K$1048576,Indices!P96,Daily!$K$9:$K$1048576))</f>
        <v>0</v>
      </c>
      <c r="R96" s="29">
        <f t="shared" ca="1" si="17"/>
        <v>0</v>
      </c>
      <c r="S96" s="29"/>
      <c r="T96" s="29"/>
    </row>
    <row r="97" spans="13:20" x14ac:dyDescent="0.2">
      <c r="M97" s="229"/>
      <c r="N97" s="75">
        <v>0.47916666666666669</v>
      </c>
      <c r="O97" s="27">
        <f t="shared" si="18"/>
        <v>2014</v>
      </c>
      <c r="P97" s="27" t="str">
        <f t="shared" si="14"/>
        <v>201411:30:00</v>
      </c>
      <c r="Q97" s="29">
        <f ca="1">IF(ISERROR(AVERAGEIF(Daily!$F$9:$K$1048576,Indices!P97,Daily!$K$9:$K$1048576)),0,AVERAGEIF(Daily!$F$9:$K$1048576,Indices!P97,Daily!$K$9:$K$1048576))</f>
        <v>0</v>
      </c>
      <c r="R97" s="29">
        <f t="shared" ca="1" si="17"/>
        <v>0</v>
      </c>
      <c r="S97" s="29"/>
      <c r="T97" s="29"/>
    </row>
    <row r="98" spans="13:20" x14ac:dyDescent="0.2">
      <c r="M98" s="229"/>
      <c r="N98" s="75">
        <v>0.5</v>
      </c>
      <c r="O98" s="27">
        <f t="shared" si="18"/>
        <v>2014</v>
      </c>
      <c r="P98" s="27" t="str">
        <f t="shared" si="14"/>
        <v>201412:00:00</v>
      </c>
      <c r="Q98" s="29">
        <f ca="1">IF(ISERROR(AVERAGEIF(Daily!$F$9:$K$1048576,Indices!P98,Daily!$K$9:$K$1048576)),0,AVERAGEIF(Daily!$F$9:$K$1048576,Indices!P98,Daily!$K$9:$K$1048576))</f>
        <v>0</v>
      </c>
      <c r="R98" s="29">
        <f t="shared" ca="1" si="17"/>
        <v>0</v>
      </c>
      <c r="S98" s="29"/>
      <c r="T98" s="29"/>
    </row>
    <row r="99" spans="13:20" x14ac:dyDescent="0.2">
      <c r="M99" s="229"/>
      <c r="N99" s="75">
        <v>0.52083333333333337</v>
      </c>
      <c r="O99" s="27">
        <f t="shared" si="18"/>
        <v>2014</v>
      </c>
      <c r="P99" s="27" t="str">
        <f t="shared" si="14"/>
        <v>201412:30:00</v>
      </c>
      <c r="Q99" s="29">
        <f ca="1">IF(ISERROR(AVERAGEIF(Daily!$F$9:$K$1048576,Indices!P99,Daily!$K$9:$K$1048576)),0,AVERAGEIF(Daily!$F$9:$K$1048576,Indices!P99,Daily!$K$9:$K$1048576))</f>
        <v>0</v>
      </c>
      <c r="R99" s="29">
        <f t="shared" ca="1" si="17"/>
        <v>0</v>
      </c>
      <c r="S99" s="29"/>
      <c r="T99" s="29"/>
    </row>
    <row r="100" spans="13:20" x14ac:dyDescent="0.2">
      <c r="M100" s="229"/>
      <c r="N100" s="75">
        <v>0.54166666666666663</v>
      </c>
      <c r="O100" s="27">
        <f t="shared" si="18"/>
        <v>2014</v>
      </c>
      <c r="P100" s="27" t="str">
        <f t="shared" si="14"/>
        <v>201413:00:00</v>
      </c>
      <c r="Q100" s="29">
        <f ca="1">IF(ISERROR(AVERAGEIF(Daily!$F$9:$K$1048576,Indices!P100,Daily!$K$9:$K$1048576)),0,AVERAGEIF(Daily!$F$9:$K$1048576,Indices!P100,Daily!$K$9:$K$1048576))</f>
        <v>0</v>
      </c>
      <c r="R100" s="29">
        <f t="shared" ca="1" si="17"/>
        <v>0</v>
      </c>
      <c r="S100" s="29"/>
      <c r="T100" s="29"/>
    </row>
    <row r="101" spans="13:20" x14ac:dyDescent="0.2">
      <c r="M101" s="229"/>
      <c r="N101" s="75">
        <v>0.5625</v>
      </c>
      <c r="O101" s="27">
        <f t="shared" si="18"/>
        <v>2014</v>
      </c>
      <c r="P101" s="27" t="str">
        <f t="shared" si="14"/>
        <v>201413:30:00</v>
      </c>
      <c r="Q101" s="29">
        <f ca="1">IF(ISERROR(AVERAGEIF(Daily!$F$9:$K$1048576,Indices!P101,Daily!$K$9:$K$1048576)),0,AVERAGEIF(Daily!$F$9:$K$1048576,Indices!P101,Daily!$K$9:$K$1048576))</f>
        <v>0</v>
      </c>
      <c r="R101" s="29">
        <f t="shared" ca="1" si="17"/>
        <v>0</v>
      </c>
      <c r="S101" s="29"/>
      <c r="T101" s="29"/>
    </row>
    <row r="102" spans="13:20" x14ac:dyDescent="0.2">
      <c r="M102" s="229"/>
      <c r="N102" s="75">
        <v>0.58333333333333337</v>
      </c>
      <c r="O102" s="27">
        <f t="shared" si="18"/>
        <v>2014</v>
      </c>
      <c r="P102" s="27" t="str">
        <f t="shared" si="14"/>
        <v>201414:00:00</v>
      </c>
      <c r="Q102" s="29">
        <f ca="1">IF(ISERROR(AVERAGEIF(Daily!$F$9:$K$1048576,Indices!P102,Daily!$K$9:$K$1048576)),0,AVERAGEIF(Daily!$F$9:$K$1048576,Indices!P102,Daily!$K$9:$K$1048576))</f>
        <v>0</v>
      </c>
      <c r="R102" s="29">
        <f t="shared" ca="1" si="17"/>
        <v>0</v>
      </c>
      <c r="S102" s="29"/>
      <c r="T102" s="29"/>
    </row>
    <row r="103" spans="13:20" x14ac:dyDescent="0.2">
      <c r="M103" s="229"/>
      <c r="N103" s="75">
        <v>0.60416666666666663</v>
      </c>
      <c r="O103" s="27">
        <f t="shared" si="18"/>
        <v>2014</v>
      </c>
      <c r="P103" s="27" t="str">
        <f t="shared" si="14"/>
        <v>201414:30:00</v>
      </c>
      <c r="Q103" s="29">
        <f ca="1">IF(ISERROR(AVERAGEIF(Daily!$F$9:$K$1048576,Indices!P103,Daily!$K$9:$K$1048576)),0,AVERAGEIF(Daily!$F$9:$K$1048576,Indices!P103,Daily!$K$9:$K$1048576))</f>
        <v>0</v>
      </c>
      <c r="R103" s="29">
        <f t="shared" ca="1" si="17"/>
        <v>0</v>
      </c>
      <c r="S103" s="29"/>
      <c r="T103" s="29"/>
    </row>
    <row r="104" spans="13:20" x14ac:dyDescent="0.2">
      <c r="M104" s="229"/>
      <c r="N104" s="75">
        <v>0.625</v>
      </c>
      <c r="O104" s="27">
        <f t="shared" si="18"/>
        <v>2014</v>
      </c>
      <c r="P104" s="27" t="str">
        <f t="shared" si="14"/>
        <v>201415:00:00</v>
      </c>
      <c r="Q104" s="29">
        <f ca="1">IF(ISERROR(AVERAGEIF(Daily!$F$9:$K$1048576,Indices!P104,Daily!$K$9:$K$1048576)),0,AVERAGEIF(Daily!$F$9:$K$1048576,Indices!P104,Daily!$K$9:$K$1048576))</f>
        <v>0</v>
      </c>
      <c r="R104" s="29">
        <f t="shared" ca="1" si="17"/>
        <v>0</v>
      </c>
      <c r="S104" s="29"/>
      <c r="T104" s="29"/>
    </row>
    <row r="105" spans="13:20" x14ac:dyDescent="0.2">
      <c r="M105" s="229"/>
      <c r="N105" s="75">
        <v>0.64583333333333337</v>
      </c>
      <c r="O105" s="27">
        <f t="shared" si="18"/>
        <v>2014</v>
      </c>
      <c r="P105" s="27" t="str">
        <f t="shared" si="14"/>
        <v>201415:30:00</v>
      </c>
      <c r="Q105" s="29">
        <f ca="1">IF(ISERROR(AVERAGEIF(Daily!$F$9:$K$1048576,Indices!P105,Daily!$K$9:$K$1048576)),0,AVERAGEIF(Daily!$F$9:$K$1048576,Indices!P105,Daily!$K$9:$K$1048576))</f>
        <v>0</v>
      </c>
      <c r="R105" s="29">
        <f t="shared" ca="1" si="17"/>
        <v>0</v>
      </c>
      <c r="S105" s="29"/>
      <c r="T105" s="29"/>
    </row>
    <row r="106" spans="13:20" x14ac:dyDescent="0.2">
      <c r="M106" s="229"/>
      <c r="N106" s="75">
        <v>0.66666666666666663</v>
      </c>
      <c r="O106" s="27">
        <f t="shared" si="18"/>
        <v>2014</v>
      </c>
      <c r="P106" s="27" t="str">
        <f t="shared" si="14"/>
        <v>201416:00:00</v>
      </c>
      <c r="Q106" s="29">
        <f ca="1">IF(ISERROR(AVERAGEIF(Daily!$F$9:$K$1048576,Indices!P106,Daily!$K$9:$K$1048576)),0,AVERAGEIF(Daily!$F$9:$K$1048576,Indices!P106,Daily!$K$9:$K$1048576))</f>
        <v>0</v>
      </c>
      <c r="R106" s="29">
        <f t="shared" ca="1" si="17"/>
        <v>0</v>
      </c>
      <c r="S106" s="29"/>
      <c r="T106" s="29"/>
    </row>
    <row r="107" spans="13:20" x14ac:dyDescent="0.2">
      <c r="M107" s="229"/>
      <c r="N107" s="75">
        <v>0.6875</v>
      </c>
      <c r="O107" s="27">
        <f t="shared" si="18"/>
        <v>2014</v>
      </c>
      <c r="P107" s="27" t="str">
        <f t="shared" si="14"/>
        <v>201416:30:00</v>
      </c>
      <c r="Q107" s="29">
        <f ca="1">IF(ISERROR(AVERAGEIF(Daily!$F$9:$K$1048576,Indices!P107,Daily!$K$9:$K$1048576)),0,AVERAGEIF(Daily!$F$9:$K$1048576,Indices!P107,Daily!$K$9:$K$1048576))</f>
        <v>0</v>
      </c>
      <c r="R107" s="29">
        <f t="shared" ca="1" si="17"/>
        <v>0</v>
      </c>
      <c r="S107" s="29"/>
      <c r="T107" s="29"/>
    </row>
    <row r="108" spans="13:20" x14ac:dyDescent="0.2">
      <c r="M108" s="229"/>
      <c r="N108" s="75">
        <v>0.70833333333333337</v>
      </c>
      <c r="O108" s="27">
        <f t="shared" si="18"/>
        <v>2014</v>
      </c>
      <c r="P108" s="27" t="str">
        <f t="shared" si="14"/>
        <v>201417:00:00</v>
      </c>
      <c r="Q108" s="29">
        <f ca="1">IF(ISERROR(AVERAGEIF(Daily!$F$9:$K$1048576,Indices!P108,Daily!$K$9:$K$1048576)),0,AVERAGEIF(Daily!$F$9:$K$1048576,Indices!P108,Daily!$K$9:$K$1048576))</f>
        <v>0</v>
      </c>
      <c r="R108" s="29">
        <f t="shared" ca="1" si="17"/>
        <v>0</v>
      </c>
      <c r="S108" s="29"/>
      <c r="T108" s="29"/>
    </row>
    <row r="109" spans="13:20" x14ac:dyDescent="0.2">
      <c r="M109" s="229"/>
      <c r="N109" s="75">
        <v>0.72916666666666663</v>
      </c>
      <c r="O109" s="27">
        <f t="shared" si="18"/>
        <v>2014</v>
      </c>
      <c r="P109" s="27" t="str">
        <f t="shared" si="14"/>
        <v>201417:30:00</v>
      </c>
      <c r="Q109" s="29">
        <f ca="1">IF(ISERROR(AVERAGEIF(Daily!$F$9:$K$1048576,Indices!P109,Daily!$K$9:$K$1048576)),0,AVERAGEIF(Daily!$F$9:$K$1048576,Indices!P109,Daily!$K$9:$K$1048576))</f>
        <v>0</v>
      </c>
      <c r="R109" s="29">
        <f t="shared" ca="1" si="17"/>
        <v>0</v>
      </c>
      <c r="S109" s="29"/>
      <c r="T109" s="29"/>
    </row>
    <row r="110" spans="13:20" x14ac:dyDescent="0.2">
      <c r="M110" s="229"/>
      <c r="N110" s="75">
        <v>0.75</v>
      </c>
      <c r="O110" s="27">
        <f t="shared" si="18"/>
        <v>2014</v>
      </c>
      <c r="P110" s="27" t="str">
        <f t="shared" si="14"/>
        <v>201418:00:00</v>
      </c>
      <c r="Q110" s="29">
        <f ca="1">IF(ISERROR(AVERAGEIF(Daily!$F$9:$K$1048576,Indices!P110,Daily!$K$9:$K$1048576)),0,AVERAGEIF(Daily!$F$9:$K$1048576,Indices!P110,Daily!$K$9:$K$1048576))</f>
        <v>0</v>
      </c>
      <c r="R110" s="29">
        <f t="shared" ca="1" si="17"/>
        <v>0</v>
      </c>
      <c r="S110" s="29"/>
      <c r="T110" s="29"/>
    </row>
    <row r="111" spans="13:20" ht="13.5" thickBot="1" x14ac:dyDescent="0.25">
      <c r="M111" s="230"/>
      <c r="N111" s="76">
        <v>0.77083333333333337</v>
      </c>
      <c r="O111" s="28">
        <f t="shared" si="18"/>
        <v>2014</v>
      </c>
      <c r="P111" s="28" t="str">
        <f t="shared" si="14"/>
        <v>201418:30:00</v>
      </c>
      <c r="Q111" s="30">
        <f ca="1">IF(ISERROR(AVERAGEIF(Daily!$F$9:$K$1048576,Indices!P111,Daily!$K$9:$K$1048576)),0,AVERAGEIF(Daily!$F$9:$K$1048576,Indices!P111,Daily!$K$9:$K$1048576))</f>
        <v>0</v>
      </c>
      <c r="R111" s="30">
        <f t="shared" ca="1" si="17"/>
        <v>0</v>
      </c>
      <c r="S111" s="30"/>
      <c r="T111" s="30"/>
    </row>
    <row r="112" spans="13:20" x14ac:dyDescent="0.2">
      <c r="M112" s="229">
        <f>M90+1</f>
        <v>2015</v>
      </c>
      <c r="N112" s="74">
        <v>0.33333333333333331</v>
      </c>
      <c r="O112" s="26">
        <f>IF(N112=TIME(HOUR(N112),MINUTE(N112),SECOND(N112)),M112,O111)</f>
        <v>2015</v>
      </c>
      <c r="P112" s="26" t="str">
        <f t="shared" si="14"/>
        <v>201508:00:00</v>
      </c>
      <c r="Q112" s="25">
        <f ca="1">IF(ISERROR(AVERAGEIF(Daily!$F$9:$K$1048576,Indices!P112,Daily!$K$9:$K$1048576)),0,AVERAGEIF(Daily!$F$9:$K$1048576,Indices!P112,Daily!$K$9:$K$1048576))</f>
        <v>0</v>
      </c>
      <c r="R112" s="25">
        <f ca="1">IF(ISERROR(Q112*22/$S$112),0,Q112*22/$S$112)</f>
        <v>0</v>
      </c>
      <c r="S112" s="25">
        <f ca="1">SUM(Q112:Q133)</f>
        <v>0</v>
      </c>
      <c r="T112" s="25">
        <f ca="1">SUM(R112:R133)</f>
        <v>0</v>
      </c>
    </row>
    <row r="113" spans="13:20" x14ac:dyDescent="0.2">
      <c r="M113" s="229"/>
      <c r="N113" s="75">
        <v>0.35416666666666669</v>
      </c>
      <c r="O113" s="27">
        <f>IF(ISERROR(IF(N113=TIME(HOUR(N113),MINUTE(N113),SECOND(N113)),M113,O112)),"",O112)</f>
        <v>2015</v>
      </c>
      <c r="P113" s="27" t="str">
        <f t="shared" si="14"/>
        <v>201508:30:00</v>
      </c>
      <c r="Q113" s="29">
        <f ca="1">IF(ISERROR(AVERAGEIF(Daily!$F$9:$K$1048576,Indices!P113,Daily!$K$9:$K$1048576)),0,AVERAGEIF(Daily!$F$9:$K$1048576,Indices!P113,Daily!$K$9:$K$1048576))</f>
        <v>0</v>
      </c>
      <c r="R113" s="29">
        <f t="shared" ref="R113:R133" ca="1" si="19">IF(ISERROR(Q113*22/$S$112),0,Q113*22/$S$112)</f>
        <v>0</v>
      </c>
      <c r="S113" s="29"/>
      <c r="T113" s="29"/>
    </row>
    <row r="114" spans="13:20" x14ac:dyDescent="0.2">
      <c r="M114" s="229"/>
      <c r="N114" s="75">
        <v>0.375</v>
      </c>
      <c r="O114" s="27">
        <f t="shared" ref="O114:O133" si="20">IF(ISERROR(IF(N114=TIME(HOUR(N114),MINUTE(N114),SECOND(N114)),M114,O113)),"",O113)</f>
        <v>2015</v>
      </c>
      <c r="P114" s="27" t="str">
        <f t="shared" si="14"/>
        <v>201509:00:00</v>
      </c>
      <c r="Q114" s="29">
        <f ca="1">IF(ISERROR(AVERAGEIF(Daily!$F$9:$K$1048576,Indices!P114,Daily!$K$9:$K$1048576)),0,AVERAGEIF(Daily!$F$9:$K$1048576,Indices!P114,Daily!$K$9:$K$1048576))</f>
        <v>0</v>
      </c>
      <c r="R114" s="29">
        <f t="shared" ca="1" si="19"/>
        <v>0</v>
      </c>
      <c r="S114" s="29"/>
      <c r="T114" s="29"/>
    </row>
    <row r="115" spans="13:20" x14ac:dyDescent="0.2">
      <c r="M115" s="229"/>
      <c r="N115" s="75">
        <v>0.39583333333333331</v>
      </c>
      <c r="O115" s="27">
        <f t="shared" si="20"/>
        <v>2015</v>
      </c>
      <c r="P115" s="27" t="str">
        <f t="shared" si="14"/>
        <v>201509:30:00</v>
      </c>
      <c r="Q115" s="29">
        <f ca="1">IF(ISERROR(AVERAGEIF(Daily!$F$9:$K$1048576,Indices!P115,Daily!$K$9:$K$1048576)),0,AVERAGEIF(Daily!$F$9:$K$1048576,Indices!P115,Daily!$K$9:$K$1048576))</f>
        <v>0</v>
      </c>
      <c r="R115" s="29">
        <f t="shared" ca="1" si="19"/>
        <v>0</v>
      </c>
      <c r="S115" s="29"/>
      <c r="T115" s="29"/>
    </row>
    <row r="116" spans="13:20" x14ac:dyDescent="0.2">
      <c r="M116" s="229"/>
      <c r="N116" s="75">
        <v>0.41666666666666669</v>
      </c>
      <c r="O116" s="27">
        <f t="shared" si="20"/>
        <v>2015</v>
      </c>
      <c r="P116" s="27" t="str">
        <f t="shared" si="14"/>
        <v>201510:00:00</v>
      </c>
      <c r="Q116" s="29">
        <f ca="1">IF(ISERROR(AVERAGEIF(Daily!$F$9:$K$1048576,Indices!P116,Daily!$K$9:$K$1048576)),0,AVERAGEIF(Daily!$F$9:$K$1048576,Indices!P116,Daily!$K$9:$K$1048576))</f>
        <v>0</v>
      </c>
      <c r="R116" s="29">
        <f t="shared" ca="1" si="19"/>
        <v>0</v>
      </c>
      <c r="S116" s="29"/>
      <c r="T116" s="29"/>
    </row>
    <row r="117" spans="13:20" x14ac:dyDescent="0.2">
      <c r="M117" s="229"/>
      <c r="N117" s="75">
        <v>0.4375</v>
      </c>
      <c r="O117" s="27">
        <f t="shared" si="20"/>
        <v>2015</v>
      </c>
      <c r="P117" s="27" t="str">
        <f t="shared" si="14"/>
        <v>201510:30:00</v>
      </c>
      <c r="Q117" s="29">
        <f ca="1">IF(ISERROR(AVERAGEIF(Daily!$F$9:$K$1048576,Indices!P117,Daily!$K$9:$K$1048576)),0,AVERAGEIF(Daily!$F$9:$K$1048576,Indices!P117,Daily!$K$9:$K$1048576))</f>
        <v>0</v>
      </c>
      <c r="R117" s="29">
        <f t="shared" ca="1" si="19"/>
        <v>0</v>
      </c>
      <c r="S117" s="29"/>
      <c r="T117" s="29"/>
    </row>
    <row r="118" spans="13:20" x14ac:dyDescent="0.2">
      <c r="M118" s="229"/>
      <c r="N118" s="75">
        <v>0.45833333333333331</v>
      </c>
      <c r="O118" s="27">
        <f t="shared" si="20"/>
        <v>2015</v>
      </c>
      <c r="P118" s="27" t="str">
        <f t="shared" si="14"/>
        <v>201511:00:00</v>
      </c>
      <c r="Q118" s="29">
        <f ca="1">IF(ISERROR(AVERAGEIF(Daily!$F$9:$K$1048576,Indices!P118,Daily!$K$9:$K$1048576)),0,AVERAGEIF(Daily!$F$9:$K$1048576,Indices!P118,Daily!$K$9:$K$1048576))</f>
        <v>0</v>
      </c>
      <c r="R118" s="29">
        <f t="shared" ca="1" si="19"/>
        <v>0</v>
      </c>
      <c r="S118" s="29"/>
      <c r="T118" s="29"/>
    </row>
    <row r="119" spans="13:20" x14ac:dyDescent="0.2">
      <c r="M119" s="229"/>
      <c r="N119" s="75">
        <v>0.47916666666666669</v>
      </c>
      <c r="O119" s="27">
        <f t="shared" si="20"/>
        <v>2015</v>
      </c>
      <c r="P119" s="27" t="str">
        <f t="shared" si="14"/>
        <v>201511:30:00</v>
      </c>
      <c r="Q119" s="29">
        <f ca="1">IF(ISERROR(AVERAGEIF(Daily!$F$9:$K$1048576,Indices!P119,Daily!$K$9:$K$1048576)),0,AVERAGEIF(Daily!$F$9:$K$1048576,Indices!P119,Daily!$K$9:$K$1048576))</f>
        <v>0</v>
      </c>
      <c r="R119" s="29">
        <f t="shared" ca="1" si="19"/>
        <v>0</v>
      </c>
      <c r="S119" s="29"/>
      <c r="T119" s="29"/>
    </row>
    <row r="120" spans="13:20" x14ac:dyDescent="0.2">
      <c r="M120" s="229"/>
      <c r="N120" s="75">
        <v>0.5</v>
      </c>
      <c r="O120" s="27">
        <f t="shared" si="20"/>
        <v>2015</v>
      </c>
      <c r="P120" s="27" t="str">
        <f t="shared" si="14"/>
        <v>201512:00:00</v>
      </c>
      <c r="Q120" s="29">
        <f ca="1">IF(ISERROR(AVERAGEIF(Daily!$F$9:$K$1048576,Indices!P120,Daily!$K$9:$K$1048576)),0,AVERAGEIF(Daily!$F$9:$K$1048576,Indices!P120,Daily!$K$9:$K$1048576))</f>
        <v>0</v>
      </c>
      <c r="R120" s="29">
        <f t="shared" ca="1" si="19"/>
        <v>0</v>
      </c>
      <c r="S120" s="29"/>
      <c r="T120" s="29"/>
    </row>
    <row r="121" spans="13:20" x14ac:dyDescent="0.2">
      <c r="M121" s="229"/>
      <c r="N121" s="75">
        <v>0.52083333333333337</v>
      </c>
      <c r="O121" s="27">
        <f t="shared" si="20"/>
        <v>2015</v>
      </c>
      <c r="P121" s="27" t="str">
        <f t="shared" si="14"/>
        <v>201512:30:00</v>
      </c>
      <c r="Q121" s="29">
        <f ca="1">IF(ISERROR(AVERAGEIF(Daily!$F$9:$K$1048576,Indices!P121,Daily!$K$9:$K$1048576)),0,AVERAGEIF(Daily!$F$9:$K$1048576,Indices!P121,Daily!$K$9:$K$1048576))</f>
        <v>0</v>
      </c>
      <c r="R121" s="29">
        <f t="shared" ca="1" si="19"/>
        <v>0</v>
      </c>
      <c r="S121" s="29"/>
      <c r="T121" s="29"/>
    </row>
    <row r="122" spans="13:20" x14ac:dyDescent="0.2">
      <c r="M122" s="229"/>
      <c r="N122" s="75">
        <v>0.54166666666666663</v>
      </c>
      <c r="O122" s="27">
        <f t="shared" si="20"/>
        <v>2015</v>
      </c>
      <c r="P122" s="27" t="str">
        <f t="shared" si="14"/>
        <v>201513:00:00</v>
      </c>
      <c r="Q122" s="29">
        <f ca="1">IF(ISERROR(AVERAGEIF(Daily!$F$9:$K$1048576,Indices!P122,Daily!$K$9:$K$1048576)),0,AVERAGEIF(Daily!$F$9:$K$1048576,Indices!P122,Daily!$K$9:$K$1048576))</f>
        <v>0</v>
      </c>
      <c r="R122" s="29">
        <f t="shared" ca="1" si="19"/>
        <v>0</v>
      </c>
      <c r="S122" s="29"/>
      <c r="T122" s="29"/>
    </row>
    <row r="123" spans="13:20" x14ac:dyDescent="0.2">
      <c r="M123" s="229"/>
      <c r="N123" s="75">
        <v>0.5625</v>
      </c>
      <c r="O123" s="27">
        <f t="shared" si="20"/>
        <v>2015</v>
      </c>
      <c r="P123" s="27" t="str">
        <f t="shared" si="14"/>
        <v>201513:30:00</v>
      </c>
      <c r="Q123" s="29">
        <f ca="1">IF(ISERROR(AVERAGEIF(Daily!$F$9:$K$1048576,Indices!P123,Daily!$K$9:$K$1048576)),0,AVERAGEIF(Daily!$F$9:$K$1048576,Indices!P123,Daily!$K$9:$K$1048576))</f>
        <v>0</v>
      </c>
      <c r="R123" s="29">
        <f t="shared" ca="1" si="19"/>
        <v>0</v>
      </c>
      <c r="S123" s="29"/>
      <c r="T123" s="29"/>
    </row>
    <row r="124" spans="13:20" x14ac:dyDescent="0.2">
      <c r="M124" s="229"/>
      <c r="N124" s="75">
        <v>0.58333333333333337</v>
      </c>
      <c r="O124" s="27">
        <f t="shared" si="20"/>
        <v>2015</v>
      </c>
      <c r="P124" s="27" t="str">
        <f t="shared" si="14"/>
        <v>201514:00:00</v>
      </c>
      <c r="Q124" s="29">
        <f ca="1">IF(ISERROR(AVERAGEIF(Daily!$F$9:$K$1048576,Indices!P124,Daily!$K$9:$K$1048576)),0,AVERAGEIF(Daily!$F$9:$K$1048576,Indices!P124,Daily!$K$9:$K$1048576))</f>
        <v>0</v>
      </c>
      <c r="R124" s="29">
        <f t="shared" ca="1" si="19"/>
        <v>0</v>
      </c>
      <c r="S124" s="29"/>
      <c r="T124" s="29"/>
    </row>
    <row r="125" spans="13:20" x14ac:dyDescent="0.2">
      <c r="M125" s="229"/>
      <c r="N125" s="75">
        <v>0.60416666666666663</v>
      </c>
      <c r="O125" s="27">
        <f t="shared" si="20"/>
        <v>2015</v>
      </c>
      <c r="P125" s="27" t="str">
        <f t="shared" si="14"/>
        <v>201514:30:00</v>
      </c>
      <c r="Q125" s="29">
        <f ca="1">IF(ISERROR(AVERAGEIF(Daily!$F$9:$K$1048576,Indices!P125,Daily!$K$9:$K$1048576)),0,AVERAGEIF(Daily!$F$9:$K$1048576,Indices!P125,Daily!$K$9:$K$1048576))</f>
        <v>0</v>
      </c>
      <c r="R125" s="29">
        <f t="shared" ca="1" si="19"/>
        <v>0</v>
      </c>
      <c r="S125" s="29"/>
      <c r="T125" s="29"/>
    </row>
    <row r="126" spans="13:20" x14ac:dyDescent="0.2">
      <c r="M126" s="229"/>
      <c r="N126" s="75">
        <v>0.625</v>
      </c>
      <c r="O126" s="27">
        <f t="shared" si="20"/>
        <v>2015</v>
      </c>
      <c r="P126" s="27" t="str">
        <f t="shared" si="14"/>
        <v>201515:00:00</v>
      </c>
      <c r="Q126" s="29">
        <f ca="1">IF(ISERROR(AVERAGEIF(Daily!$F$9:$K$1048576,Indices!P126,Daily!$K$9:$K$1048576)),0,AVERAGEIF(Daily!$F$9:$K$1048576,Indices!P126,Daily!$K$9:$K$1048576))</f>
        <v>0</v>
      </c>
      <c r="R126" s="29">
        <f t="shared" ca="1" si="19"/>
        <v>0</v>
      </c>
      <c r="S126" s="29"/>
      <c r="T126" s="29"/>
    </row>
    <row r="127" spans="13:20" x14ac:dyDescent="0.2">
      <c r="M127" s="229"/>
      <c r="N127" s="75">
        <v>0.64583333333333337</v>
      </c>
      <c r="O127" s="27">
        <f t="shared" si="20"/>
        <v>2015</v>
      </c>
      <c r="P127" s="27" t="str">
        <f t="shared" si="14"/>
        <v>201515:30:00</v>
      </c>
      <c r="Q127" s="29">
        <f ca="1">IF(ISERROR(AVERAGEIF(Daily!$F$9:$K$1048576,Indices!P127,Daily!$K$9:$K$1048576)),0,AVERAGEIF(Daily!$F$9:$K$1048576,Indices!P127,Daily!$K$9:$K$1048576))</f>
        <v>0</v>
      </c>
      <c r="R127" s="29">
        <f t="shared" ca="1" si="19"/>
        <v>0</v>
      </c>
      <c r="S127" s="29"/>
      <c r="T127" s="29"/>
    </row>
    <row r="128" spans="13:20" x14ac:dyDescent="0.2">
      <c r="M128" s="229"/>
      <c r="N128" s="75">
        <v>0.66666666666666663</v>
      </c>
      <c r="O128" s="27">
        <f t="shared" si="20"/>
        <v>2015</v>
      </c>
      <c r="P128" s="27" t="str">
        <f t="shared" si="14"/>
        <v>201516:00:00</v>
      </c>
      <c r="Q128" s="29">
        <f ca="1">IF(ISERROR(AVERAGEIF(Daily!$F$9:$K$1048576,Indices!P128,Daily!$K$9:$K$1048576)),0,AVERAGEIF(Daily!$F$9:$K$1048576,Indices!P128,Daily!$K$9:$K$1048576))</f>
        <v>0</v>
      </c>
      <c r="R128" s="29">
        <f t="shared" ca="1" si="19"/>
        <v>0</v>
      </c>
      <c r="S128" s="29"/>
      <c r="T128" s="29"/>
    </row>
    <row r="129" spans="13:20" x14ac:dyDescent="0.2">
      <c r="M129" s="229"/>
      <c r="N129" s="75">
        <v>0.6875</v>
      </c>
      <c r="O129" s="27">
        <f t="shared" si="20"/>
        <v>2015</v>
      </c>
      <c r="P129" s="27" t="str">
        <f t="shared" si="14"/>
        <v>201516:30:00</v>
      </c>
      <c r="Q129" s="29">
        <f ca="1">IF(ISERROR(AVERAGEIF(Daily!$F$9:$K$1048576,Indices!P129,Daily!$K$9:$K$1048576)),0,AVERAGEIF(Daily!$F$9:$K$1048576,Indices!P129,Daily!$K$9:$K$1048576))</f>
        <v>0</v>
      </c>
      <c r="R129" s="29">
        <f t="shared" ca="1" si="19"/>
        <v>0</v>
      </c>
      <c r="S129" s="29"/>
      <c r="T129" s="29"/>
    </row>
    <row r="130" spans="13:20" x14ac:dyDescent="0.2">
      <c r="M130" s="229"/>
      <c r="N130" s="75">
        <v>0.70833333333333337</v>
      </c>
      <c r="O130" s="27">
        <f t="shared" si="20"/>
        <v>2015</v>
      </c>
      <c r="P130" s="27" t="str">
        <f t="shared" si="14"/>
        <v>201517:00:00</v>
      </c>
      <c r="Q130" s="29">
        <f ca="1">IF(ISERROR(AVERAGEIF(Daily!$F$9:$K$1048576,Indices!P130,Daily!$K$9:$K$1048576)),0,AVERAGEIF(Daily!$F$9:$K$1048576,Indices!P130,Daily!$K$9:$K$1048576))</f>
        <v>0</v>
      </c>
      <c r="R130" s="29">
        <f t="shared" ca="1" si="19"/>
        <v>0</v>
      </c>
      <c r="S130" s="29"/>
      <c r="T130" s="29"/>
    </row>
    <row r="131" spans="13:20" x14ac:dyDescent="0.2">
      <c r="M131" s="229"/>
      <c r="N131" s="75">
        <v>0.72916666666666663</v>
      </c>
      <c r="O131" s="27">
        <f t="shared" si="20"/>
        <v>2015</v>
      </c>
      <c r="P131" s="27" t="str">
        <f t="shared" ref="P131:P152" si="21">O131&amp;TEXT(TIME(HOUR(N131),MINUTE(N131),SECOND(N131)),"HH:MM:SS")</f>
        <v>201517:30:00</v>
      </c>
      <c r="Q131" s="29">
        <f ca="1">IF(ISERROR(AVERAGEIF(Daily!$F$9:$K$1048576,Indices!P131,Daily!$K$9:$K$1048576)),0,AVERAGEIF(Daily!$F$9:$K$1048576,Indices!P131,Daily!$K$9:$K$1048576))</f>
        <v>0</v>
      </c>
      <c r="R131" s="29">
        <f t="shared" ca="1" si="19"/>
        <v>0</v>
      </c>
      <c r="S131" s="29"/>
      <c r="T131" s="29"/>
    </row>
    <row r="132" spans="13:20" x14ac:dyDescent="0.2">
      <c r="M132" s="229"/>
      <c r="N132" s="75">
        <v>0.75</v>
      </c>
      <c r="O132" s="27">
        <f t="shared" si="20"/>
        <v>2015</v>
      </c>
      <c r="P132" s="27" t="str">
        <f t="shared" si="21"/>
        <v>201518:00:00</v>
      </c>
      <c r="Q132" s="29">
        <f ca="1">IF(ISERROR(AVERAGEIF(Daily!$F$9:$K$1048576,Indices!P132,Daily!$K$9:$K$1048576)),0,AVERAGEIF(Daily!$F$9:$K$1048576,Indices!P132,Daily!$K$9:$K$1048576))</f>
        <v>0</v>
      </c>
      <c r="R132" s="29">
        <f t="shared" ca="1" si="19"/>
        <v>0</v>
      </c>
      <c r="S132" s="29"/>
      <c r="T132" s="29"/>
    </row>
    <row r="133" spans="13:20" ht="13.5" thickBot="1" x14ac:dyDescent="0.25">
      <c r="M133" s="230"/>
      <c r="N133" s="76">
        <v>0.77083333333333337</v>
      </c>
      <c r="O133" s="28">
        <f t="shared" si="20"/>
        <v>2015</v>
      </c>
      <c r="P133" s="28" t="str">
        <f t="shared" si="21"/>
        <v>201518:30:00</v>
      </c>
      <c r="Q133" s="30">
        <f ca="1">IF(ISERROR(AVERAGEIF(Daily!$F$9:$K$1048576,Indices!P133,Daily!$K$9:$K$1048576)),0,AVERAGEIF(Daily!$F$9:$K$1048576,Indices!P133,Daily!$K$9:$K$1048576))</f>
        <v>0</v>
      </c>
      <c r="R133" s="30">
        <f t="shared" ca="1" si="19"/>
        <v>0</v>
      </c>
      <c r="S133" s="30"/>
      <c r="T133" s="30"/>
    </row>
    <row r="134" spans="13:20" x14ac:dyDescent="0.2">
      <c r="M134" s="229">
        <f>M112+1</f>
        <v>2016</v>
      </c>
      <c r="N134" s="74">
        <v>0.33333333333333331</v>
      </c>
      <c r="O134" s="26">
        <f>IF(N134=TIME(HOUR(N134),MINUTE(N134),SECOND(N134)),M134,O133)</f>
        <v>2016</v>
      </c>
      <c r="P134" s="26" t="str">
        <f t="shared" si="21"/>
        <v>201608:00:00</v>
      </c>
      <c r="Q134" s="25">
        <f ca="1">IF(ISERROR(AVERAGEIF(Daily!$F$9:$K$1048576,Indices!P134,Daily!$K$9:$K$1048576)),0,AVERAGEIF(Daily!$F$9:$K$1048576,Indices!P134,Daily!$K$9:$K$1048576))</f>
        <v>0</v>
      </c>
      <c r="R134" s="25">
        <f ca="1">IF(ISERROR(Q134*22/$S$112),0,Q134*22/$S$112)</f>
        <v>0</v>
      </c>
      <c r="S134" s="25">
        <f ca="1">SUM(Q134:Q155)</f>
        <v>0</v>
      </c>
      <c r="T134" s="25">
        <f ca="1">SUM(R134:R155)</f>
        <v>0</v>
      </c>
    </row>
    <row r="135" spans="13:20" x14ac:dyDescent="0.2">
      <c r="M135" s="229"/>
      <c r="N135" s="75">
        <v>0.35416666666666669</v>
      </c>
      <c r="O135" s="27">
        <f>IF(ISERROR(IF(N135=TIME(HOUR(N135),MINUTE(N135),SECOND(N135)),M135,O134)),"",O134)</f>
        <v>2016</v>
      </c>
      <c r="P135" s="27" t="str">
        <f t="shared" si="21"/>
        <v>201608:30:00</v>
      </c>
      <c r="Q135" s="29">
        <f ca="1">IF(ISERROR(AVERAGEIF(Daily!$F$9:$K$1048576,Indices!P135,Daily!$K$9:$K$1048576)),0,AVERAGEIF(Daily!$F$9:$K$1048576,Indices!P135,Daily!$K$9:$K$1048576))</f>
        <v>0</v>
      </c>
      <c r="R135" s="29">
        <f t="shared" ref="R135:R155" ca="1" si="22">IF(ISERROR(Q135*22/$S$112),0,Q135*22/$S$112)</f>
        <v>0</v>
      </c>
      <c r="S135" s="29"/>
      <c r="T135" s="29"/>
    </row>
    <row r="136" spans="13:20" x14ac:dyDescent="0.2">
      <c r="M136" s="229"/>
      <c r="N136" s="75">
        <v>0.375</v>
      </c>
      <c r="O136" s="27">
        <f t="shared" ref="O136:O155" si="23">IF(ISERROR(IF(N136=TIME(HOUR(N136),MINUTE(N136),SECOND(N136)),M136,O135)),"",O135)</f>
        <v>2016</v>
      </c>
      <c r="P136" s="27" t="str">
        <f t="shared" si="21"/>
        <v>201609:00:00</v>
      </c>
      <c r="Q136" s="29">
        <f ca="1">IF(ISERROR(AVERAGEIF(Daily!$F$9:$K$1048576,Indices!P136,Daily!$K$9:$K$1048576)),0,AVERAGEIF(Daily!$F$9:$K$1048576,Indices!P136,Daily!$K$9:$K$1048576))</f>
        <v>0</v>
      </c>
      <c r="R136" s="29">
        <f t="shared" ca="1" si="22"/>
        <v>0</v>
      </c>
      <c r="S136" s="29"/>
      <c r="T136" s="29"/>
    </row>
    <row r="137" spans="13:20" x14ac:dyDescent="0.2">
      <c r="M137" s="229"/>
      <c r="N137" s="75">
        <v>0.39583333333333331</v>
      </c>
      <c r="O137" s="27">
        <f t="shared" si="23"/>
        <v>2016</v>
      </c>
      <c r="P137" s="27" t="str">
        <f t="shared" si="21"/>
        <v>201609:30:00</v>
      </c>
      <c r="Q137" s="29">
        <f ca="1">IF(ISERROR(AVERAGEIF(Daily!$F$9:$K$1048576,Indices!P137,Daily!$K$9:$K$1048576)),0,AVERAGEIF(Daily!$F$9:$K$1048576,Indices!P137,Daily!$K$9:$K$1048576))</f>
        <v>0</v>
      </c>
      <c r="R137" s="29">
        <f t="shared" ca="1" si="22"/>
        <v>0</v>
      </c>
      <c r="S137" s="29"/>
      <c r="T137" s="29"/>
    </row>
    <row r="138" spans="13:20" x14ac:dyDescent="0.2">
      <c r="M138" s="229"/>
      <c r="N138" s="75">
        <v>0.41666666666666669</v>
      </c>
      <c r="O138" s="27">
        <f t="shared" si="23"/>
        <v>2016</v>
      </c>
      <c r="P138" s="27" t="str">
        <f t="shared" si="21"/>
        <v>201610:00:00</v>
      </c>
      <c r="Q138" s="29">
        <f ca="1">IF(ISERROR(AVERAGEIF(Daily!$F$9:$K$1048576,Indices!P138,Daily!$K$9:$K$1048576)),0,AVERAGEIF(Daily!$F$9:$K$1048576,Indices!P138,Daily!$K$9:$K$1048576))</f>
        <v>0</v>
      </c>
      <c r="R138" s="29">
        <f t="shared" ca="1" si="22"/>
        <v>0</v>
      </c>
      <c r="S138" s="29"/>
      <c r="T138" s="29"/>
    </row>
    <row r="139" spans="13:20" x14ac:dyDescent="0.2">
      <c r="M139" s="229"/>
      <c r="N139" s="75">
        <v>0.4375</v>
      </c>
      <c r="O139" s="27">
        <f t="shared" si="23"/>
        <v>2016</v>
      </c>
      <c r="P139" s="27" t="str">
        <f t="shared" si="21"/>
        <v>201610:30:00</v>
      </c>
      <c r="Q139" s="29">
        <f ca="1">IF(ISERROR(AVERAGEIF(Daily!$F$9:$K$1048576,Indices!P139,Daily!$K$9:$K$1048576)),0,AVERAGEIF(Daily!$F$9:$K$1048576,Indices!P139,Daily!$K$9:$K$1048576))</f>
        <v>0</v>
      </c>
      <c r="R139" s="29">
        <f t="shared" ca="1" si="22"/>
        <v>0</v>
      </c>
      <c r="S139" s="29"/>
      <c r="T139" s="29"/>
    </row>
    <row r="140" spans="13:20" x14ac:dyDescent="0.2">
      <c r="M140" s="229"/>
      <c r="N140" s="75">
        <v>0.45833333333333331</v>
      </c>
      <c r="O140" s="27">
        <f t="shared" si="23"/>
        <v>2016</v>
      </c>
      <c r="P140" s="27" t="str">
        <f t="shared" si="21"/>
        <v>201611:00:00</v>
      </c>
      <c r="Q140" s="29">
        <f ca="1">IF(ISERROR(AVERAGEIF(Daily!$F$9:$K$1048576,Indices!P140,Daily!$K$9:$K$1048576)),0,AVERAGEIF(Daily!$F$9:$K$1048576,Indices!P140,Daily!$K$9:$K$1048576))</f>
        <v>0</v>
      </c>
      <c r="R140" s="29">
        <f t="shared" ca="1" si="22"/>
        <v>0</v>
      </c>
      <c r="S140" s="29"/>
      <c r="T140" s="29"/>
    </row>
    <row r="141" spans="13:20" x14ac:dyDescent="0.2">
      <c r="M141" s="229"/>
      <c r="N141" s="75">
        <v>0.47916666666666669</v>
      </c>
      <c r="O141" s="27">
        <f t="shared" si="23"/>
        <v>2016</v>
      </c>
      <c r="P141" s="27" t="str">
        <f t="shared" si="21"/>
        <v>201611:30:00</v>
      </c>
      <c r="Q141" s="29">
        <f ca="1">IF(ISERROR(AVERAGEIF(Daily!$F$9:$K$1048576,Indices!P141,Daily!$K$9:$K$1048576)),0,AVERAGEIF(Daily!$F$9:$K$1048576,Indices!P141,Daily!$K$9:$K$1048576))</f>
        <v>0</v>
      </c>
      <c r="R141" s="29">
        <f t="shared" ca="1" si="22"/>
        <v>0</v>
      </c>
      <c r="S141" s="29"/>
      <c r="T141" s="29"/>
    </row>
    <row r="142" spans="13:20" x14ac:dyDescent="0.2">
      <c r="M142" s="229"/>
      <c r="N142" s="75">
        <v>0.5</v>
      </c>
      <c r="O142" s="27">
        <f t="shared" si="23"/>
        <v>2016</v>
      </c>
      <c r="P142" s="27" t="str">
        <f t="shared" si="21"/>
        <v>201612:00:00</v>
      </c>
      <c r="Q142" s="29">
        <f ca="1">IF(ISERROR(AVERAGEIF(Daily!$F$9:$K$1048576,Indices!P142,Daily!$K$9:$K$1048576)),0,AVERAGEIF(Daily!$F$9:$K$1048576,Indices!P142,Daily!$K$9:$K$1048576))</f>
        <v>0</v>
      </c>
      <c r="R142" s="29">
        <f t="shared" ca="1" si="22"/>
        <v>0</v>
      </c>
      <c r="S142" s="29"/>
      <c r="T142" s="29"/>
    </row>
    <row r="143" spans="13:20" x14ac:dyDescent="0.2">
      <c r="M143" s="229"/>
      <c r="N143" s="75">
        <v>0.52083333333333337</v>
      </c>
      <c r="O143" s="27">
        <f t="shared" si="23"/>
        <v>2016</v>
      </c>
      <c r="P143" s="27" t="str">
        <f t="shared" si="21"/>
        <v>201612:30:00</v>
      </c>
      <c r="Q143" s="29">
        <f ca="1">IF(ISERROR(AVERAGEIF(Daily!$F$9:$K$1048576,Indices!P143,Daily!$K$9:$K$1048576)),0,AVERAGEIF(Daily!$F$9:$K$1048576,Indices!P143,Daily!$K$9:$K$1048576))</f>
        <v>0</v>
      </c>
      <c r="R143" s="29">
        <f t="shared" ca="1" si="22"/>
        <v>0</v>
      </c>
      <c r="S143" s="29"/>
      <c r="T143" s="29"/>
    </row>
    <row r="144" spans="13:20" x14ac:dyDescent="0.2">
      <c r="M144" s="229"/>
      <c r="N144" s="75">
        <v>0.54166666666666663</v>
      </c>
      <c r="O144" s="27">
        <f t="shared" si="23"/>
        <v>2016</v>
      </c>
      <c r="P144" s="27" t="str">
        <f t="shared" si="21"/>
        <v>201613:00:00</v>
      </c>
      <c r="Q144" s="29">
        <f ca="1">IF(ISERROR(AVERAGEIF(Daily!$F$9:$K$1048576,Indices!P144,Daily!$K$9:$K$1048576)),0,AVERAGEIF(Daily!$F$9:$K$1048576,Indices!P144,Daily!$K$9:$K$1048576))</f>
        <v>0</v>
      </c>
      <c r="R144" s="29">
        <f t="shared" ca="1" si="22"/>
        <v>0</v>
      </c>
      <c r="S144" s="29"/>
      <c r="T144" s="29"/>
    </row>
    <row r="145" spans="13:20" x14ac:dyDescent="0.2">
      <c r="M145" s="229"/>
      <c r="N145" s="75">
        <v>0.5625</v>
      </c>
      <c r="O145" s="27">
        <f t="shared" si="23"/>
        <v>2016</v>
      </c>
      <c r="P145" s="27" t="str">
        <f t="shared" si="21"/>
        <v>201613:30:00</v>
      </c>
      <c r="Q145" s="29">
        <f ca="1">IF(ISERROR(AVERAGEIF(Daily!$F$9:$K$1048576,Indices!P145,Daily!$K$9:$K$1048576)),0,AVERAGEIF(Daily!$F$9:$K$1048576,Indices!P145,Daily!$K$9:$K$1048576))</f>
        <v>0</v>
      </c>
      <c r="R145" s="29">
        <f t="shared" ca="1" si="22"/>
        <v>0</v>
      </c>
      <c r="S145" s="29"/>
      <c r="T145" s="29"/>
    </row>
    <row r="146" spans="13:20" x14ac:dyDescent="0.2">
      <c r="M146" s="229"/>
      <c r="N146" s="75">
        <v>0.58333333333333337</v>
      </c>
      <c r="O146" s="27">
        <f t="shared" si="23"/>
        <v>2016</v>
      </c>
      <c r="P146" s="27" t="str">
        <f t="shared" si="21"/>
        <v>201614:00:00</v>
      </c>
      <c r="Q146" s="29">
        <f ca="1">IF(ISERROR(AVERAGEIF(Daily!$F$9:$K$1048576,Indices!P146,Daily!$K$9:$K$1048576)),0,AVERAGEIF(Daily!$F$9:$K$1048576,Indices!P146,Daily!$K$9:$K$1048576))</f>
        <v>0</v>
      </c>
      <c r="R146" s="29">
        <f t="shared" ca="1" si="22"/>
        <v>0</v>
      </c>
      <c r="S146" s="29"/>
      <c r="T146" s="29"/>
    </row>
    <row r="147" spans="13:20" x14ac:dyDescent="0.2">
      <c r="M147" s="229"/>
      <c r="N147" s="75">
        <v>0.60416666666666663</v>
      </c>
      <c r="O147" s="27">
        <f t="shared" si="23"/>
        <v>2016</v>
      </c>
      <c r="P147" s="27" t="str">
        <f t="shared" si="21"/>
        <v>201614:30:00</v>
      </c>
      <c r="Q147" s="29">
        <f ca="1">IF(ISERROR(AVERAGEIF(Daily!$F$9:$K$1048576,Indices!P147,Daily!$K$9:$K$1048576)),0,AVERAGEIF(Daily!$F$9:$K$1048576,Indices!P147,Daily!$K$9:$K$1048576))</f>
        <v>0</v>
      </c>
      <c r="R147" s="29">
        <f t="shared" ca="1" si="22"/>
        <v>0</v>
      </c>
      <c r="S147" s="29"/>
      <c r="T147" s="29"/>
    </row>
    <row r="148" spans="13:20" x14ac:dyDescent="0.2">
      <c r="M148" s="229"/>
      <c r="N148" s="75">
        <v>0.625</v>
      </c>
      <c r="O148" s="27">
        <f t="shared" si="23"/>
        <v>2016</v>
      </c>
      <c r="P148" s="27" t="str">
        <f t="shared" si="21"/>
        <v>201615:00:00</v>
      </c>
      <c r="Q148" s="29">
        <f ca="1">IF(ISERROR(AVERAGEIF(Daily!$F$9:$K$1048576,Indices!P148,Daily!$K$9:$K$1048576)),0,AVERAGEIF(Daily!$F$9:$K$1048576,Indices!P148,Daily!$K$9:$K$1048576))</f>
        <v>0</v>
      </c>
      <c r="R148" s="29">
        <f t="shared" ca="1" si="22"/>
        <v>0</v>
      </c>
      <c r="S148" s="29"/>
      <c r="T148" s="29"/>
    </row>
    <row r="149" spans="13:20" x14ac:dyDescent="0.2">
      <c r="M149" s="229"/>
      <c r="N149" s="75">
        <v>0.64583333333333337</v>
      </c>
      <c r="O149" s="27">
        <f t="shared" si="23"/>
        <v>2016</v>
      </c>
      <c r="P149" s="27" t="str">
        <f t="shared" si="21"/>
        <v>201615:30:00</v>
      </c>
      <c r="Q149" s="29">
        <f ca="1">IF(ISERROR(AVERAGEIF(Daily!$F$9:$K$1048576,Indices!P149,Daily!$K$9:$K$1048576)),0,AVERAGEIF(Daily!$F$9:$K$1048576,Indices!P149,Daily!$K$9:$K$1048576))</f>
        <v>0</v>
      </c>
      <c r="R149" s="29">
        <f t="shared" ca="1" si="22"/>
        <v>0</v>
      </c>
      <c r="S149" s="29"/>
      <c r="T149" s="29"/>
    </row>
    <row r="150" spans="13:20" x14ac:dyDescent="0.2">
      <c r="M150" s="229"/>
      <c r="N150" s="75">
        <v>0.66666666666666663</v>
      </c>
      <c r="O150" s="27">
        <f t="shared" si="23"/>
        <v>2016</v>
      </c>
      <c r="P150" s="27" t="str">
        <f t="shared" si="21"/>
        <v>201616:00:00</v>
      </c>
      <c r="Q150" s="29">
        <f ca="1">IF(ISERROR(AVERAGEIF(Daily!$F$9:$K$1048576,Indices!P150,Daily!$K$9:$K$1048576)),0,AVERAGEIF(Daily!$F$9:$K$1048576,Indices!P150,Daily!$K$9:$K$1048576))</f>
        <v>0</v>
      </c>
      <c r="R150" s="29">
        <f t="shared" ca="1" si="22"/>
        <v>0</v>
      </c>
      <c r="S150" s="29"/>
      <c r="T150" s="29"/>
    </row>
    <row r="151" spans="13:20" x14ac:dyDescent="0.2">
      <c r="M151" s="229"/>
      <c r="N151" s="75">
        <v>0.6875</v>
      </c>
      <c r="O151" s="27">
        <f t="shared" si="23"/>
        <v>2016</v>
      </c>
      <c r="P151" s="27" t="str">
        <f t="shared" si="21"/>
        <v>201616:30:00</v>
      </c>
      <c r="Q151" s="29">
        <f ca="1">IF(ISERROR(AVERAGEIF(Daily!$F$9:$K$1048576,Indices!P151,Daily!$K$9:$K$1048576)),0,AVERAGEIF(Daily!$F$9:$K$1048576,Indices!P151,Daily!$K$9:$K$1048576))</f>
        <v>0</v>
      </c>
      <c r="R151" s="29">
        <f t="shared" ca="1" si="22"/>
        <v>0</v>
      </c>
      <c r="S151" s="29"/>
      <c r="T151" s="29"/>
    </row>
    <row r="152" spans="13:20" x14ac:dyDescent="0.2">
      <c r="M152" s="229"/>
      <c r="N152" s="75">
        <v>0.70833333333333337</v>
      </c>
      <c r="O152" s="27">
        <f t="shared" si="23"/>
        <v>2016</v>
      </c>
      <c r="P152" s="27" t="str">
        <f t="shared" si="21"/>
        <v>201617:00:00</v>
      </c>
      <c r="Q152" s="29">
        <f ca="1">IF(ISERROR(AVERAGEIF(Daily!$F$9:$K$1048576,Indices!P152,Daily!$K$9:$K$1048576)),0,AVERAGEIF(Daily!$F$9:$K$1048576,Indices!P152,Daily!$K$9:$K$1048576))</f>
        <v>0</v>
      </c>
      <c r="R152" s="29">
        <f t="shared" ca="1" si="22"/>
        <v>0</v>
      </c>
      <c r="S152" s="29"/>
      <c r="T152" s="29"/>
    </row>
    <row r="153" spans="13:20" x14ac:dyDescent="0.2">
      <c r="M153" s="229"/>
      <c r="N153" s="75">
        <v>0.72916666666666663</v>
      </c>
      <c r="O153" s="27">
        <f t="shared" si="23"/>
        <v>2016</v>
      </c>
      <c r="P153" s="27" t="str">
        <f t="shared" ref="P153:P177" si="24">O153&amp;TEXT(TIME(HOUR(N153),MINUTE(N153),SECOND(N153)),"HH:MM:SS")</f>
        <v>201617:30:00</v>
      </c>
      <c r="Q153" s="29">
        <f ca="1">IF(ISERROR(AVERAGEIF(Daily!$F$9:$K$1048576,Indices!P153,Daily!$K$9:$K$1048576)),0,AVERAGEIF(Daily!$F$9:$K$1048576,Indices!P153,Daily!$K$9:$K$1048576))</f>
        <v>0</v>
      </c>
      <c r="R153" s="29">
        <f t="shared" ca="1" si="22"/>
        <v>0</v>
      </c>
      <c r="S153" s="29"/>
      <c r="T153" s="29"/>
    </row>
    <row r="154" spans="13:20" x14ac:dyDescent="0.2">
      <c r="M154" s="229"/>
      <c r="N154" s="75">
        <v>0.75</v>
      </c>
      <c r="O154" s="27">
        <f t="shared" si="23"/>
        <v>2016</v>
      </c>
      <c r="P154" s="27" t="str">
        <f t="shared" si="24"/>
        <v>201618:00:00</v>
      </c>
      <c r="Q154" s="29">
        <f ca="1">IF(ISERROR(AVERAGEIF(Daily!$F$9:$K$1048576,Indices!P154,Daily!$K$9:$K$1048576)),0,AVERAGEIF(Daily!$F$9:$K$1048576,Indices!P154,Daily!$K$9:$K$1048576))</f>
        <v>0</v>
      </c>
      <c r="R154" s="29">
        <f t="shared" ca="1" si="22"/>
        <v>0</v>
      </c>
      <c r="S154" s="29"/>
      <c r="T154" s="29"/>
    </row>
    <row r="155" spans="13:20" ht="13.5" thickBot="1" x14ac:dyDescent="0.25">
      <c r="M155" s="230"/>
      <c r="N155" s="76">
        <v>0.77083333333333337</v>
      </c>
      <c r="O155" s="28">
        <f t="shared" si="23"/>
        <v>2016</v>
      </c>
      <c r="P155" s="28" t="str">
        <f t="shared" si="24"/>
        <v>201618:30:00</v>
      </c>
      <c r="Q155" s="30">
        <f ca="1">IF(ISERROR(AVERAGEIF(Daily!$F$9:$K$1048576,Indices!P155,Daily!$K$9:$K$1048576)),0,AVERAGEIF(Daily!$F$9:$K$1048576,Indices!P155,Daily!$K$9:$K$1048576))</f>
        <v>0</v>
      </c>
      <c r="R155" s="30">
        <f t="shared" ca="1" si="22"/>
        <v>0</v>
      </c>
      <c r="S155" s="30"/>
      <c r="T155" s="30"/>
    </row>
    <row r="156" spans="13:20" x14ac:dyDescent="0.2">
      <c r="M156" s="229">
        <f>M134+1</f>
        <v>2017</v>
      </c>
      <c r="N156" s="74">
        <v>0.33333333333333331</v>
      </c>
      <c r="O156" s="26">
        <f>IF(N156=TIME(HOUR(N156),MINUTE(N156),SECOND(N156)),M156,O155)</f>
        <v>2017</v>
      </c>
      <c r="P156" s="26" t="str">
        <f t="shared" si="24"/>
        <v>201708:00:00</v>
      </c>
      <c r="Q156" s="25">
        <f ca="1">IF(ISERROR(AVERAGEIF(Daily!$F$9:$K$1048576,Indices!P156,Daily!$K$9:$K$1048576)),0,AVERAGEIF(Daily!$F$9:$K$1048576,Indices!P156,Daily!$K$9:$K$1048576))</f>
        <v>0</v>
      </c>
      <c r="R156" s="25">
        <f ca="1">IF(ISERROR(Q156*22/$S$112),0,Q156*22/$S$112)</f>
        <v>0</v>
      </c>
      <c r="S156" s="25">
        <f ca="1">SUM(Q156:Q177)</f>
        <v>0</v>
      </c>
      <c r="T156" s="25">
        <f ca="1">SUM(R156:R177)</f>
        <v>0</v>
      </c>
    </row>
    <row r="157" spans="13:20" x14ac:dyDescent="0.2">
      <c r="M157" s="229"/>
      <c r="N157" s="75">
        <v>0.35416666666666669</v>
      </c>
      <c r="O157" s="27">
        <f>IF(ISERROR(IF(N157=TIME(HOUR(N157),MINUTE(N157),SECOND(N157)),M157,O156)),"",O156)</f>
        <v>2017</v>
      </c>
      <c r="P157" s="27" t="str">
        <f t="shared" si="24"/>
        <v>201708:30:00</v>
      </c>
      <c r="Q157" s="29">
        <f ca="1">IF(ISERROR(AVERAGEIF(Daily!$F$9:$K$1048576,Indices!P157,Daily!$K$9:$K$1048576)),0,AVERAGEIF(Daily!$F$9:$K$1048576,Indices!P157,Daily!$K$9:$K$1048576))</f>
        <v>0</v>
      </c>
      <c r="R157" s="29">
        <f t="shared" ref="R157:R177" ca="1" si="25">IF(ISERROR(Q157*22/$S$112),0,Q157*22/$S$112)</f>
        <v>0</v>
      </c>
      <c r="S157" s="29"/>
      <c r="T157" s="29"/>
    </row>
    <row r="158" spans="13:20" x14ac:dyDescent="0.2">
      <c r="M158" s="229"/>
      <c r="N158" s="75">
        <v>0.375</v>
      </c>
      <c r="O158" s="27">
        <f t="shared" ref="O158:O177" si="26">IF(ISERROR(IF(N158=TIME(HOUR(N158),MINUTE(N158),SECOND(N158)),M158,O157)),"",O157)</f>
        <v>2017</v>
      </c>
      <c r="P158" s="27" t="str">
        <f t="shared" si="24"/>
        <v>201709:00:00</v>
      </c>
      <c r="Q158" s="29">
        <f ca="1">IF(ISERROR(AVERAGEIF(Daily!$F$9:$K$1048576,Indices!P158,Daily!$K$9:$K$1048576)),0,AVERAGEIF(Daily!$F$9:$K$1048576,Indices!P158,Daily!$K$9:$K$1048576))</f>
        <v>0</v>
      </c>
      <c r="R158" s="29">
        <f t="shared" ca="1" si="25"/>
        <v>0</v>
      </c>
      <c r="S158" s="29"/>
      <c r="T158" s="29"/>
    </row>
    <row r="159" spans="13:20" x14ac:dyDescent="0.2">
      <c r="M159" s="229"/>
      <c r="N159" s="75">
        <v>0.39583333333333331</v>
      </c>
      <c r="O159" s="27">
        <f t="shared" si="26"/>
        <v>2017</v>
      </c>
      <c r="P159" s="27" t="str">
        <f t="shared" si="24"/>
        <v>201709:30:00</v>
      </c>
      <c r="Q159" s="29">
        <f ca="1">IF(ISERROR(AVERAGEIF(Daily!$F$9:$K$1048576,Indices!P159,Daily!$K$9:$K$1048576)),0,AVERAGEIF(Daily!$F$9:$K$1048576,Indices!P159,Daily!$K$9:$K$1048576))</f>
        <v>0</v>
      </c>
      <c r="R159" s="29">
        <f t="shared" ca="1" si="25"/>
        <v>0</v>
      </c>
      <c r="S159" s="29"/>
      <c r="T159" s="29"/>
    </row>
    <row r="160" spans="13:20" x14ac:dyDescent="0.2">
      <c r="M160" s="229"/>
      <c r="N160" s="75">
        <v>0.41666666666666669</v>
      </c>
      <c r="O160" s="27">
        <f t="shared" si="26"/>
        <v>2017</v>
      </c>
      <c r="P160" s="27" t="str">
        <f t="shared" si="24"/>
        <v>201710:00:00</v>
      </c>
      <c r="Q160" s="29">
        <f ca="1">IF(ISERROR(AVERAGEIF(Daily!$F$9:$K$1048576,Indices!P160,Daily!$K$9:$K$1048576)),0,AVERAGEIF(Daily!$F$9:$K$1048576,Indices!P160,Daily!$K$9:$K$1048576))</f>
        <v>0</v>
      </c>
      <c r="R160" s="29">
        <f t="shared" ca="1" si="25"/>
        <v>0</v>
      </c>
      <c r="S160" s="29"/>
      <c r="T160" s="29"/>
    </row>
    <row r="161" spans="13:20" x14ac:dyDescent="0.2">
      <c r="M161" s="229"/>
      <c r="N161" s="75">
        <v>0.4375</v>
      </c>
      <c r="O161" s="27">
        <f t="shared" si="26"/>
        <v>2017</v>
      </c>
      <c r="P161" s="27" t="str">
        <f t="shared" si="24"/>
        <v>201710:30:00</v>
      </c>
      <c r="Q161" s="29">
        <f ca="1">IF(ISERROR(AVERAGEIF(Daily!$F$9:$K$1048576,Indices!P161,Daily!$K$9:$K$1048576)),0,AVERAGEIF(Daily!$F$9:$K$1048576,Indices!P161,Daily!$K$9:$K$1048576))</f>
        <v>0</v>
      </c>
      <c r="R161" s="29">
        <f t="shared" ca="1" si="25"/>
        <v>0</v>
      </c>
      <c r="S161" s="29"/>
      <c r="T161" s="29"/>
    </row>
    <row r="162" spans="13:20" x14ac:dyDescent="0.2">
      <c r="M162" s="229"/>
      <c r="N162" s="75">
        <v>0.45833333333333331</v>
      </c>
      <c r="O162" s="27">
        <f t="shared" si="26"/>
        <v>2017</v>
      </c>
      <c r="P162" s="27" t="str">
        <f t="shared" si="24"/>
        <v>201711:00:00</v>
      </c>
      <c r="Q162" s="29">
        <f ca="1">IF(ISERROR(AVERAGEIF(Daily!$F$9:$K$1048576,Indices!P162,Daily!$K$9:$K$1048576)),0,AVERAGEIF(Daily!$F$9:$K$1048576,Indices!P162,Daily!$K$9:$K$1048576))</f>
        <v>0</v>
      </c>
      <c r="R162" s="29">
        <f t="shared" ca="1" si="25"/>
        <v>0</v>
      </c>
      <c r="S162" s="29"/>
      <c r="T162" s="29"/>
    </row>
    <row r="163" spans="13:20" x14ac:dyDescent="0.2">
      <c r="M163" s="229"/>
      <c r="N163" s="75">
        <v>0.47916666666666669</v>
      </c>
      <c r="O163" s="27">
        <f t="shared" si="26"/>
        <v>2017</v>
      </c>
      <c r="P163" s="27" t="str">
        <f t="shared" si="24"/>
        <v>201711:30:00</v>
      </c>
      <c r="Q163" s="29">
        <f ca="1">IF(ISERROR(AVERAGEIF(Daily!$F$9:$K$1048576,Indices!P163,Daily!$K$9:$K$1048576)),0,AVERAGEIF(Daily!$F$9:$K$1048576,Indices!P163,Daily!$K$9:$K$1048576))</f>
        <v>0</v>
      </c>
      <c r="R163" s="29">
        <f t="shared" ca="1" si="25"/>
        <v>0</v>
      </c>
      <c r="S163" s="29"/>
      <c r="T163" s="29"/>
    </row>
    <row r="164" spans="13:20" x14ac:dyDescent="0.2">
      <c r="M164" s="229"/>
      <c r="N164" s="75">
        <v>0.5</v>
      </c>
      <c r="O164" s="27">
        <f t="shared" si="26"/>
        <v>2017</v>
      </c>
      <c r="P164" s="27" t="str">
        <f t="shared" si="24"/>
        <v>201712:00:00</v>
      </c>
      <c r="Q164" s="29">
        <f ca="1">IF(ISERROR(AVERAGEIF(Daily!$F$9:$K$1048576,Indices!P164,Daily!$K$9:$K$1048576)),0,AVERAGEIF(Daily!$F$9:$K$1048576,Indices!P164,Daily!$K$9:$K$1048576))</f>
        <v>0</v>
      </c>
      <c r="R164" s="29">
        <f t="shared" ca="1" si="25"/>
        <v>0</v>
      </c>
      <c r="S164" s="29"/>
      <c r="T164" s="29"/>
    </row>
    <row r="165" spans="13:20" x14ac:dyDescent="0.2">
      <c r="M165" s="229"/>
      <c r="N165" s="75">
        <v>0.52083333333333337</v>
      </c>
      <c r="O165" s="27">
        <f t="shared" si="26"/>
        <v>2017</v>
      </c>
      <c r="P165" s="27" t="str">
        <f t="shared" si="24"/>
        <v>201712:30:00</v>
      </c>
      <c r="Q165" s="29">
        <f ca="1">IF(ISERROR(AVERAGEIF(Daily!$F$9:$K$1048576,Indices!P165,Daily!$K$9:$K$1048576)),0,AVERAGEIF(Daily!$F$9:$K$1048576,Indices!P165,Daily!$K$9:$K$1048576))</f>
        <v>0</v>
      </c>
      <c r="R165" s="29">
        <f t="shared" ca="1" si="25"/>
        <v>0</v>
      </c>
      <c r="S165" s="29"/>
      <c r="T165" s="29"/>
    </row>
    <row r="166" spans="13:20" x14ac:dyDescent="0.2">
      <c r="M166" s="229"/>
      <c r="N166" s="75">
        <v>0.54166666666666663</v>
      </c>
      <c r="O166" s="27">
        <f t="shared" si="26"/>
        <v>2017</v>
      </c>
      <c r="P166" s="27" t="str">
        <f t="shared" si="24"/>
        <v>201713:00:00</v>
      </c>
      <c r="Q166" s="29">
        <f ca="1">IF(ISERROR(AVERAGEIF(Daily!$F$9:$K$1048576,Indices!P166,Daily!$K$9:$K$1048576)),0,AVERAGEIF(Daily!$F$9:$K$1048576,Indices!P166,Daily!$K$9:$K$1048576))</f>
        <v>0</v>
      </c>
      <c r="R166" s="29">
        <f t="shared" ca="1" si="25"/>
        <v>0</v>
      </c>
      <c r="S166" s="29"/>
      <c r="T166" s="29"/>
    </row>
    <row r="167" spans="13:20" x14ac:dyDescent="0.2">
      <c r="M167" s="229"/>
      <c r="N167" s="75">
        <v>0.5625</v>
      </c>
      <c r="O167" s="27">
        <f t="shared" si="26"/>
        <v>2017</v>
      </c>
      <c r="P167" s="27" t="str">
        <f t="shared" si="24"/>
        <v>201713:30:00</v>
      </c>
      <c r="Q167" s="29">
        <f ca="1">IF(ISERROR(AVERAGEIF(Daily!$F$9:$K$1048576,Indices!P167,Daily!$K$9:$K$1048576)),0,AVERAGEIF(Daily!$F$9:$K$1048576,Indices!P167,Daily!$K$9:$K$1048576))</f>
        <v>0</v>
      </c>
      <c r="R167" s="29">
        <f t="shared" ca="1" si="25"/>
        <v>0</v>
      </c>
      <c r="S167" s="29"/>
      <c r="T167" s="29"/>
    </row>
    <row r="168" spans="13:20" x14ac:dyDescent="0.2">
      <c r="M168" s="229"/>
      <c r="N168" s="75">
        <v>0.58333333333333337</v>
      </c>
      <c r="O168" s="27">
        <f t="shared" si="26"/>
        <v>2017</v>
      </c>
      <c r="P168" s="27" t="str">
        <f t="shared" si="24"/>
        <v>201714:00:00</v>
      </c>
      <c r="Q168" s="29">
        <f ca="1">IF(ISERROR(AVERAGEIF(Daily!$F$9:$K$1048576,Indices!P168,Daily!$K$9:$K$1048576)),0,AVERAGEIF(Daily!$F$9:$K$1048576,Indices!P168,Daily!$K$9:$K$1048576))</f>
        <v>0</v>
      </c>
      <c r="R168" s="29">
        <f t="shared" ca="1" si="25"/>
        <v>0</v>
      </c>
      <c r="S168" s="29"/>
      <c r="T168" s="29"/>
    </row>
    <row r="169" spans="13:20" x14ac:dyDescent="0.2">
      <c r="M169" s="229"/>
      <c r="N169" s="75">
        <v>0.60416666666666663</v>
      </c>
      <c r="O169" s="27">
        <f t="shared" si="26"/>
        <v>2017</v>
      </c>
      <c r="P169" s="27" t="str">
        <f t="shared" si="24"/>
        <v>201714:30:00</v>
      </c>
      <c r="Q169" s="29">
        <f ca="1">IF(ISERROR(AVERAGEIF(Daily!$F$9:$K$1048576,Indices!P169,Daily!$K$9:$K$1048576)),0,AVERAGEIF(Daily!$F$9:$K$1048576,Indices!P169,Daily!$K$9:$K$1048576))</f>
        <v>0</v>
      </c>
      <c r="R169" s="29">
        <f t="shared" ca="1" si="25"/>
        <v>0</v>
      </c>
      <c r="S169" s="29"/>
      <c r="T169" s="29"/>
    </row>
    <row r="170" spans="13:20" x14ac:dyDescent="0.2">
      <c r="M170" s="229"/>
      <c r="N170" s="75">
        <v>0.625</v>
      </c>
      <c r="O170" s="27">
        <f t="shared" si="26"/>
        <v>2017</v>
      </c>
      <c r="P170" s="27" t="str">
        <f t="shared" si="24"/>
        <v>201715:00:00</v>
      </c>
      <c r="Q170" s="29">
        <f ca="1">IF(ISERROR(AVERAGEIF(Daily!$F$9:$K$1048576,Indices!P170,Daily!$K$9:$K$1048576)),0,AVERAGEIF(Daily!$F$9:$K$1048576,Indices!P170,Daily!$K$9:$K$1048576))</f>
        <v>0</v>
      </c>
      <c r="R170" s="29">
        <f t="shared" ca="1" si="25"/>
        <v>0</v>
      </c>
      <c r="S170" s="29"/>
      <c r="T170" s="29"/>
    </row>
    <row r="171" spans="13:20" x14ac:dyDescent="0.2">
      <c r="M171" s="229"/>
      <c r="N171" s="75">
        <v>0.64583333333333337</v>
      </c>
      <c r="O171" s="27">
        <f t="shared" si="26"/>
        <v>2017</v>
      </c>
      <c r="P171" s="27" t="str">
        <f t="shared" si="24"/>
        <v>201715:30:00</v>
      </c>
      <c r="Q171" s="29">
        <f ca="1">IF(ISERROR(AVERAGEIF(Daily!$F$9:$K$1048576,Indices!P171,Daily!$K$9:$K$1048576)),0,AVERAGEIF(Daily!$F$9:$K$1048576,Indices!P171,Daily!$K$9:$K$1048576))</f>
        <v>0</v>
      </c>
      <c r="R171" s="29">
        <f t="shared" ca="1" si="25"/>
        <v>0</v>
      </c>
      <c r="S171" s="29"/>
      <c r="T171" s="29"/>
    </row>
    <row r="172" spans="13:20" x14ac:dyDescent="0.2">
      <c r="M172" s="229"/>
      <c r="N172" s="75">
        <v>0.66666666666666663</v>
      </c>
      <c r="O172" s="27">
        <f t="shared" si="26"/>
        <v>2017</v>
      </c>
      <c r="P172" s="27" t="str">
        <f t="shared" si="24"/>
        <v>201716:00:00</v>
      </c>
      <c r="Q172" s="29">
        <f ca="1">IF(ISERROR(AVERAGEIF(Daily!$F$9:$K$1048576,Indices!P172,Daily!$K$9:$K$1048576)),0,AVERAGEIF(Daily!$F$9:$K$1048576,Indices!P172,Daily!$K$9:$K$1048576))</f>
        <v>0</v>
      </c>
      <c r="R172" s="29">
        <f t="shared" ca="1" si="25"/>
        <v>0</v>
      </c>
      <c r="S172" s="29"/>
      <c r="T172" s="29"/>
    </row>
    <row r="173" spans="13:20" x14ac:dyDescent="0.2">
      <c r="M173" s="229"/>
      <c r="N173" s="75">
        <v>0.6875</v>
      </c>
      <c r="O173" s="27">
        <f t="shared" si="26"/>
        <v>2017</v>
      </c>
      <c r="P173" s="27" t="str">
        <f t="shared" si="24"/>
        <v>201716:30:00</v>
      </c>
      <c r="Q173" s="29">
        <f ca="1">IF(ISERROR(AVERAGEIF(Daily!$F$9:$K$1048576,Indices!P173,Daily!$K$9:$K$1048576)),0,AVERAGEIF(Daily!$F$9:$K$1048576,Indices!P173,Daily!$K$9:$K$1048576))</f>
        <v>0</v>
      </c>
      <c r="R173" s="29">
        <f t="shared" ca="1" si="25"/>
        <v>0</v>
      </c>
      <c r="S173" s="29"/>
      <c r="T173" s="29"/>
    </row>
    <row r="174" spans="13:20" x14ac:dyDescent="0.2">
      <c r="M174" s="229"/>
      <c r="N174" s="75">
        <v>0.70833333333333337</v>
      </c>
      <c r="O174" s="27">
        <f t="shared" si="26"/>
        <v>2017</v>
      </c>
      <c r="P174" s="27" t="str">
        <f t="shared" si="24"/>
        <v>201717:00:00</v>
      </c>
      <c r="Q174" s="29">
        <f ca="1">IF(ISERROR(AVERAGEIF(Daily!$F$9:$K$1048576,Indices!P174,Daily!$K$9:$K$1048576)),0,AVERAGEIF(Daily!$F$9:$K$1048576,Indices!P174,Daily!$K$9:$K$1048576))</f>
        <v>0</v>
      </c>
      <c r="R174" s="29">
        <f t="shared" ca="1" si="25"/>
        <v>0</v>
      </c>
      <c r="S174" s="29"/>
      <c r="T174" s="29"/>
    </row>
    <row r="175" spans="13:20" x14ac:dyDescent="0.2">
      <c r="M175" s="229"/>
      <c r="N175" s="75">
        <v>0.72916666666666663</v>
      </c>
      <c r="O175" s="27">
        <f t="shared" si="26"/>
        <v>2017</v>
      </c>
      <c r="P175" s="27" t="str">
        <f t="shared" si="24"/>
        <v>201717:30:00</v>
      </c>
      <c r="Q175" s="29">
        <f ca="1">IF(ISERROR(AVERAGEIF(Daily!$F$9:$K$1048576,Indices!P175,Daily!$K$9:$K$1048576)),0,AVERAGEIF(Daily!$F$9:$K$1048576,Indices!P175,Daily!$K$9:$K$1048576))</f>
        <v>0</v>
      </c>
      <c r="R175" s="29">
        <f t="shared" ca="1" si="25"/>
        <v>0</v>
      </c>
      <c r="S175" s="29"/>
      <c r="T175" s="29"/>
    </row>
    <row r="176" spans="13:20" x14ac:dyDescent="0.2">
      <c r="M176" s="229"/>
      <c r="N176" s="75">
        <v>0.75</v>
      </c>
      <c r="O176" s="27">
        <f t="shared" si="26"/>
        <v>2017</v>
      </c>
      <c r="P176" s="27" t="str">
        <f t="shared" si="24"/>
        <v>201718:00:00</v>
      </c>
      <c r="Q176" s="29">
        <f ca="1">IF(ISERROR(AVERAGEIF(Daily!$F$9:$K$1048576,Indices!P176,Daily!$K$9:$K$1048576)),0,AVERAGEIF(Daily!$F$9:$K$1048576,Indices!P176,Daily!$K$9:$K$1048576))</f>
        <v>0</v>
      </c>
      <c r="R176" s="29">
        <f t="shared" ca="1" si="25"/>
        <v>0</v>
      </c>
      <c r="S176" s="29"/>
      <c r="T176" s="29"/>
    </row>
    <row r="177" spans="13:20" ht="13.5" thickBot="1" x14ac:dyDescent="0.25">
      <c r="M177" s="230"/>
      <c r="N177" s="76">
        <v>0.77083333333333337</v>
      </c>
      <c r="O177" s="28">
        <f t="shared" si="26"/>
        <v>2017</v>
      </c>
      <c r="P177" s="28" t="str">
        <f t="shared" si="24"/>
        <v>201718:30:00</v>
      </c>
      <c r="Q177" s="30">
        <f ca="1">IF(ISERROR(AVERAGEIF(Daily!$F$9:$K$1048576,Indices!P177,Daily!$K$9:$K$1048576)),0,AVERAGEIF(Daily!$F$9:$K$1048576,Indices!P177,Daily!$K$9:$K$1048576))</f>
        <v>0</v>
      </c>
      <c r="R177" s="30">
        <f t="shared" ca="1" si="25"/>
        <v>0</v>
      </c>
      <c r="S177" s="30"/>
      <c r="T177" s="30"/>
    </row>
  </sheetData>
  <mergeCells count="17">
    <mergeCell ref="M2:M23"/>
    <mergeCell ref="M24:M45"/>
    <mergeCell ref="M46:M67"/>
    <mergeCell ref="M68:M89"/>
    <mergeCell ref="A2:A6"/>
    <mergeCell ref="A27:A31"/>
    <mergeCell ref="A7:A11"/>
    <mergeCell ref="A12:A16"/>
    <mergeCell ref="A17:A21"/>
    <mergeCell ref="A22:A26"/>
    <mergeCell ref="A37:A41"/>
    <mergeCell ref="A42:A46"/>
    <mergeCell ref="M134:M155"/>
    <mergeCell ref="M156:M177"/>
    <mergeCell ref="A32:A36"/>
    <mergeCell ref="M90:M111"/>
    <mergeCell ref="M112:M13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541"/>
  <sheetViews>
    <sheetView showGridLines="0" zoomScale="85" zoomScaleNormal="85" workbookViewId="0">
      <selection activeCell="A4" sqref="A4"/>
    </sheetView>
  </sheetViews>
  <sheetFormatPr defaultRowHeight="12.75" x14ac:dyDescent="0.2"/>
  <cols>
    <col min="1" max="1" width="12" style="1" customWidth="1"/>
    <col min="2" max="16384" width="9.140625" style="19"/>
  </cols>
  <sheetData>
    <row r="1" spans="1:24" ht="27.75" customHeight="1" x14ac:dyDescent="0.2">
      <c r="A1" s="81" t="s">
        <v>87</v>
      </c>
      <c r="B1" s="83"/>
      <c r="C1" s="83"/>
      <c r="D1" s="83"/>
      <c r="E1" s="83"/>
      <c r="F1" s="84"/>
      <c r="G1" s="84"/>
      <c r="H1" s="85"/>
      <c r="I1" s="84"/>
      <c r="J1" s="86"/>
      <c r="K1" s="86"/>
      <c r="L1" s="86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</row>
    <row r="2" spans="1:24" ht="24.75" customHeight="1" x14ac:dyDescent="0.2">
      <c r="A2" s="165" t="s">
        <v>30</v>
      </c>
    </row>
    <row r="3" spans="1:24" x14ac:dyDescent="0.2">
      <c r="A3" s="138"/>
    </row>
    <row r="4" spans="1:24" x14ac:dyDescent="0.2">
      <c r="A4" s="138"/>
    </row>
    <row r="5" spans="1:24" x14ac:dyDescent="0.2">
      <c r="A5" s="138"/>
    </row>
    <row r="6" spans="1:24" x14ac:dyDescent="0.2">
      <c r="A6" s="138"/>
    </row>
    <row r="7" spans="1:24" x14ac:dyDescent="0.2">
      <c r="A7" s="138"/>
    </row>
    <row r="8" spans="1:24" x14ac:dyDescent="0.2">
      <c r="A8" s="138"/>
    </row>
    <row r="9" spans="1:24" x14ac:dyDescent="0.2">
      <c r="A9" s="138"/>
    </row>
    <row r="10" spans="1:24" x14ac:dyDescent="0.2">
      <c r="A10" s="138"/>
    </row>
    <row r="11" spans="1:24" x14ac:dyDescent="0.2">
      <c r="A11" s="138"/>
    </row>
    <row r="12" spans="1:24" x14ac:dyDescent="0.2">
      <c r="A12" s="138"/>
    </row>
    <row r="13" spans="1:24" x14ac:dyDescent="0.2">
      <c r="A13" s="138"/>
    </row>
    <row r="14" spans="1:24" x14ac:dyDescent="0.2">
      <c r="A14" s="138"/>
    </row>
    <row r="15" spans="1:24" x14ac:dyDescent="0.2">
      <c r="A15" s="138"/>
    </row>
    <row r="16" spans="1:24" x14ac:dyDescent="0.2">
      <c r="A16" s="138"/>
    </row>
    <row r="17" spans="1:1" x14ac:dyDescent="0.2">
      <c r="A17" s="138"/>
    </row>
    <row r="18" spans="1:1" x14ac:dyDescent="0.2">
      <c r="A18" s="138"/>
    </row>
    <row r="19" spans="1:1" x14ac:dyDescent="0.2">
      <c r="A19" s="138"/>
    </row>
    <row r="20" spans="1:1" x14ac:dyDescent="0.2">
      <c r="A20" s="138"/>
    </row>
    <row r="21" spans="1:1" x14ac:dyDescent="0.2">
      <c r="A21" s="138"/>
    </row>
    <row r="22" spans="1:1" x14ac:dyDescent="0.2">
      <c r="A22" s="138"/>
    </row>
    <row r="23" spans="1:1" x14ac:dyDescent="0.2">
      <c r="A23" s="138"/>
    </row>
    <row r="24" spans="1:1" x14ac:dyDescent="0.2">
      <c r="A24" s="138"/>
    </row>
    <row r="25" spans="1:1" x14ac:dyDescent="0.2">
      <c r="A25" s="138"/>
    </row>
    <row r="26" spans="1:1" x14ac:dyDescent="0.2">
      <c r="A26" s="138"/>
    </row>
    <row r="27" spans="1:1" x14ac:dyDescent="0.2">
      <c r="A27" s="138"/>
    </row>
    <row r="28" spans="1:1" x14ac:dyDescent="0.2">
      <c r="A28" s="138"/>
    </row>
    <row r="29" spans="1:1" x14ac:dyDescent="0.2">
      <c r="A29" s="138"/>
    </row>
    <row r="30" spans="1:1" x14ac:dyDescent="0.2">
      <c r="A30" s="138"/>
    </row>
    <row r="31" spans="1:1" x14ac:dyDescent="0.2">
      <c r="A31" s="138"/>
    </row>
    <row r="32" spans="1:1" x14ac:dyDescent="0.2">
      <c r="A32" s="138"/>
    </row>
    <row r="33" spans="1:1" x14ac:dyDescent="0.2">
      <c r="A33" s="138"/>
    </row>
    <row r="34" spans="1:1" x14ac:dyDescent="0.2">
      <c r="A34" s="138"/>
    </row>
    <row r="35" spans="1:1" x14ac:dyDescent="0.2">
      <c r="A35" s="138"/>
    </row>
    <row r="36" spans="1:1" x14ac:dyDescent="0.2">
      <c r="A36" s="138"/>
    </row>
    <row r="37" spans="1:1" x14ac:dyDescent="0.2">
      <c r="A37" s="138"/>
    </row>
    <row r="38" spans="1:1" x14ac:dyDescent="0.2">
      <c r="A38" s="138"/>
    </row>
    <row r="39" spans="1:1" x14ac:dyDescent="0.2">
      <c r="A39" s="138"/>
    </row>
    <row r="40" spans="1:1" x14ac:dyDescent="0.2">
      <c r="A40" s="138"/>
    </row>
    <row r="41" spans="1:1" x14ac:dyDescent="0.2">
      <c r="A41" s="138"/>
    </row>
    <row r="42" spans="1:1" x14ac:dyDescent="0.2">
      <c r="A42" s="138"/>
    </row>
    <row r="43" spans="1:1" x14ac:dyDescent="0.2">
      <c r="A43" s="138"/>
    </row>
    <row r="44" spans="1:1" x14ac:dyDescent="0.2">
      <c r="A44" s="138"/>
    </row>
    <row r="45" spans="1:1" x14ac:dyDescent="0.2">
      <c r="A45" s="138"/>
    </row>
    <row r="46" spans="1:1" x14ac:dyDescent="0.2">
      <c r="A46" s="138"/>
    </row>
    <row r="47" spans="1:1" x14ac:dyDescent="0.2">
      <c r="A47" s="138"/>
    </row>
    <row r="48" spans="1:1" x14ac:dyDescent="0.2">
      <c r="A48" s="138"/>
    </row>
    <row r="49" spans="1:1" x14ac:dyDescent="0.2">
      <c r="A49" s="138"/>
    </row>
    <row r="50" spans="1:1" x14ac:dyDescent="0.2">
      <c r="A50" s="138"/>
    </row>
    <row r="51" spans="1:1" x14ac:dyDescent="0.2">
      <c r="A51" s="138"/>
    </row>
    <row r="52" spans="1:1" x14ac:dyDescent="0.2">
      <c r="A52" s="138"/>
    </row>
    <row r="53" spans="1:1" x14ac:dyDescent="0.2">
      <c r="A53" s="138"/>
    </row>
    <row r="54" spans="1:1" x14ac:dyDescent="0.2">
      <c r="A54" s="138"/>
    </row>
    <row r="55" spans="1:1" x14ac:dyDescent="0.2">
      <c r="A55" s="138"/>
    </row>
    <row r="56" spans="1:1" x14ac:dyDescent="0.2">
      <c r="A56" s="138"/>
    </row>
    <row r="57" spans="1:1" x14ac:dyDescent="0.2">
      <c r="A57" s="138"/>
    </row>
    <row r="58" spans="1:1" x14ac:dyDescent="0.2">
      <c r="A58" s="138"/>
    </row>
    <row r="59" spans="1:1" x14ac:dyDescent="0.2">
      <c r="A59" s="138"/>
    </row>
    <row r="60" spans="1:1" x14ac:dyDescent="0.2">
      <c r="A60" s="138"/>
    </row>
    <row r="61" spans="1:1" x14ac:dyDescent="0.2">
      <c r="A61" s="138"/>
    </row>
    <row r="62" spans="1:1" x14ac:dyDescent="0.2">
      <c r="A62" s="138"/>
    </row>
    <row r="63" spans="1:1" x14ac:dyDescent="0.2">
      <c r="A63" s="138"/>
    </row>
    <row r="64" spans="1:1" x14ac:dyDescent="0.2">
      <c r="A64" s="138"/>
    </row>
    <row r="65" spans="1:1" x14ac:dyDescent="0.2">
      <c r="A65" s="138"/>
    </row>
    <row r="66" spans="1:1" x14ac:dyDescent="0.2">
      <c r="A66" s="138"/>
    </row>
    <row r="67" spans="1:1" x14ac:dyDescent="0.2">
      <c r="A67" s="138"/>
    </row>
    <row r="68" spans="1:1" x14ac:dyDescent="0.2">
      <c r="A68" s="138"/>
    </row>
    <row r="69" spans="1:1" x14ac:dyDescent="0.2">
      <c r="A69" s="138"/>
    </row>
    <row r="70" spans="1:1" x14ac:dyDescent="0.2">
      <c r="A70" s="138"/>
    </row>
    <row r="71" spans="1:1" x14ac:dyDescent="0.2">
      <c r="A71" s="138"/>
    </row>
    <row r="72" spans="1:1" x14ac:dyDescent="0.2">
      <c r="A72" s="138"/>
    </row>
    <row r="73" spans="1:1" x14ac:dyDescent="0.2">
      <c r="A73" s="138"/>
    </row>
    <row r="74" spans="1:1" x14ac:dyDescent="0.2">
      <c r="A74" s="138"/>
    </row>
    <row r="75" spans="1:1" x14ac:dyDescent="0.2">
      <c r="A75" s="138"/>
    </row>
    <row r="76" spans="1:1" x14ac:dyDescent="0.2">
      <c r="A76" s="138"/>
    </row>
    <row r="77" spans="1:1" x14ac:dyDescent="0.2">
      <c r="A77" s="138"/>
    </row>
    <row r="78" spans="1:1" x14ac:dyDescent="0.2">
      <c r="A78" s="138"/>
    </row>
    <row r="79" spans="1:1" x14ac:dyDescent="0.2">
      <c r="A79" s="138"/>
    </row>
    <row r="80" spans="1:1" x14ac:dyDescent="0.2">
      <c r="A80" s="138"/>
    </row>
    <row r="81" spans="1:1" x14ac:dyDescent="0.2">
      <c r="A81" s="138"/>
    </row>
    <row r="82" spans="1:1" x14ac:dyDescent="0.2">
      <c r="A82" s="138"/>
    </row>
    <row r="83" spans="1:1" x14ac:dyDescent="0.2">
      <c r="A83" s="138"/>
    </row>
    <row r="84" spans="1:1" x14ac:dyDescent="0.2">
      <c r="A84" s="138"/>
    </row>
    <row r="85" spans="1:1" x14ac:dyDescent="0.2">
      <c r="A85" s="138"/>
    </row>
    <row r="86" spans="1:1" x14ac:dyDescent="0.2">
      <c r="A86" s="138"/>
    </row>
    <row r="87" spans="1:1" x14ac:dyDescent="0.2">
      <c r="A87" s="138"/>
    </row>
    <row r="88" spans="1:1" x14ac:dyDescent="0.2">
      <c r="A88" s="138"/>
    </row>
    <row r="89" spans="1:1" x14ac:dyDescent="0.2">
      <c r="A89" s="138"/>
    </row>
    <row r="90" spans="1:1" x14ac:dyDescent="0.2">
      <c r="A90" s="138"/>
    </row>
    <row r="91" spans="1:1" x14ac:dyDescent="0.2">
      <c r="A91" s="138"/>
    </row>
    <row r="92" spans="1:1" x14ac:dyDescent="0.2">
      <c r="A92" s="138"/>
    </row>
    <row r="93" spans="1:1" x14ac:dyDescent="0.2">
      <c r="A93" s="138"/>
    </row>
    <row r="94" spans="1:1" x14ac:dyDescent="0.2">
      <c r="A94" s="138"/>
    </row>
    <row r="95" spans="1:1" x14ac:dyDescent="0.2">
      <c r="A95" s="138"/>
    </row>
    <row r="96" spans="1:1" x14ac:dyDescent="0.2">
      <c r="A96" s="138"/>
    </row>
    <row r="97" spans="1:1" x14ac:dyDescent="0.2">
      <c r="A97" s="138"/>
    </row>
    <row r="98" spans="1:1" x14ac:dyDescent="0.2">
      <c r="A98" s="138"/>
    </row>
    <row r="99" spans="1:1" x14ac:dyDescent="0.2">
      <c r="A99" s="138"/>
    </row>
    <row r="100" spans="1:1" x14ac:dyDescent="0.2">
      <c r="A100" s="138"/>
    </row>
    <row r="101" spans="1:1" x14ac:dyDescent="0.2">
      <c r="A101" s="138"/>
    </row>
    <row r="102" spans="1:1" x14ac:dyDescent="0.2">
      <c r="A102" s="138"/>
    </row>
    <row r="103" spans="1:1" x14ac:dyDescent="0.2">
      <c r="A103" s="138"/>
    </row>
    <row r="104" spans="1:1" x14ac:dyDescent="0.2">
      <c r="A104" s="138"/>
    </row>
    <row r="105" spans="1:1" x14ac:dyDescent="0.2">
      <c r="A105" s="138"/>
    </row>
    <row r="106" spans="1:1" x14ac:dyDescent="0.2">
      <c r="A106" s="138"/>
    </row>
    <row r="107" spans="1:1" x14ac:dyDescent="0.2">
      <c r="A107" s="138"/>
    </row>
    <row r="108" spans="1:1" x14ac:dyDescent="0.2">
      <c r="A108" s="138"/>
    </row>
    <row r="109" spans="1:1" x14ac:dyDescent="0.2">
      <c r="A109" s="138"/>
    </row>
    <row r="110" spans="1:1" x14ac:dyDescent="0.2">
      <c r="A110" s="138"/>
    </row>
    <row r="111" spans="1:1" x14ac:dyDescent="0.2">
      <c r="A111" s="138"/>
    </row>
    <row r="112" spans="1:1" x14ac:dyDescent="0.2">
      <c r="A112" s="138"/>
    </row>
    <row r="113" spans="1:1" x14ac:dyDescent="0.2">
      <c r="A113" s="138"/>
    </row>
    <row r="114" spans="1:1" x14ac:dyDescent="0.2">
      <c r="A114" s="138"/>
    </row>
    <row r="115" spans="1:1" x14ac:dyDescent="0.2">
      <c r="A115" s="138"/>
    </row>
    <row r="116" spans="1:1" x14ac:dyDescent="0.2">
      <c r="A116" s="138"/>
    </row>
    <row r="117" spans="1:1" x14ac:dyDescent="0.2">
      <c r="A117" s="138"/>
    </row>
    <row r="118" spans="1:1" x14ac:dyDescent="0.2">
      <c r="A118" s="138"/>
    </row>
    <row r="119" spans="1:1" x14ac:dyDescent="0.2">
      <c r="A119" s="138"/>
    </row>
    <row r="120" spans="1:1" x14ac:dyDescent="0.2">
      <c r="A120" s="138"/>
    </row>
    <row r="121" spans="1:1" x14ac:dyDescent="0.2">
      <c r="A121" s="138"/>
    </row>
    <row r="122" spans="1:1" x14ac:dyDescent="0.2">
      <c r="A122" s="138"/>
    </row>
    <row r="123" spans="1:1" x14ac:dyDescent="0.2">
      <c r="A123" s="138"/>
    </row>
    <row r="124" spans="1:1" x14ac:dyDescent="0.2">
      <c r="A124" s="138"/>
    </row>
    <row r="125" spans="1:1" x14ac:dyDescent="0.2">
      <c r="A125" s="138"/>
    </row>
    <row r="126" spans="1:1" x14ac:dyDescent="0.2">
      <c r="A126" s="138"/>
    </row>
    <row r="127" spans="1:1" x14ac:dyDescent="0.2">
      <c r="A127" s="138"/>
    </row>
    <row r="128" spans="1:1" x14ac:dyDescent="0.2">
      <c r="A128" s="138"/>
    </row>
    <row r="129" spans="1:1" x14ac:dyDescent="0.2">
      <c r="A129" s="138"/>
    </row>
    <row r="130" spans="1:1" x14ac:dyDescent="0.2">
      <c r="A130" s="138"/>
    </row>
    <row r="131" spans="1:1" x14ac:dyDescent="0.2">
      <c r="A131" s="138"/>
    </row>
    <row r="132" spans="1:1" x14ac:dyDescent="0.2">
      <c r="A132" s="138"/>
    </row>
    <row r="133" spans="1:1" x14ac:dyDescent="0.2">
      <c r="A133" s="138"/>
    </row>
    <row r="134" spans="1:1" x14ac:dyDescent="0.2">
      <c r="A134" s="138"/>
    </row>
    <row r="135" spans="1:1" x14ac:dyDescent="0.2">
      <c r="A135" s="138"/>
    </row>
    <row r="136" spans="1:1" x14ac:dyDescent="0.2">
      <c r="A136" s="138"/>
    </row>
    <row r="137" spans="1:1" x14ac:dyDescent="0.2">
      <c r="A137" s="138"/>
    </row>
    <row r="138" spans="1:1" x14ac:dyDescent="0.2">
      <c r="A138" s="138"/>
    </row>
    <row r="139" spans="1:1" x14ac:dyDescent="0.2">
      <c r="A139" s="138"/>
    </row>
    <row r="140" spans="1:1" x14ac:dyDescent="0.2">
      <c r="A140" s="138"/>
    </row>
    <row r="141" spans="1:1" x14ac:dyDescent="0.2">
      <c r="A141" s="138"/>
    </row>
    <row r="142" spans="1:1" x14ac:dyDescent="0.2">
      <c r="A142" s="138"/>
    </row>
    <row r="143" spans="1:1" x14ac:dyDescent="0.2">
      <c r="A143" s="138"/>
    </row>
    <row r="144" spans="1:1" x14ac:dyDescent="0.2">
      <c r="A144" s="138"/>
    </row>
    <row r="145" spans="1:1" x14ac:dyDescent="0.2">
      <c r="A145" s="138"/>
    </row>
    <row r="146" spans="1:1" x14ac:dyDescent="0.2">
      <c r="A146" s="138"/>
    </row>
    <row r="147" spans="1:1" x14ac:dyDescent="0.2">
      <c r="A147" s="138"/>
    </row>
    <row r="148" spans="1:1" x14ac:dyDescent="0.2">
      <c r="A148" s="138"/>
    </row>
    <row r="149" spans="1:1" x14ac:dyDescent="0.2">
      <c r="A149" s="138"/>
    </row>
    <row r="150" spans="1:1" x14ac:dyDescent="0.2">
      <c r="A150" s="138"/>
    </row>
    <row r="151" spans="1:1" x14ac:dyDescent="0.2">
      <c r="A151" s="138"/>
    </row>
    <row r="152" spans="1:1" x14ac:dyDescent="0.2">
      <c r="A152" s="138"/>
    </row>
    <row r="153" spans="1:1" x14ac:dyDescent="0.2">
      <c r="A153" s="138"/>
    </row>
    <row r="154" spans="1:1" x14ac:dyDescent="0.2">
      <c r="A154" s="138"/>
    </row>
    <row r="155" spans="1:1" x14ac:dyDescent="0.2">
      <c r="A155" s="138"/>
    </row>
    <row r="156" spans="1:1" x14ac:dyDescent="0.2">
      <c r="A156" s="138"/>
    </row>
    <row r="157" spans="1:1" x14ac:dyDescent="0.2">
      <c r="A157" s="138"/>
    </row>
    <row r="158" spans="1:1" x14ac:dyDescent="0.2">
      <c r="A158" s="138"/>
    </row>
    <row r="159" spans="1:1" x14ac:dyDescent="0.2">
      <c r="A159" s="138"/>
    </row>
    <row r="160" spans="1:1" x14ac:dyDescent="0.2">
      <c r="A160" s="138"/>
    </row>
    <row r="161" spans="1:1" x14ac:dyDescent="0.2">
      <c r="A161" s="138"/>
    </row>
    <row r="162" spans="1:1" x14ac:dyDescent="0.2">
      <c r="A162" s="138"/>
    </row>
    <row r="163" spans="1:1" x14ac:dyDescent="0.2">
      <c r="A163" s="138"/>
    </row>
    <row r="164" spans="1:1" x14ac:dyDescent="0.2">
      <c r="A164" s="138"/>
    </row>
    <row r="165" spans="1:1" x14ac:dyDescent="0.2">
      <c r="A165" s="138"/>
    </row>
    <row r="166" spans="1:1" x14ac:dyDescent="0.2">
      <c r="A166" s="138"/>
    </row>
    <row r="167" spans="1:1" x14ac:dyDescent="0.2">
      <c r="A167" s="138"/>
    </row>
    <row r="168" spans="1:1" x14ac:dyDescent="0.2">
      <c r="A168" s="138"/>
    </row>
    <row r="169" spans="1:1" x14ac:dyDescent="0.2">
      <c r="A169" s="138"/>
    </row>
    <row r="170" spans="1:1" x14ac:dyDescent="0.2">
      <c r="A170" s="138"/>
    </row>
    <row r="171" spans="1:1" x14ac:dyDescent="0.2">
      <c r="A171" s="138"/>
    </row>
    <row r="172" spans="1:1" x14ac:dyDescent="0.2">
      <c r="A172" s="138"/>
    </row>
    <row r="173" spans="1:1" x14ac:dyDescent="0.2">
      <c r="A173" s="138"/>
    </row>
    <row r="174" spans="1:1" x14ac:dyDescent="0.2">
      <c r="A174" s="138"/>
    </row>
    <row r="175" spans="1:1" x14ac:dyDescent="0.2">
      <c r="A175" s="138"/>
    </row>
    <row r="176" spans="1:1" x14ac:dyDescent="0.2">
      <c r="A176" s="138"/>
    </row>
    <row r="177" spans="1:1" x14ac:dyDescent="0.2">
      <c r="A177" s="138"/>
    </row>
    <row r="178" spans="1:1" x14ac:dyDescent="0.2">
      <c r="A178" s="138"/>
    </row>
    <row r="179" spans="1:1" x14ac:dyDescent="0.2">
      <c r="A179" s="138"/>
    </row>
    <row r="180" spans="1:1" x14ac:dyDescent="0.2">
      <c r="A180" s="138"/>
    </row>
    <row r="181" spans="1:1" x14ac:dyDescent="0.2">
      <c r="A181" s="138"/>
    </row>
    <row r="182" spans="1:1" x14ac:dyDescent="0.2">
      <c r="A182" s="138"/>
    </row>
    <row r="183" spans="1:1" x14ac:dyDescent="0.2">
      <c r="A183" s="138"/>
    </row>
    <row r="184" spans="1:1" x14ac:dyDescent="0.2">
      <c r="A184" s="138"/>
    </row>
    <row r="185" spans="1:1" x14ac:dyDescent="0.2">
      <c r="A185" s="138"/>
    </row>
    <row r="186" spans="1:1" x14ac:dyDescent="0.2">
      <c r="A186" s="138"/>
    </row>
    <row r="187" spans="1:1" x14ac:dyDescent="0.2">
      <c r="A187" s="138"/>
    </row>
    <row r="188" spans="1:1" x14ac:dyDescent="0.2">
      <c r="A188" s="138"/>
    </row>
    <row r="189" spans="1:1" x14ac:dyDescent="0.2">
      <c r="A189" s="138"/>
    </row>
    <row r="190" spans="1:1" x14ac:dyDescent="0.2">
      <c r="A190" s="138"/>
    </row>
    <row r="191" spans="1:1" x14ac:dyDescent="0.2">
      <c r="A191" s="138"/>
    </row>
    <row r="192" spans="1:1" x14ac:dyDescent="0.2">
      <c r="A192" s="138"/>
    </row>
    <row r="193" spans="1:1" x14ac:dyDescent="0.2">
      <c r="A193" s="138"/>
    </row>
    <row r="194" spans="1:1" x14ac:dyDescent="0.2">
      <c r="A194" s="138"/>
    </row>
    <row r="195" spans="1:1" x14ac:dyDescent="0.2">
      <c r="A195" s="138"/>
    </row>
    <row r="196" spans="1:1" x14ac:dyDescent="0.2">
      <c r="A196" s="138"/>
    </row>
    <row r="197" spans="1:1" x14ac:dyDescent="0.2">
      <c r="A197" s="138"/>
    </row>
    <row r="198" spans="1:1" x14ac:dyDescent="0.2">
      <c r="A198" s="138"/>
    </row>
    <row r="199" spans="1:1" x14ac:dyDescent="0.2">
      <c r="A199" s="138"/>
    </row>
    <row r="200" spans="1:1" x14ac:dyDescent="0.2">
      <c r="A200" s="138"/>
    </row>
    <row r="201" spans="1:1" x14ac:dyDescent="0.2">
      <c r="A201" s="138"/>
    </row>
    <row r="202" spans="1:1" x14ac:dyDescent="0.2">
      <c r="A202" s="138"/>
    </row>
    <row r="203" spans="1:1" x14ac:dyDescent="0.2">
      <c r="A203" s="138"/>
    </row>
    <row r="204" spans="1:1" x14ac:dyDescent="0.2">
      <c r="A204" s="138"/>
    </row>
    <row r="205" spans="1:1" x14ac:dyDescent="0.2">
      <c r="A205" s="138"/>
    </row>
    <row r="206" spans="1:1" x14ac:dyDescent="0.2">
      <c r="A206" s="138"/>
    </row>
    <row r="207" spans="1:1" x14ac:dyDescent="0.2">
      <c r="A207" s="138"/>
    </row>
    <row r="208" spans="1:1" x14ac:dyDescent="0.2">
      <c r="A208" s="138"/>
    </row>
    <row r="209" spans="1:1" x14ac:dyDescent="0.2">
      <c r="A209" s="138"/>
    </row>
    <row r="210" spans="1:1" x14ac:dyDescent="0.2">
      <c r="A210" s="138"/>
    </row>
    <row r="211" spans="1:1" x14ac:dyDescent="0.2">
      <c r="A211" s="138"/>
    </row>
    <row r="212" spans="1:1" x14ac:dyDescent="0.2">
      <c r="A212" s="138"/>
    </row>
    <row r="213" spans="1:1" x14ac:dyDescent="0.2">
      <c r="A213" s="138"/>
    </row>
    <row r="214" spans="1:1" x14ac:dyDescent="0.2">
      <c r="A214" s="138"/>
    </row>
    <row r="215" spans="1:1" x14ac:dyDescent="0.2">
      <c r="A215" s="138"/>
    </row>
    <row r="216" spans="1:1" x14ac:dyDescent="0.2">
      <c r="A216" s="138"/>
    </row>
    <row r="217" spans="1:1" x14ac:dyDescent="0.2">
      <c r="A217" s="138"/>
    </row>
    <row r="218" spans="1:1" x14ac:dyDescent="0.2">
      <c r="A218" s="138"/>
    </row>
    <row r="219" spans="1:1" x14ac:dyDescent="0.2">
      <c r="A219" s="138"/>
    </row>
    <row r="220" spans="1:1" x14ac:dyDescent="0.2">
      <c r="A220" s="138"/>
    </row>
    <row r="221" spans="1:1" x14ac:dyDescent="0.2">
      <c r="A221" s="138"/>
    </row>
    <row r="222" spans="1:1" x14ac:dyDescent="0.2">
      <c r="A222" s="138"/>
    </row>
    <row r="223" spans="1:1" x14ac:dyDescent="0.2">
      <c r="A223" s="138"/>
    </row>
    <row r="224" spans="1:1" x14ac:dyDescent="0.2">
      <c r="A224" s="138"/>
    </row>
    <row r="225" spans="1:1" x14ac:dyDescent="0.2">
      <c r="A225" s="138"/>
    </row>
    <row r="226" spans="1:1" x14ac:dyDescent="0.2">
      <c r="A226" s="138"/>
    </row>
    <row r="227" spans="1:1" x14ac:dyDescent="0.2">
      <c r="A227" s="138"/>
    </row>
    <row r="228" spans="1:1" x14ac:dyDescent="0.2">
      <c r="A228" s="138"/>
    </row>
    <row r="229" spans="1:1" x14ac:dyDescent="0.2">
      <c r="A229" s="138"/>
    </row>
    <row r="230" spans="1:1" x14ac:dyDescent="0.2">
      <c r="A230" s="138"/>
    </row>
    <row r="231" spans="1:1" x14ac:dyDescent="0.2">
      <c r="A231" s="138"/>
    </row>
    <row r="232" spans="1:1" x14ac:dyDescent="0.2">
      <c r="A232" s="138"/>
    </row>
    <row r="233" spans="1:1" x14ac:dyDescent="0.2">
      <c r="A233" s="138"/>
    </row>
    <row r="234" spans="1:1" x14ac:dyDescent="0.2">
      <c r="A234" s="138"/>
    </row>
    <row r="235" spans="1:1" x14ac:dyDescent="0.2">
      <c r="A235" s="138"/>
    </row>
    <row r="236" spans="1:1" x14ac:dyDescent="0.2">
      <c r="A236" s="138"/>
    </row>
    <row r="237" spans="1:1" x14ac:dyDescent="0.2">
      <c r="A237" s="138"/>
    </row>
    <row r="238" spans="1:1" x14ac:dyDescent="0.2">
      <c r="A238" s="138"/>
    </row>
    <row r="239" spans="1:1" x14ac:dyDescent="0.2">
      <c r="A239" s="138"/>
    </row>
    <row r="240" spans="1:1" x14ac:dyDescent="0.2">
      <c r="A240" s="138"/>
    </row>
    <row r="241" spans="1:1" x14ac:dyDescent="0.2">
      <c r="A241" s="138"/>
    </row>
    <row r="242" spans="1:1" x14ac:dyDescent="0.2">
      <c r="A242" s="138"/>
    </row>
    <row r="243" spans="1:1" x14ac:dyDescent="0.2">
      <c r="A243" s="138"/>
    </row>
    <row r="244" spans="1:1" x14ac:dyDescent="0.2">
      <c r="A244" s="138"/>
    </row>
    <row r="245" spans="1:1" x14ac:dyDescent="0.2">
      <c r="A245" s="138"/>
    </row>
    <row r="246" spans="1:1" x14ac:dyDescent="0.2">
      <c r="A246" s="138"/>
    </row>
    <row r="247" spans="1:1" x14ac:dyDescent="0.2">
      <c r="A247" s="138"/>
    </row>
    <row r="248" spans="1:1" x14ac:dyDescent="0.2">
      <c r="A248" s="138"/>
    </row>
    <row r="249" spans="1:1" x14ac:dyDescent="0.2">
      <c r="A249" s="138"/>
    </row>
    <row r="250" spans="1:1" x14ac:dyDescent="0.2">
      <c r="A250" s="138"/>
    </row>
    <row r="251" spans="1:1" x14ac:dyDescent="0.2">
      <c r="A251" s="138"/>
    </row>
    <row r="252" spans="1:1" x14ac:dyDescent="0.2">
      <c r="A252" s="138"/>
    </row>
    <row r="253" spans="1:1" x14ac:dyDescent="0.2">
      <c r="A253" s="138"/>
    </row>
    <row r="254" spans="1:1" x14ac:dyDescent="0.2">
      <c r="A254" s="138"/>
    </row>
    <row r="255" spans="1:1" x14ac:dyDescent="0.2">
      <c r="A255" s="138"/>
    </row>
    <row r="256" spans="1:1" x14ac:dyDescent="0.2">
      <c r="A256" s="138"/>
    </row>
    <row r="257" spans="1:1" x14ac:dyDescent="0.2">
      <c r="A257" s="138"/>
    </row>
    <row r="258" spans="1:1" x14ac:dyDescent="0.2">
      <c r="A258" s="138"/>
    </row>
    <row r="259" spans="1:1" x14ac:dyDescent="0.2">
      <c r="A259" s="138"/>
    </row>
    <row r="260" spans="1:1" x14ac:dyDescent="0.2">
      <c r="A260" s="138"/>
    </row>
    <row r="261" spans="1:1" x14ac:dyDescent="0.2">
      <c r="A261" s="138"/>
    </row>
    <row r="262" spans="1:1" x14ac:dyDescent="0.2">
      <c r="A262" s="138"/>
    </row>
    <row r="263" spans="1:1" x14ac:dyDescent="0.2">
      <c r="A263" s="138"/>
    </row>
    <row r="264" spans="1:1" x14ac:dyDescent="0.2">
      <c r="A264" s="138"/>
    </row>
    <row r="265" spans="1:1" x14ac:dyDescent="0.2">
      <c r="A265" s="138"/>
    </row>
    <row r="266" spans="1:1" x14ac:dyDescent="0.2">
      <c r="A266" s="138"/>
    </row>
    <row r="267" spans="1:1" x14ac:dyDescent="0.2">
      <c r="A267" s="138"/>
    </row>
    <row r="268" spans="1:1" x14ac:dyDescent="0.2">
      <c r="A268" s="138"/>
    </row>
    <row r="269" spans="1:1" x14ac:dyDescent="0.2">
      <c r="A269" s="138"/>
    </row>
    <row r="270" spans="1:1" x14ac:dyDescent="0.2">
      <c r="A270" s="138"/>
    </row>
    <row r="271" spans="1:1" x14ac:dyDescent="0.2">
      <c r="A271" s="138"/>
    </row>
    <row r="272" spans="1:1" x14ac:dyDescent="0.2">
      <c r="A272" s="138"/>
    </row>
    <row r="273" spans="1:1" x14ac:dyDescent="0.2">
      <c r="A273" s="138"/>
    </row>
    <row r="274" spans="1:1" x14ac:dyDescent="0.2">
      <c r="A274" s="138"/>
    </row>
    <row r="275" spans="1:1" x14ac:dyDescent="0.2">
      <c r="A275" s="138"/>
    </row>
    <row r="276" spans="1:1" x14ac:dyDescent="0.2">
      <c r="A276" s="138"/>
    </row>
    <row r="277" spans="1:1" x14ac:dyDescent="0.2">
      <c r="A277" s="138"/>
    </row>
    <row r="278" spans="1:1" x14ac:dyDescent="0.2">
      <c r="A278" s="138"/>
    </row>
    <row r="279" spans="1:1" x14ac:dyDescent="0.2">
      <c r="A279" s="138"/>
    </row>
    <row r="280" spans="1:1" x14ac:dyDescent="0.2">
      <c r="A280" s="138"/>
    </row>
    <row r="281" spans="1:1" x14ac:dyDescent="0.2">
      <c r="A281" s="138"/>
    </row>
    <row r="282" spans="1:1" x14ac:dyDescent="0.2">
      <c r="A282" s="138"/>
    </row>
    <row r="283" spans="1:1" x14ac:dyDescent="0.2">
      <c r="A283" s="138"/>
    </row>
    <row r="284" spans="1:1" x14ac:dyDescent="0.2">
      <c r="A284" s="138"/>
    </row>
    <row r="285" spans="1:1" x14ac:dyDescent="0.2">
      <c r="A285" s="138"/>
    </row>
    <row r="286" spans="1:1" x14ac:dyDescent="0.2">
      <c r="A286" s="138"/>
    </row>
    <row r="287" spans="1:1" x14ac:dyDescent="0.2">
      <c r="A287" s="138"/>
    </row>
    <row r="288" spans="1:1" x14ac:dyDescent="0.2">
      <c r="A288" s="138"/>
    </row>
    <row r="289" spans="1:1" x14ac:dyDescent="0.2">
      <c r="A289" s="138"/>
    </row>
    <row r="290" spans="1:1" x14ac:dyDescent="0.2">
      <c r="A290" s="138"/>
    </row>
    <row r="291" spans="1:1" x14ac:dyDescent="0.2">
      <c r="A291" s="138"/>
    </row>
    <row r="292" spans="1:1" x14ac:dyDescent="0.2">
      <c r="A292" s="138"/>
    </row>
    <row r="293" spans="1:1" x14ac:dyDescent="0.2">
      <c r="A293" s="138"/>
    </row>
    <row r="294" spans="1:1" x14ac:dyDescent="0.2">
      <c r="A294" s="138"/>
    </row>
    <row r="295" spans="1:1" x14ac:dyDescent="0.2">
      <c r="A295" s="138"/>
    </row>
    <row r="296" spans="1:1" x14ac:dyDescent="0.2">
      <c r="A296" s="138"/>
    </row>
    <row r="297" spans="1:1" x14ac:dyDescent="0.2">
      <c r="A297" s="138"/>
    </row>
    <row r="298" spans="1:1" x14ac:dyDescent="0.2">
      <c r="A298" s="138"/>
    </row>
    <row r="299" spans="1:1" x14ac:dyDescent="0.2">
      <c r="A299" s="138"/>
    </row>
    <row r="300" spans="1:1" x14ac:dyDescent="0.2">
      <c r="A300" s="138"/>
    </row>
    <row r="301" spans="1:1" x14ac:dyDescent="0.2">
      <c r="A301" s="138"/>
    </row>
    <row r="302" spans="1:1" x14ac:dyDescent="0.2">
      <c r="A302" s="138"/>
    </row>
    <row r="303" spans="1:1" x14ac:dyDescent="0.2">
      <c r="A303" s="138"/>
    </row>
    <row r="304" spans="1:1" x14ac:dyDescent="0.2">
      <c r="A304" s="138"/>
    </row>
    <row r="305" spans="1:1" x14ac:dyDescent="0.2">
      <c r="A305" s="138"/>
    </row>
    <row r="306" spans="1:1" x14ac:dyDescent="0.2">
      <c r="A306" s="138"/>
    </row>
    <row r="307" spans="1:1" x14ac:dyDescent="0.2">
      <c r="A307" s="138"/>
    </row>
    <row r="308" spans="1:1" x14ac:dyDescent="0.2">
      <c r="A308" s="138"/>
    </row>
    <row r="309" spans="1:1" x14ac:dyDescent="0.2">
      <c r="A309" s="138"/>
    </row>
    <row r="310" spans="1:1" x14ac:dyDescent="0.2">
      <c r="A310" s="138"/>
    </row>
    <row r="311" spans="1:1" x14ac:dyDescent="0.2">
      <c r="A311" s="138"/>
    </row>
    <row r="312" spans="1:1" x14ac:dyDescent="0.2">
      <c r="A312" s="138"/>
    </row>
    <row r="313" spans="1:1" x14ac:dyDescent="0.2">
      <c r="A313" s="138"/>
    </row>
    <row r="314" spans="1:1" x14ac:dyDescent="0.2">
      <c r="A314" s="138"/>
    </row>
    <row r="315" spans="1:1" x14ac:dyDescent="0.2">
      <c r="A315" s="138"/>
    </row>
    <row r="316" spans="1:1" x14ac:dyDescent="0.2">
      <c r="A316" s="138"/>
    </row>
    <row r="317" spans="1:1" x14ac:dyDescent="0.2">
      <c r="A317" s="138"/>
    </row>
    <row r="318" spans="1:1" x14ac:dyDescent="0.2">
      <c r="A318" s="138"/>
    </row>
    <row r="319" spans="1:1" x14ac:dyDescent="0.2">
      <c r="A319" s="138"/>
    </row>
    <row r="320" spans="1:1" x14ac:dyDescent="0.2">
      <c r="A320" s="138"/>
    </row>
    <row r="321" spans="1:1" x14ac:dyDescent="0.2">
      <c r="A321" s="138"/>
    </row>
    <row r="322" spans="1:1" x14ac:dyDescent="0.2">
      <c r="A322" s="138"/>
    </row>
    <row r="323" spans="1:1" x14ac:dyDescent="0.2">
      <c r="A323" s="138"/>
    </row>
    <row r="324" spans="1:1" x14ac:dyDescent="0.2">
      <c r="A324" s="138"/>
    </row>
    <row r="325" spans="1:1" x14ac:dyDescent="0.2">
      <c r="A325" s="138"/>
    </row>
    <row r="326" spans="1:1" x14ac:dyDescent="0.2">
      <c r="A326" s="138"/>
    </row>
    <row r="327" spans="1:1" x14ac:dyDescent="0.2">
      <c r="A327" s="138"/>
    </row>
    <row r="328" spans="1:1" x14ac:dyDescent="0.2">
      <c r="A328" s="138"/>
    </row>
    <row r="329" spans="1:1" x14ac:dyDescent="0.2">
      <c r="A329" s="138"/>
    </row>
    <row r="330" spans="1:1" x14ac:dyDescent="0.2">
      <c r="A330" s="138"/>
    </row>
    <row r="331" spans="1:1" x14ac:dyDescent="0.2">
      <c r="A331" s="138"/>
    </row>
    <row r="332" spans="1:1" x14ac:dyDescent="0.2">
      <c r="A332" s="138"/>
    </row>
    <row r="333" spans="1:1" x14ac:dyDescent="0.2">
      <c r="A333" s="138"/>
    </row>
    <row r="334" spans="1:1" x14ac:dyDescent="0.2">
      <c r="A334" s="138"/>
    </row>
    <row r="335" spans="1:1" x14ac:dyDescent="0.2">
      <c r="A335" s="138"/>
    </row>
    <row r="336" spans="1:1" x14ac:dyDescent="0.2">
      <c r="A336" s="138"/>
    </row>
    <row r="337" spans="1:1" x14ac:dyDescent="0.2">
      <c r="A337" s="138"/>
    </row>
    <row r="338" spans="1:1" x14ac:dyDescent="0.2">
      <c r="A338" s="138"/>
    </row>
    <row r="339" spans="1:1" x14ac:dyDescent="0.2">
      <c r="A339" s="138"/>
    </row>
    <row r="340" spans="1:1" x14ac:dyDescent="0.2">
      <c r="A340" s="138"/>
    </row>
    <row r="341" spans="1:1" x14ac:dyDescent="0.2">
      <c r="A341" s="138"/>
    </row>
    <row r="342" spans="1:1" x14ac:dyDescent="0.2">
      <c r="A342" s="138"/>
    </row>
    <row r="343" spans="1:1" x14ac:dyDescent="0.2">
      <c r="A343" s="138"/>
    </row>
    <row r="344" spans="1:1" x14ac:dyDescent="0.2">
      <c r="A344" s="138"/>
    </row>
    <row r="345" spans="1:1" x14ac:dyDescent="0.2">
      <c r="A345" s="138"/>
    </row>
    <row r="346" spans="1:1" x14ac:dyDescent="0.2">
      <c r="A346" s="138"/>
    </row>
    <row r="347" spans="1:1" x14ac:dyDescent="0.2">
      <c r="A347" s="138"/>
    </row>
    <row r="348" spans="1:1" x14ac:dyDescent="0.2">
      <c r="A348" s="138"/>
    </row>
    <row r="349" spans="1:1" x14ac:dyDescent="0.2">
      <c r="A349" s="138"/>
    </row>
    <row r="350" spans="1:1" x14ac:dyDescent="0.2">
      <c r="A350" s="138"/>
    </row>
    <row r="351" spans="1:1" x14ac:dyDescent="0.2">
      <c r="A351" s="138"/>
    </row>
    <row r="352" spans="1:1" x14ac:dyDescent="0.2">
      <c r="A352" s="138"/>
    </row>
    <row r="353" spans="1:1" x14ac:dyDescent="0.2">
      <c r="A353" s="138"/>
    </row>
    <row r="354" spans="1:1" x14ac:dyDescent="0.2">
      <c r="A354" s="138"/>
    </row>
    <row r="355" spans="1:1" x14ac:dyDescent="0.2">
      <c r="A355" s="138"/>
    </row>
    <row r="356" spans="1:1" x14ac:dyDescent="0.2">
      <c r="A356" s="138"/>
    </row>
    <row r="357" spans="1:1" x14ac:dyDescent="0.2">
      <c r="A357" s="138"/>
    </row>
    <row r="358" spans="1:1" x14ac:dyDescent="0.2">
      <c r="A358" s="138"/>
    </row>
    <row r="359" spans="1:1" x14ac:dyDescent="0.2">
      <c r="A359" s="138"/>
    </row>
    <row r="360" spans="1:1" x14ac:dyDescent="0.2">
      <c r="A360" s="138"/>
    </row>
    <row r="361" spans="1:1" x14ac:dyDescent="0.2">
      <c r="A361" s="138"/>
    </row>
    <row r="362" spans="1:1" x14ac:dyDescent="0.2">
      <c r="A362" s="138"/>
    </row>
    <row r="363" spans="1:1" x14ac:dyDescent="0.2">
      <c r="A363" s="138"/>
    </row>
    <row r="364" spans="1:1" x14ac:dyDescent="0.2">
      <c r="A364" s="138"/>
    </row>
    <row r="365" spans="1:1" x14ac:dyDescent="0.2">
      <c r="A365" s="138"/>
    </row>
    <row r="366" spans="1:1" x14ac:dyDescent="0.2">
      <c r="A366" s="138"/>
    </row>
    <row r="367" spans="1:1" x14ac:dyDescent="0.2">
      <c r="A367" s="138"/>
    </row>
    <row r="368" spans="1:1" x14ac:dyDescent="0.2">
      <c r="A368" s="138"/>
    </row>
    <row r="369" spans="1:1" x14ac:dyDescent="0.2">
      <c r="A369" s="138"/>
    </row>
    <row r="370" spans="1:1" x14ac:dyDescent="0.2">
      <c r="A370" s="138"/>
    </row>
    <row r="371" spans="1:1" x14ac:dyDescent="0.2">
      <c r="A371" s="138"/>
    </row>
    <row r="372" spans="1:1" x14ac:dyDescent="0.2">
      <c r="A372" s="138"/>
    </row>
    <row r="373" spans="1:1" x14ac:dyDescent="0.2">
      <c r="A373" s="138"/>
    </row>
    <row r="374" spans="1:1" x14ac:dyDescent="0.2">
      <c r="A374" s="138"/>
    </row>
    <row r="375" spans="1:1" x14ac:dyDescent="0.2">
      <c r="A375" s="138"/>
    </row>
    <row r="376" spans="1:1" x14ac:dyDescent="0.2">
      <c r="A376" s="138"/>
    </row>
    <row r="377" spans="1:1" x14ac:dyDescent="0.2">
      <c r="A377" s="138"/>
    </row>
    <row r="378" spans="1:1" x14ac:dyDescent="0.2">
      <c r="A378" s="138"/>
    </row>
    <row r="379" spans="1:1" x14ac:dyDescent="0.2">
      <c r="A379" s="138"/>
    </row>
    <row r="380" spans="1:1" x14ac:dyDescent="0.2">
      <c r="A380" s="138"/>
    </row>
    <row r="381" spans="1:1" x14ac:dyDescent="0.2">
      <c r="A381" s="138"/>
    </row>
    <row r="382" spans="1:1" x14ac:dyDescent="0.2">
      <c r="A382" s="138"/>
    </row>
    <row r="383" spans="1:1" x14ac:dyDescent="0.2">
      <c r="A383" s="138"/>
    </row>
    <row r="384" spans="1:1" x14ac:dyDescent="0.2">
      <c r="A384" s="138"/>
    </row>
    <row r="385" spans="1:1" x14ac:dyDescent="0.2">
      <c r="A385" s="138"/>
    </row>
    <row r="386" spans="1:1" x14ac:dyDescent="0.2">
      <c r="A386" s="138"/>
    </row>
    <row r="387" spans="1:1" x14ac:dyDescent="0.2">
      <c r="A387" s="138"/>
    </row>
    <row r="388" spans="1:1" x14ac:dyDescent="0.2">
      <c r="A388" s="138"/>
    </row>
    <row r="389" spans="1:1" x14ac:dyDescent="0.2">
      <c r="A389" s="138"/>
    </row>
    <row r="390" spans="1:1" x14ac:dyDescent="0.2">
      <c r="A390" s="138"/>
    </row>
    <row r="391" spans="1:1" x14ac:dyDescent="0.2">
      <c r="A391" s="138"/>
    </row>
    <row r="392" spans="1:1" x14ac:dyDescent="0.2">
      <c r="A392" s="138"/>
    </row>
    <row r="393" spans="1:1" x14ac:dyDescent="0.2">
      <c r="A393" s="138"/>
    </row>
    <row r="394" spans="1:1" x14ac:dyDescent="0.2">
      <c r="A394" s="138"/>
    </row>
    <row r="395" spans="1:1" x14ac:dyDescent="0.2">
      <c r="A395" s="138"/>
    </row>
    <row r="396" spans="1:1" x14ac:dyDescent="0.2">
      <c r="A396" s="138"/>
    </row>
    <row r="397" spans="1:1" x14ac:dyDescent="0.2">
      <c r="A397" s="138"/>
    </row>
    <row r="398" spans="1:1" x14ac:dyDescent="0.2">
      <c r="A398" s="138"/>
    </row>
    <row r="399" spans="1:1" x14ac:dyDescent="0.2">
      <c r="A399" s="138"/>
    </row>
    <row r="400" spans="1:1" x14ac:dyDescent="0.2">
      <c r="A400" s="138"/>
    </row>
    <row r="401" spans="1:1" x14ac:dyDescent="0.2">
      <c r="A401" s="138"/>
    </row>
    <row r="402" spans="1:1" x14ac:dyDescent="0.2">
      <c r="A402" s="138"/>
    </row>
    <row r="403" spans="1:1" x14ac:dyDescent="0.2">
      <c r="A403" s="138"/>
    </row>
    <row r="404" spans="1:1" x14ac:dyDescent="0.2">
      <c r="A404" s="138"/>
    </row>
    <row r="405" spans="1:1" x14ac:dyDescent="0.2">
      <c r="A405" s="138"/>
    </row>
    <row r="406" spans="1:1" x14ac:dyDescent="0.2">
      <c r="A406" s="138"/>
    </row>
    <row r="407" spans="1:1" x14ac:dyDescent="0.2">
      <c r="A407" s="138"/>
    </row>
    <row r="408" spans="1:1" x14ac:dyDescent="0.2">
      <c r="A408" s="138"/>
    </row>
    <row r="409" spans="1:1" x14ac:dyDescent="0.2">
      <c r="A409" s="138"/>
    </row>
    <row r="410" spans="1:1" x14ac:dyDescent="0.2">
      <c r="A410" s="138"/>
    </row>
    <row r="411" spans="1:1" x14ac:dyDescent="0.2">
      <c r="A411" s="138"/>
    </row>
    <row r="412" spans="1:1" x14ac:dyDescent="0.2">
      <c r="A412" s="138"/>
    </row>
    <row r="413" spans="1:1" x14ac:dyDescent="0.2">
      <c r="A413" s="138"/>
    </row>
    <row r="414" spans="1:1" x14ac:dyDescent="0.2">
      <c r="A414" s="138"/>
    </row>
    <row r="415" spans="1:1" x14ac:dyDescent="0.2">
      <c r="A415" s="138"/>
    </row>
    <row r="416" spans="1:1" x14ac:dyDescent="0.2">
      <c r="A416" s="138"/>
    </row>
    <row r="417" spans="1:1" x14ac:dyDescent="0.2">
      <c r="A417" s="138"/>
    </row>
    <row r="418" spans="1:1" x14ac:dyDescent="0.2">
      <c r="A418" s="138"/>
    </row>
    <row r="419" spans="1:1" x14ac:dyDescent="0.2">
      <c r="A419" s="138"/>
    </row>
    <row r="420" spans="1:1" x14ac:dyDescent="0.2">
      <c r="A420" s="138"/>
    </row>
    <row r="421" spans="1:1" x14ac:dyDescent="0.2">
      <c r="A421" s="138"/>
    </row>
    <row r="422" spans="1:1" x14ac:dyDescent="0.2">
      <c r="A422" s="138"/>
    </row>
    <row r="423" spans="1:1" x14ac:dyDescent="0.2">
      <c r="A423" s="138"/>
    </row>
    <row r="424" spans="1:1" x14ac:dyDescent="0.2">
      <c r="A424" s="138"/>
    </row>
    <row r="425" spans="1:1" x14ac:dyDescent="0.2">
      <c r="A425" s="138"/>
    </row>
    <row r="426" spans="1:1" x14ac:dyDescent="0.2">
      <c r="A426" s="138"/>
    </row>
    <row r="427" spans="1:1" x14ac:dyDescent="0.2">
      <c r="A427" s="138"/>
    </row>
    <row r="428" spans="1:1" x14ac:dyDescent="0.2">
      <c r="A428" s="138"/>
    </row>
    <row r="429" spans="1:1" x14ac:dyDescent="0.2">
      <c r="A429" s="138"/>
    </row>
    <row r="430" spans="1:1" x14ac:dyDescent="0.2">
      <c r="A430" s="138"/>
    </row>
    <row r="431" spans="1:1" x14ac:dyDescent="0.2">
      <c r="A431" s="138"/>
    </row>
    <row r="432" spans="1:1" x14ac:dyDescent="0.2">
      <c r="A432" s="138"/>
    </row>
    <row r="433" spans="1:1" x14ac:dyDescent="0.2">
      <c r="A433" s="138"/>
    </row>
    <row r="434" spans="1:1" x14ac:dyDescent="0.2">
      <c r="A434" s="138"/>
    </row>
    <row r="435" spans="1:1" x14ac:dyDescent="0.2">
      <c r="A435" s="138"/>
    </row>
    <row r="436" spans="1:1" x14ac:dyDescent="0.2">
      <c r="A436" s="138"/>
    </row>
    <row r="437" spans="1:1" x14ac:dyDescent="0.2">
      <c r="A437" s="138"/>
    </row>
    <row r="438" spans="1:1" x14ac:dyDescent="0.2">
      <c r="A438" s="138"/>
    </row>
    <row r="439" spans="1:1" x14ac:dyDescent="0.2">
      <c r="A439" s="138"/>
    </row>
    <row r="440" spans="1:1" x14ac:dyDescent="0.2">
      <c r="A440" s="138"/>
    </row>
    <row r="441" spans="1:1" x14ac:dyDescent="0.2">
      <c r="A441" s="138"/>
    </row>
    <row r="442" spans="1:1" x14ac:dyDescent="0.2">
      <c r="A442" s="138"/>
    </row>
    <row r="443" spans="1:1" x14ac:dyDescent="0.2">
      <c r="A443" s="138"/>
    </row>
    <row r="444" spans="1:1" x14ac:dyDescent="0.2">
      <c r="A444" s="138"/>
    </row>
    <row r="445" spans="1:1" x14ac:dyDescent="0.2">
      <c r="A445" s="138"/>
    </row>
    <row r="446" spans="1:1" x14ac:dyDescent="0.2">
      <c r="A446" s="138"/>
    </row>
    <row r="447" spans="1:1" x14ac:dyDescent="0.2">
      <c r="A447" s="138"/>
    </row>
    <row r="448" spans="1:1" x14ac:dyDescent="0.2">
      <c r="A448" s="138"/>
    </row>
    <row r="449" spans="1:1" x14ac:dyDescent="0.2">
      <c r="A449" s="138"/>
    </row>
    <row r="450" spans="1:1" x14ac:dyDescent="0.2">
      <c r="A450" s="138"/>
    </row>
    <row r="451" spans="1:1" x14ac:dyDescent="0.2">
      <c r="A451" s="138"/>
    </row>
    <row r="452" spans="1:1" x14ac:dyDescent="0.2">
      <c r="A452" s="138"/>
    </row>
    <row r="453" spans="1:1" x14ac:dyDescent="0.2">
      <c r="A453" s="138"/>
    </row>
    <row r="454" spans="1:1" x14ac:dyDescent="0.2">
      <c r="A454" s="138"/>
    </row>
    <row r="455" spans="1:1" x14ac:dyDescent="0.2">
      <c r="A455" s="138"/>
    </row>
    <row r="456" spans="1:1" x14ac:dyDescent="0.2">
      <c r="A456" s="138"/>
    </row>
    <row r="457" spans="1:1" x14ac:dyDescent="0.2">
      <c r="A457" s="138"/>
    </row>
    <row r="458" spans="1:1" x14ac:dyDescent="0.2">
      <c r="A458" s="138"/>
    </row>
    <row r="459" spans="1:1" x14ac:dyDescent="0.2">
      <c r="A459" s="138"/>
    </row>
    <row r="460" spans="1:1" x14ac:dyDescent="0.2">
      <c r="A460" s="138"/>
    </row>
    <row r="461" spans="1:1" x14ac:dyDescent="0.2">
      <c r="A461" s="138"/>
    </row>
    <row r="462" spans="1:1" x14ac:dyDescent="0.2">
      <c r="A462" s="138"/>
    </row>
    <row r="463" spans="1:1" x14ac:dyDescent="0.2">
      <c r="A463" s="138"/>
    </row>
    <row r="464" spans="1:1" x14ac:dyDescent="0.2">
      <c r="A464" s="138"/>
    </row>
    <row r="465" spans="1:1" x14ac:dyDescent="0.2">
      <c r="A465" s="138"/>
    </row>
    <row r="466" spans="1:1" x14ac:dyDescent="0.2">
      <c r="A466" s="138"/>
    </row>
    <row r="467" spans="1:1" x14ac:dyDescent="0.2">
      <c r="A467" s="138"/>
    </row>
    <row r="468" spans="1:1" x14ac:dyDescent="0.2">
      <c r="A468" s="138"/>
    </row>
    <row r="469" spans="1:1" x14ac:dyDescent="0.2">
      <c r="A469" s="138"/>
    </row>
    <row r="470" spans="1:1" x14ac:dyDescent="0.2">
      <c r="A470" s="138"/>
    </row>
    <row r="471" spans="1:1" x14ac:dyDescent="0.2">
      <c r="A471" s="138"/>
    </row>
    <row r="472" spans="1:1" x14ac:dyDescent="0.2">
      <c r="A472" s="138"/>
    </row>
    <row r="473" spans="1:1" x14ac:dyDescent="0.2">
      <c r="A473" s="138"/>
    </row>
    <row r="474" spans="1:1" x14ac:dyDescent="0.2">
      <c r="A474" s="138"/>
    </row>
    <row r="475" spans="1:1" x14ac:dyDescent="0.2">
      <c r="A475" s="138"/>
    </row>
    <row r="476" spans="1:1" x14ac:dyDescent="0.2">
      <c r="A476" s="138"/>
    </row>
    <row r="477" spans="1:1" x14ac:dyDescent="0.2">
      <c r="A477" s="138"/>
    </row>
    <row r="478" spans="1:1" x14ac:dyDescent="0.2">
      <c r="A478" s="138"/>
    </row>
    <row r="479" spans="1:1" x14ac:dyDescent="0.2">
      <c r="A479" s="138"/>
    </row>
    <row r="480" spans="1:1" x14ac:dyDescent="0.2">
      <c r="A480" s="138"/>
    </row>
    <row r="481" spans="1:1" x14ac:dyDescent="0.2">
      <c r="A481" s="138"/>
    </row>
    <row r="482" spans="1:1" x14ac:dyDescent="0.2">
      <c r="A482" s="138"/>
    </row>
    <row r="483" spans="1:1" x14ac:dyDescent="0.2">
      <c r="A483" s="138"/>
    </row>
    <row r="484" spans="1:1" x14ac:dyDescent="0.2">
      <c r="A484" s="138"/>
    </row>
    <row r="485" spans="1:1" x14ac:dyDescent="0.2">
      <c r="A485" s="138"/>
    </row>
    <row r="486" spans="1:1" x14ac:dyDescent="0.2">
      <c r="A486" s="138"/>
    </row>
    <row r="487" spans="1:1" x14ac:dyDescent="0.2">
      <c r="A487" s="138"/>
    </row>
    <row r="488" spans="1:1" x14ac:dyDescent="0.2">
      <c r="A488" s="138"/>
    </row>
    <row r="489" spans="1:1" x14ac:dyDescent="0.2">
      <c r="A489" s="138"/>
    </row>
    <row r="490" spans="1:1" x14ac:dyDescent="0.2">
      <c r="A490" s="138"/>
    </row>
    <row r="491" spans="1:1" x14ac:dyDescent="0.2">
      <c r="A491" s="138"/>
    </row>
    <row r="492" spans="1:1" x14ac:dyDescent="0.2">
      <c r="A492" s="138"/>
    </row>
    <row r="493" spans="1:1" x14ac:dyDescent="0.2">
      <c r="A493" s="138"/>
    </row>
    <row r="494" spans="1:1" x14ac:dyDescent="0.2">
      <c r="A494" s="138"/>
    </row>
    <row r="495" spans="1:1" x14ac:dyDescent="0.2">
      <c r="A495" s="138"/>
    </row>
    <row r="496" spans="1:1" x14ac:dyDescent="0.2">
      <c r="A496" s="138"/>
    </row>
    <row r="497" spans="1:1" x14ac:dyDescent="0.2">
      <c r="A497" s="138"/>
    </row>
    <row r="498" spans="1:1" x14ac:dyDescent="0.2">
      <c r="A498" s="138"/>
    </row>
    <row r="499" spans="1:1" x14ac:dyDescent="0.2">
      <c r="A499" s="138"/>
    </row>
    <row r="500" spans="1:1" x14ac:dyDescent="0.2">
      <c r="A500" s="138"/>
    </row>
    <row r="501" spans="1:1" x14ac:dyDescent="0.2">
      <c r="A501" s="138"/>
    </row>
    <row r="502" spans="1:1" x14ac:dyDescent="0.2">
      <c r="A502" s="138"/>
    </row>
    <row r="503" spans="1:1" x14ac:dyDescent="0.2">
      <c r="A503" s="138"/>
    </row>
    <row r="504" spans="1:1" x14ac:dyDescent="0.2">
      <c r="A504" s="138"/>
    </row>
    <row r="505" spans="1:1" x14ac:dyDescent="0.2">
      <c r="A505" s="138"/>
    </row>
    <row r="506" spans="1:1" x14ac:dyDescent="0.2">
      <c r="A506" s="138"/>
    </row>
    <row r="507" spans="1:1" x14ac:dyDescent="0.2">
      <c r="A507" s="138"/>
    </row>
    <row r="508" spans="1:1" x14ac:dyDescent="0.2">
      <c r="A508" s="138"/>
    </row>
    <row r="509" spans="1:1" x14ac:dyDescent="0.2">
      <c r="A509" s="138"/>
    </row>
    <row r="510" spans="1:1" x14ac:dyDescent="0.2">
      <c r="A510" s="138"/>
    </row>
    <row r="511" spans="1:1" x14ac:dyDescent="0.2">
      <c r="A511" s="138"/>
    </row>
    <row r="512" spans="1:1" x14ac:dyDescent="0.2">
      <c r="A512" s="138"/>
    </row>
    <row r="513" spans="1:1" x14ac:dyDescent="0.2">
      <c r="A513" s="138"/>
    </row>
    <row r="514" spans="1:1" x14ac:dyDescent="0.2">
      <c r="A514" s="138"/>
    </row>
    <row r="515" spans="1:1" x14ac:dyDescent="0.2">
      <c r="A515" s="138"/>
    </row>
    <row r="516" spans="1:1" x14ac:dyDescent="0.2">
      <c r="A516" s="138"/>
    </row>
    <row r="517" spans="1:1" x14ac:dyDescent="0.2">
      <c r="A517" s="138"/>
    </row>
    <row r="518" spans="1:1" x14ac:dyDescent="0.2">
      <c r="A518" s="138"/>
    </row>
    <row r="519" spans="1:1" x14ac:dyDescent="0.2">
      <c r="A519" s="138"/>
    </row>
    <row r="520" spans="1:1" x14ac:dyDescent="0.2">
      <c r="A520" s="138"/>
    </row>
    <row r="521" spans="1:1" x14ac:dyDescent="0.2">
      <c r="A521" s="138"/>
    </row>
    <row r="522" spans="1:1" x14ac:dyDescent="0.2">
      <c r="A522" s="138"/>
    </row>
    <row r="523" spans="1:1" x14ac:dyDescent="0.2">
      <c r="A523" s="138"/>
    </row>
    <row r="524" spans="1:1" x14ac:dyDescent="0.2">
      <c r="A524" s="138"/>
    </row>
    <row r="525" spans="1:1" x14ac:dyDescent="0.2">
      <c r="A525" s="138"/>
    </row>
    <row r="526" spans="1:1" x14ac:dyDescent="0.2">
      <c r="A526" s="138"/>
    </row>
    <row r="527" spans="1:1" x14ac:dyDescent="0.2">
      <c r="A527" s="138"/>
    </row>
    <row r="528" spans="1:1" x14ac:dyDescent="0.2">
      <c r="A528" s="138"/>
    </row>
    <row r="529" spans="1:1" x14ac:dyDescent="0.2">
      <c r="A529" s="138"/>
    </row>
    <row r="530" spans="1:1" x14ac:dyDescent="0.2">
      <c r="A530" s="138"/>
    </row>
    <row r="531" spans="1:1" x14ac:dyDescent="0.2">
      <c r="A531" s="138"/>
    </row>
    <row r="532" spans="1:1" x14ac:dyDescent="0.2">
      <c r="A532" s="138"/>
    </row>
    <row r="533" spans="1:1" x14ac:dyDescent="0.2">
      <c r="A533" s="138"/>
    </row>
    <row r="534" spans="1:1" x14ac:dyDescent="0.2">
      <c r="A534" s="138"/>
    </row>
    <row r="535" spans="1:1" x14ac:dyDescent="0.2">
      <c r="A535" s="138"/>
    </row>
    <row r="536" spans="1:1" x14ac:dyDescent="0.2">
      <c r="A536" s="138"/>
    </row>
    <row r="537" spans="1:1" x14ac:dyDescent="0.2">
      <c r="A537" s="138"/>
    </row>
    <row r="538" spans="1:1" x14ac:dyDescent="0.2">
      <c r="A538" s="138"/>
    </row>
    <row r="539" spans="1:1" x14ac:dyDescent="0.2">
      <c r="A539" s="138"/>
    </row>
    <row r="540" spans="1:1" x14ac:dyDescent="0.2">
      <c r="A540" s="138"/>
    </row>
    <row r="541" spans="1:1" x14ac:dyDescent="0.2">
      <c r="A541" s="13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867"/>
  <sheetViews>
    <sheetView showGridLines="0" zoomScale="85" zoomScaleNormal="85" workbookViewId="0">
      <pane xSplit="1" ySplit="2" topLeftCell="B226" activePane="bottomRight" state="frozen"/>
      <selection activeCell="A4" sqref="A4"/>
      <selection pane="topRight" activeCell="A4" sqref="A4"/>
      <selection pane="bottomLeft" activeCell="A4" sqref="A4"/>
      <selection pane="bottomRight" activeCell="F3" sqref="F3:F257"/>
    </sheetView>
  </sheetViews>
  <sheetFormatPr defaultRowHeight="12.75" x14ac:dyDescent="0.2"/>
  <cols>
    <col min="1" max="1" width="12" style="96" customWidth="1"/>
    <col min="2" max="4" width="9.28515625" style="108" customWidth="1"/>
    <col min="5" max="5" width="12" style="109" customWidth="1"/>
    <col min="6" max="6" width="10.7109375" style="108" bestFit="1" customWidth="1"/>
    <col min="7" max="9" width="9.28515625" style="108" customWidth="1"/>
    <col min="10" max="10" width="9.140625" style="95"/>
    <col min="11" max="23" width="0" style="95" hidden="1" customWidth="1"/>
    <col min="24" max="24" width="9.140625" style="95"/>
    <col min="25" max="25" width="5" style="95" customWidth="1"/>
    <col min="26" max="29" width="10.140625" style="95" customWidth="1"/>
    <col min="30" max="30" width="9.140625" style="95"/>
    <col min="31" max="34" width="9.85546875" style="108" customWidth="1"/>
    <col min="35" max="16384" width="9.140625" style="95"/>
  </cols>
  <sheetData>
    <row r="1" spans="1:34" ht="24.75" customHeight="1" x14ac:dyDescent="0.2">
      <c r="A1" s="123" t="s">
        <v>62</v>
      </c>
      <c r="B1" s="124"/>
      <c r="C1" s="124"/>
      <c r="D1" s="124"/>
      <c r="E1" s="124"/>
      <c r="F1" s="124"/>
      <c r="G1" s="124"/>
      <c r="H1" s="124"/>
      <c r="I1" s="125"/>
      <c r="Y1" s="99"/>
      <c r="Z1" s="234" t="s">
        <v>148</v>
      </c>
      <c r="AA1" s="234"/>
      <c r="AB1" s="234"/>
      <c r="AC1" s="234"/>
      <c r="AD1" s="99"/>
      <c r="AE1" s="235" t="s">
        <v>149</v>
      </c>
      <c r="AF1" s="236"/>
      <c r="AG1" s="236"/>
      <c r="AH1" s="237"/>
    </row>
    <row r="2" spans="1:34" ht="29.25" customHeight="1" x14ac:dyDescent="0.2">
      <c r="A2" s="115" t="s">
        <v>28</v>
      </c>
      <c r="B2" s="115" t="s">
        <v>29</v>
      </c>
      <c r="C2" s="115" t="s">
        <v>69</v>
      </c>
      <c r="D2" s="115" t="s">
        <v>70</v>
      </c>
      <c r="E2" s="115" t="s">
        <v>44</v>
      </c>
      <c r="F2" s="115" t="s">
        <v>68</v>
      </c>
      <c r="G2" s="115" t="s">
        <v>73</v>
      </c>
      <c r="H2" s="115" t="s">
        <v>71</v>
      </c>
      <c r="I2" s="115" t="s">
        <v>72</v>
      </c>
      <c r="Y2" s="100"/>
      <c r="Z2" s="101" t="s">
        <v>70</v>
      </c>
      <c r="AA2" s="102" t="s">
        <v>50</v>
      </c>
      <c r="AB2" s="102" t="s">
        <v>68</v>
      </c>
      <c r="AC2" s="102" t="s">
        <v>150</v>
      </c>
      <c r="AD2" s="99"/>
      <c r="AE2" s="101" t="s">
        <v>69</v>
      </c>
      <c r="AF2" s="101" t="s">
        <v>68</v>
      </c>
      <c r="AG2" s="102" t="s">
        <v>50</v>
      </c>
      <c r="AH2" s="102" t="s">
        <v>150</v>
      </c>
    </row>
    <row r="3" spans="1:34" x14ac:dyDescent="0.2">
      <c r="A3" s="174">
        <v>40911</v>
      </c>
      <c r="B3" s="126">
        <f>DAY(A3)</f>
        <v>3</v>
      </c>
      <c r="C3" s="126">
        <f>IF(ROUNDUP((DAY(A3)+WEEKDAY(DATE(YEAR(A3),MONTH(A3),0)))/7,0)=6,5,ROUNDUP((DAY(A3)+WEEKDAY(DATE(YEAR(A3),MONTH(A3),0)))/7,0))</f>
        <v>2</v>
      </c>
      <c r="D3" s="126">
        <f>MONTH(A3)</f>
        <v>1</v>
      </c>
      <c r="E3" s="127" t="str">
        <f>D3&amp;C3</f>
        <v>12</v>
      </c>
      <c r="F3" s="175">
        <v>452</v>
      </c>
      <c r="G3" s="128">
        <f ca="1">F3/VLOOKUP($D3,$Z:$AA,2,0)</f>
        <v>1.2613953488372094</v>
      </c>
      <c r="H3" s="128">
        <f ca="1">VLOOKUP(E3,AE:AH,4,0)</f>
        <v>0.81913621262458469</v>
      </c>
      <c r="I3" s="128">
        <f ca="1">VLOOKUP(D3,Z:AC,4,0)</f>
        <v>1.2451170785233958</v>
      </c>
      <c r="J3"/>
      <c r="Y3" s="19"/>
      <c r="Z3" s="110">
        <v>1</v>
      </c>
      <c r="AA3" s="103">
        <f t="shared" ref="AA3:AA14" ca="1" si="0">AVERAGEIF($D:$F,Z3,$F:$F)</f>
        <v>358.33333333333331</v>
      </c>
      <c r="AB3" s="97">
        <f t="shared" ref="AB3:AB14" ca="1" si="1">SUMIF($D:$F,Z3,$F:$F)</f>
        <v>7525</v>
      </c>
      <c r="AC3" s="98">
        <f ca="1">AB3/$AB$15</f>
        <v>1.2451170785233958</v>
      </c>
      <c r="AE3" s="110" t="s">
        <v>88</v>
      </c>
      <c r="AF3" s="105" t="str">
        <f t="shared" ref="AF3:AF34" ca="1" si="2">IF(SUMIF(E:F,AE3,$F:$F)&gt;0,SUMIF(E:F,AE3,$F:$F),"")</f>
        <v/>
      </c>
      <c r="AG3" s="106">
        <f ca="1">AVERAGE(AF3:AF7)</f>
        <v>1881.25</v>
      </c>
      <c r="AH3" s="107">
        <f ca="1">IF(ISERROR(AF3/AG3),0,AF3/AG3)</f>
        <v>0</v>
      </c>
    </row>
    <row r="4" spans="1:34" x14ac:dyDescent="0.2">
      <c r="A4" s="120">
        <v>40912</v>
      </c>
      <c r="B4" s="126">
        <f t="shared" ref="B4:B67" si="3">DAY(A4)</f>
        <v>4</v>
      </c>
      <c r="C4" s="126">
        <f t="shared" ref="C4:C67" si="4">IF(ROUNDUP((DAY(A4)+WEEKDAY(DATE(YEAR(A4),MONTH(A4),0)))/7,0)=6,5,ROUNDUP((DAY(A4)+WEEKDAY(DATE(YEAR(A4),MONTH(A4),0)))/7,0))</f>
        <v>2</v>
      </c>
      <c r="D4" s="126">
        <f t="shared" ref="D4:D67" si="5">MONTH(A4)</f>
        <v>1</v>
      </c>
      <c r="E4" s="127" t="str">
        <f t="shared" ref="E4:E67" si="6">D4&amp;C4</f>
        <v>12</v>
      </c>
      <c r="F4" s="121">
        <v>396</v>
      </c>
      <c r="G4" s="128">
        <f t="shared" ref="G4:G67" ca="1" si="7">F4/VLOOKUP($D4,$Z:$AA,2,0)</f>
        <v>1.1051162790697675</v>
      </c>
      <c r="H4" s="128">
        <f t="shared" ref="H4:H67" ca="1" si="8">VLOOKUP(E4,AE:AH,4,0)</f>
        <v>0.81913621262458469</v>
      </c>
      <c r="I4" s="128">
        <f t="shared" ref="I4:I67" ca="1" si="9">VLOOKUP(D4,Z:AC,4,0)</f>
        <v>1.2451170785233958</v>
      </c>
      <c r="J4"/>
      <c r="Y4" s="19"/>
      <c r="Z4" s="110">
        <v>2</v>
      </c>
      <c r="AA4" s="103">
        <f t="shared" ca="1" si="0"/>
        <v>329.57142857142856</v>
      </c>
      <c r="AB4" s="97">
        <f t="shared" ca="1" si="1"/>
        <v>6921</v>
      </c>
      <c r="AC4" s="98">
        <f t="shared" ref="AC4:AC14" ca="1" si="10">AB4/$AB$15</f>
        <v>1.1451767841143417</v>
      </c>
      <c r="AE4" s="110" t="s">
        <v>89</v>
      </c>
      <c r="AF4" s="105">
        <f t="shared" ca="1" si="2"/>
        <v>1541</v>
      </c>
      <c r="AG4" s="106">
        <f ca="1">AG3</f>
        <v>1881.25</v>
      </c>
      <c r="AH4" s="107">
        <f t="shared" ref="AH4:AH62" ca="1" si="11">IF(ISERROR(AF4/AG4),0,AF4/AG4)</f>
        <v>0.81913621262458469</v>
      </c>
    </row>
    <row r="5" spans="1:34" x14ac:dyDescent="0.2">
      <c r="A5" s="120">
        <v>40913</v>
      </c>
      <c r="B5" s="126">
        <f t="shared" si="3"/>
        <v>5</v>
      </c>
      <c r="C5" s="126">
        <f t="shared" si="4"/>
        <v>2</v>
      </c>
      <c r="D5" s="126">
        <f t="shared" si="5"/>
        <v>1</v>
      </c>
      <c r="E5" s="127" t="str">
        <f t="shared" si="6"/>
        <v>12</v>
      </c>
      <c r="F5" s="121">
        <v>342</v>
      </c>
      <c r="G5" s="128">
        <f t="shared" ca="1" si="7"/>
        <v>0.95441860465116279</v>
      </c>
      <c r="H5" s="128">
        <f t="shared" ca="1" si="8"/>
        <v>0.81913621262458469</v>
      </c>
      <c r="I5" s="128">
        <f t="shared" ca="1" si="9"/>
        <v>1.2451170785233958</v>
      </c>
      <c r="J5"/>
      <c r="Y5" s="19"/>
      <c r="Z5" s="110">
        <v>3</v>
      </c>
      <c r="AA5" s="103">
        <f t="shared" ca="1" si="0"/>
        <v>310.5</v>
      </c>
      <c r="AB5" s="97">
        <f t="shared" ca="1" si="1"/>
        <v>6831</v>
      </c>
      <c r="AC5" s="98">
        <f t="shared" ca="1" si="10"/>
        <v>1.1302850183911384</v>
      </c>
      <c r="AE5" s="110" t="s">
        <v>90</v>
      </c>
      <c r="AF5" s="105">
        <f t="shared" ca="1" si="2"/>
        <v>1842</v>
      </c>
      <c r="AG5" s="106">
        <f t="shared" ref="AG5:AG7" ca="1" si="12">AG4</f>
        <v>1881.25</v>
      </c>
      <c r="AH5" s="107">
        <f t="shared" ca="1" si="11"/>
        <v>0.97913621262458472</v>
      </c>
    </row>
    <row r="6" spans="1:34" x14ac:dyDescent="0.2">
      <c r="A6" s="120">
        <v>40914</v>
      </c>
      <c r="B6" s="126">
        <f t="shared" si="3"/>
        <v>6</v>
      </c>
      <c r="C6" s="126">
        <f t="shared" si="4"/>
        <v>2</v>
      </c>
      <c r="D6" s="126">
        <f t="shared" si="5"/>
        <v>1</v>
      </c>
      <c r="E6" s="127" t="str">
        <f t="shared" si="6"/>
        <v>12</v>
      </c>
      <c r="F6" s="121">
        <v>351</v>
      </c>
      <c r="G6" s="128">
        <f t="shared" ca="1" si="7"/>
        <v>0.97953488372093034</v>
      </c>
      <c r="H6" s="128">
        <f t="shared" ca="1" si="8"/>
        <v>0.81913621262458469</v>
      </c>
      <c r="I6" s="128">
        <f t="shared" ca="1" si="9"/>
        <v>1.2451170785233958</v>
      </c>
      <c r="J6"/>
      <c r="Y6" s="19"/>
      <c r="Z6" s="110">
        <v>4</v>
      </c>
      <c r="AA6" s="103">
        <f t="shared" ca="1" si="0"/>
        <v>296.57142857142856</v>
      </c>
      <c r="AB6" s="97">
        <f t="shared" ca="1" si="1"/>
        <v>6228</v>
      </c>
      <c r="AC6" s="98">
        <f t="shared" ca="1" si="10"/>
        <v>1.0305101880456755</v>
      </c>
      <c r="AE6" s="110" t="s">
        <v>91</v>
      </c>
      <c r="AF6" s="105">
        <f t="shared" ca="1" si="2"/>
        <v>1622</v>
      </c>
      <c r="AG6" s="106">
        <f t="shared" ca="1" si="12"/>
        <v>1881.25</v>
      </c>
      <c r="AH6" s="107">
        <f t="shared" ca="1" si="11"/>
        <v>0.86219269102990037</v>
      </c>
    </row>
    <row r="7" spans="1:34" x14ac:dyDescent="0.2">
      <c r="A7" s="120">
        <v>40917</v>
      </c>
      <c r="B7" s="126">
        <f t="shared" si="3"/>
        <v>9</v>
      </c>
      <c r="C7" s="126">
        <f t="shared" si="4"/>
        <v>3</v>
      </c>
      <c r="D7" s="126">
        <f t="shared" si="5"/>
        <v>1</v>
      </c>
      <c r="E7" s="127" t="str">
        <f t="shared" si="6"/>
        <v>13</v>
      </c>
      <c r="F7" s="121">
        <v>387</v>
      </c>
      <c r="G7" s="128">
        <f t="shared" ca="1" si="7"/>
        <v>1.08</v>
      </c>
      <c r="H7" s="128">
        <f t="shared" ca="1" si="8"/>
        <v>0.97913621262458472</v>
      </c>
      <c r="I7" s="128">
        <f t="shared" ca="1" si="9"/>
        <v>1.2451170785233958</v>
      </c>
      <c r="J7"/>
      <c r="Y7" s="19"/>
      <c r="Z7" s="110">
        <v>5</v>
      </c>
      <c r="AA7" s="103">
        <f t="shared" ca="1" si="0"/>
        <v>249.18181818181819</v>
      </c>
      <c r="AB7" s="97">
        <f t="shared" ca="1" si="1"/>
        <v>5482</v>
      </c>
      <c r="AC7" s="98">
        <f t="shared" ca="1" si="10"/>
        <v>0.90707399660667842</v>
      </c>
      <c r="AE7" s="110" t="s">
        <v>92</v>
      </c>
      <c r="AF7" s="105">
        <f t="shared" ca="1" si="2"/>
        <v>2520</v>
      </c>
      <c r="AG7" s="106">
        <f t="shared" ca="1" si="12"/>
        <v>1881.25</v>
      </c>
      <c r="AH7" s="107">
        <f t="shared" ca="1" si="11"/>
        <v>1.3395348837209302</v>
      </c>
    </row>
    <row r="8" spans="1:34" x14ac:dyDescent="0.2">
      <c r="A8" s="120">
        <v>40918</v>
      </c>
      <c r="B8" s="126">
        <f t="shared" si="3"/>
        <v>10</v>
      </c>
      <c r="C8" s="126">
        <f t="shared" si="4"/>
        <v>3</v>
      </c>
      <c r="D8" s="126">
        <f t="shared" si="5"/>
        <v>1</v>
      </c>
      <c r="E8" s="127" t="str">
        <f t="shared" si="6"/>
        <v>13</v>
      </c>
      <c r="F8" s="121">
        <v>391</v>
      </c>
      <c r="G8" s="128">
        <f t="shared" ca="1" si="7"/>
        <v>1.0911627906976744</v>
      </c>
      <c r="H8" s="128">
        <f t="shared" ca="1" si="8"/>
        <v>0.97913621262458472</v>
      </c>
      <c r="I8" s="128">
        <f t="shared" ca="1" si="9"/>
        <v>1.2451170785233958</v>
      </c>
      <c r="J8"/>
      <c r="Y8" s="19"/>
      <c r="Z8" s="110">
        <v>6</v>
      </c>
      <c r="AA8" s="103">
        <f t="shared" ca="1" si="0"/>
        <v>242.66666666666666</v>
      </c>
      <c r="AB8" s="97">
        <f t="shared" ca="1" si="1"/>
        <v>5096</v>
      </c>
      <c r="AC8" s="98">
        <f t="shared" ca="1" si="10"/>
        <v>0.84320486806049499</v>
      </c>
      <c r="AE8" s="110" t="s">
        <v>93</v>
      </c>
      <c r="AF8" s="105">
        <f t="shared" ca="1" si="2"/>
        <v>1009</v>
      </c>
      <c r="AG8" s="106">
        <f ca="1">AVERAGE(AF8:AF12)</f>
        <v>1384.2</v>
      </c>
      <c r="AH8" s="107">
        <f t="shared" ca="1" si="11"/>
        <v>0.7289409044935703</v>
      </c>
    </row>
    <row r="9" spans="1:34" x14ac:dyDescent="0.2">
      <c r="A9" s="120">
        <v>40919</v>
      </c>
      <c r="B9" s="126">
        <f t="shared" si="3"/>
        <v>11</v>
      </c>
      <c r="C9" s="126">
        <f t="shared" si="4"/>
        <v>3</v>
      </c>
      <c r="D9" s="126">
        <f t="shared" si="5"/>
        <v>1</v>
      </c>
      <c r="E9" s="127" t="str">
        <f t="shared" si="6"/>
        <v>13</v>
      </c>
      <c r="F9" s="121">
        <v>388</v>
      </c>
      <c r="G9" s="128">
        <f t="shared" ca="1" si="7"/>
        <v>1.0827906976744186</v>
      </c>
      <c r="H9" s="128">
        <f t="shared" ca="1" si="8"/>
        <v>0.97913621262458472</v>
      </c>
      <c r="I9" s="128">
        <f t="shared" ca="1" si="9"/>
        <v>1.2451170785233958</v>
      </c>
      <c r="J9"/>
      <c r="Y9" s="19"/>
      <c r="Z9" s="110">
        <v>7</v>
      </c>
      <c r="AA9" s="103">
        <f t="shared" ca="1" si="0"/>
        <v>248.04761904761904</v>
      </c>
      <c r="AB9" s="97">
        <f t="shared" ca="1" si="1"/>
        <v>5209</v>
      </c>
      <c r="AC9" s="98">
        <f t="shared" ca="1" si="10"/>
        <v>0.8619023072462948</v>
      </c>
      <c r="AE9" s="110" t="s">
        <v>94</v>
      </c>
      <c r="AF9" s="105">
        <f t="shared" ca="1" si="2"/>
        <v>1837</v>
      </c>
      <c r="AG9" s="106">
        <f ca="1">AG8</f>
        <v>1384.2</v>
      </c>
      <c r="AH9" s="107">
        <f t="shared" ca="1" si="11"/>
        <v>1.3271203583297211</v>
      </c>
    </row>
    <row r="10" spans="1:34" x14ac:dyDescent="0.2">
      <c r="A10" s="120">
        <v>40920</v>
      </c>
      <c r="B10" s="126">
        <f t="shared" si="3"/>
        <v>12</v>
      </c>
      <c r="C10" s="126">
        <f t="shared" si="4"/>
        <v>3</v>
      </c>
      <c r="D10" s="126">
        <f t="shared" si="5"/>
        <v>1</v>
      </c>
      <c r="E10" s="127" t="str">
        <f t="shared" si="6"/>
        <v>13</v>
      </c>
      <c r="F10" s="121">
        <v>369</v>
      </c>
      <c r="G10" s="128">
        <f t="shared" ca="1" si="7"/>
        <v>1.0297674418604652</v>
      </c>
      <c r="H10" s="128">
        <f t="shared" ca="1" si="8"/>
        <v>0.97913621262458472</v>
      </c>
      <c r="I10" s="128">
        <f t="shared" ca="1" si="9"/>
        <v>1.2451170785233958</v>
      </c>
      <c r="J10"/>
      <c r="Y10" s="19"/>
      <c r="Z10" s="110">
        <v>8</v>
      </c>
      <c r="AA10" s="103">
        <f t="shared" ca="1" si="0"/>
        <v>267.69565217391306</v>
      </c>
      <c r="AB10" s="97">
        <f t="shared" ca="1" si="1"/>
        <v>6157</v>
      </c>
      <c r="AC10" s="98">
        <f t="shared" ca="1" si="10"/>
        <v>1.0187622395307039</v>
      </c>
      <c r="AE10" s="110" t="s">
        <v>95</v>
      </c>
      <c r="AF10" s="105">
        <f t="shared" ca="1" si="2"/>
        <v>1709</v>
      </c>
      <c r="AG10" s="106">
        <f t="shared" ref="AG10:AG12" ca="1" si="13">AG9</f>
        <v>1384.2</v>
      </c>
      <c r="AH10" s="107">
        <f t="shared" ca="1" si="11"/>
        <v>1.2346481722294467</v>
      </c>
    </row>
    <row r="11" spans="1:34" x14ac:dyDescent="0.2">
      <c r="A11" s="120">
        <v>40921</v>
      </c>
      <c r="B11" s="126">
        <f t="shared" si="3"/>
        <v>13</v>
      </c>
      <c r="C11" s="126">
        <f t="shared" si="4"/>
        <v>3</v>
      </c>
      <c r="D11" s="126">
        <f t="shared" si="5"/>
        <v>1</v>
      </c>
      <c r="E11" s="127" t="str">
        <f t="shared" si="6"/>
        <v>13</v>
      </c>
      <c r="F11" s="121">
        <v>307</v>
      </c>
      <c r="G11" s="128">
        <f t="shared" ca="1" si="7"/>
        <v>0.8567441860465117</v>
      </c>
      <c r="H11" s="128">
        <f t="shared" ca="1" si="8"/>
        <v>0.97913621262458472</v>
      </c>
      <c r="I11" s="128">
        <f t="shared" ca="1" si="9"/>
        <v>1.2451170785233958</v>
      </c>
      <c r="J11"/>
      <c r="Y11" s="19"/>
      <c r="Z11" s="110">
        <v>9</v>
      </c>
      <c r="AA11" s="103">
        <f t="shared" ca="1" si="0"/>
        <v>307.4736842105263</v>
      </c>
      <c r="AB11" s="97">
        <f t="shared" ca="1" si="1"/>
        <v>5842</v>
      </c>
      <c r="AC11" s="98">
        <f t="shared" ca="1" si="10"/>
        <v>0.96664105949949208</v>
      </c>
      <c r="AE11" s="110" t="s">
        <v>96</v>
      </c>
      <c r="AF11" s="105">
        <f t="shared" ca="1" si="2"/>
        <v>1326</v>
      </c>
      <c r="AG11" s="106">
        <f t="shared" ca="1" si="13"/>
        <v>1384.2</v>
      </c>
      <c r="AH11" s="107">
        <f t="shared" ca="1" si="11"/>
        <v>0.95795405288253144</v>
      </c>
    </row>
    <row r="12" spans="1:34" x14ac:dyDescent="0.2">
      <c r="A12" s="120">
        <v>40924</v>
      </c>
      <c r="B12" s="126">
        <f t="shared" si="3"/>
        <v>16</v>
      </c>
      <c r="C12" s="126">
        <f t="shared" si="4"/>
        <v>4</v>
      </c>
      <c r="D12" s="126">
        <f t="shared" si="5"/>
        <v>1</v>
      </c>
      <c r="E12" s="127" t="str">
        <f t="shared" si="6"/>
        <v>14</v>
      </c>
      <c r="F12" s="121">
        <v>70</v>
      </c>
      <c r="G12" s="128">
        <f t="shared" ca="1" si="7"/>
        <v>0.19534883720930232</v>
      </c>
      <c r="H12" s="128">
        <f t="shared" ca="1" si="8"/>
        <v>0.86219269102990037</v>
      </c>
      <c r="I12" s="128">
        <f t="shared" ca="1" si="9"/>
        <v>1.2451170785233958</v>
      </c>
      <c r="J12"/>
      <c r="Y12" s="19"/>
      <c r="Z12" s="110">
        <v>10</v>
      </c>
      <c r="AA12" s="103">
        <f t="shared" ca="1" si="0"/>
        <v>252.21739130434781</v>
      </c>
      <c r="AB12" s="97">
        <f t="shared" ca="1" si="1"/>
        <v>5801</v>
      </c>
      <c r="AC12" s="98">
        <f t="shared" ca="1" si="10"/>
        <v>0.95985703289225499</v>
      </c>
      <c r="AE12" s="110" t="s">
        <v>97</v>
      </c>
      <c r="AF12" s="105">
        <f t="shared" ca="1" si="2"/>
        <v>1040</v>
      </c>
      <c r="AG12" s="106">
        <f t="shared" ca="1" si="13"/>
        <v>1384.2</v>
      </c>
      <c r="AH12" s="107">
        <f t="shared" ca="1" si="11"/>
        <v>0.75133651206473051</v>
      </c>
    </row>
    <row r="13" spans="1:34" x14ac:dyDescent="0.2">
      <c r="A13" s="120">
        <v>40925</v>
      </c>
      <c r="B13" s="126">
        <f t="shared" si="3"/>
        <v>17</v>
      </c>
      <c r="C13" s="126">
        <f t="shared" si="4"/>
        <v>4</v>
      </c>
      <c r="D13" s="126">
        <f t="shared" si="5"/>
        <v>1</v>
      </c>
      <c r="E13" s="127" t="str">
        <f t="shared" si="6"/>
        <v>14</v>
      </c>
      <c r="F13" s="121">
        <v>459</v>
      </c>
      <c r="G13" s="128">
        <f t="shared" ca="1" si="7"/>
        <v>1.2809302325581395</v>
      </c>
      <c r="H13" s="128">
        <f t="shared" ca="1" si="8"/>
        <v>0.86219269102990037</v>
      </c>
      <c r="I13" s="128">
        <f t="shared" ca="1" si="9"/>
        <v>1.2451170785233958</v>
      </c>
      <c r="J13"/>
      <c r="Y13" s="19"/>
      <c r="Z13" s="110">
        <v>11</v>
      </c>
      <c r="AA13" s="103">
        <f t="shared" ca="1" si="0"/>
        <v>259.61904761904759</v>
      </c>
      <c r="AB13" s="97">
        <f t="shared" ca="1" si="1"/>
        <v>5452</v>
      </c>
      <c r="AC13" s="98">
        <f t="shared" ca="1" si="10"/>
        <v>0.902110074698944</v>
      </c>
      <c r="AE13" s="110" t="s">
        <v>98</v>
      </c>
      <c r="AF13" s="105">
        <f t="shared" ca="1" si="2"/>
        <v>580</v>
      </c>
      <c r="AG13" s="106">
        <f ca="1">AVERAGE(AF13:AF17)</f>
        <v>1366.2</v>
      </c>
      <c r="AH13" s="107">
        <f t="shared" ca="1" si="11"/>
        <v>0.4245352071439028</v>
      </c>
    </row>
    <row r="14" spans="1:34" x14ac:dyDescent="0.2">
      <c r="A14" s="120">
        <v>40926</v>
      </c>
      <c r="B14" s="126">
        <f t="shared" si="3"/>
        <v>18</v>
      </c>
      <c r="C14" s="126">
        <f t="shared" si="4"/>
        <v>4</v>
      </c>
      <c r="D14" s="126">
        <f t="shared" si="5"/>
        <v>1</v>
      </c>
      <c r="E14" s="127" t="str">
        <f t="shared" si="6"/>
        <v>14</v>
      </c>
      <c r="F14" s="121">
        <v>434</v>
      </c>
      <c r="G14" s="128">
        <f t="shared" ca="1" si="7"/>
        <v>1.2111627906976745</v>
      </c>
      <c r="H14" s="128">
        <f t="shared" ca="1" si="8"/>
        <v>0.86219269102990037</v>
      </c>
      <c r="I14" s="128">
        <f t="shared" ca="1" si="9"/>
        <v>1.2451170785233958</v>
      </c>
      <c r="J14"/>
      <c r="Y14" s="19"/>
      <c r="Z14" s="110">
        <v>12</v>
      </c>
      <c r="AA14" s="103">
        <f t="shared" ca="1" si="0"/>
        <v>249.13751937984497</v>
      </c>
      <c r="AB14" s="97">
        <f t="shared" ca="1" si="1"/>
        <v>5979.3004651162792</v>
      </c>
      <c r="AC14" s="98">
        <f t="shared" ca="1" si="10"/>
        <v>0.98935935239058637</v>
      </c>
      <c r="AE14" s="110" t="s">
        <v>99</v>
      </c>
      <c r="AF14" s="105">
        <f t="shared" ca="1" si="2"/>
        <v>1646</v>
      </c>
      <c r="AG14" s="106">
        <f ca="1">AG13</f>
        <v>1366.2</v>
      </c>
      <c r="AH14" s="107">
        <f t="shared" ca="1" si="11"/>
        <v>1.2048016395842482</v>
      </c>
    </row>
    <row r="15" spans="1:34" x14ac:dyDescent="0.2">
      <c r="A15" s="120">
        <v>40927</v>
      </c>
      <c r="B15" s="126">
        <f t="shared" si="3"/>
        <v>19</v>
      </c>
      <c r="C15" s="126">
        <f t="shared" si="4"/>
        <v>4</v>
      </c>
      <c r="D15" s="126">
        <f t="shared" si="5"/>
        <v>1</v>
      </c>
      <c r="E15" s="127" t="str">
        <f t="shared" si="6"/>
        <v>14</v>
      </c>
      <c r="F15" s="121">
        <v>355</v>
      </c>
      <c r="G15" s="128">
        <f t="shared" ca="1" si="7"/>
        <v>0.99069767441860468</v>
      </c>
      <c r="H15" s="128">
        <f t="shared" ca="1" si="8"/>
        <v>0.86219269102990037</v>
      </c>
      <c r="I15" s="128">
        <f t="shared" ca="1" si="9"/>
        <v>1.2451170785233958</v>
      </c>
      <c r="J15"/>
      <c r="Y15" s="19"/>
      <c r="Z15" s="238" t="s">
        <v>50</v>
      </c>
      <c r="AA15" s="239"/>
      <c r="AB15" s="104">
        <f ca="1">AVERAGE(AB3:AB14)</f>
        <v>6043.6083720930228</v>
      </c>
      <c r="AC15" s="104">
        <f ca="1">SUM(AC3:AC14)</f>
        <v>12.000000000000002</v>
      </c>
      <c r="AE15" s="110" t="s">
        <v>100</v>
      </c>
      <c r="AF15" s="105">
        <f t="shared" ca="1" si="2"/>
        <v>1563</v>
      </c>
      <c r="AG15" s="106">
        <f t="shared" ref="AG15:AG17" ca="1" si="14">AG14</f>
        <v>1366.2</v>
      </c>
      <c r="AH15" s="107">
        <f t="shared" ca="1" si="11"/>
        <v>1.1440491875274483</v>
      </c>
    </row>
    <row r="16" spans="1:34" x14ac:dyDescent="0.2">
      <c r="A16" s="120">
        <v>40928</v>
      </c>
      <c r="B16" s="126">
        <f t="shared" si="3"/>
        <v>20</v>
      </c>
      <c r="C16" s="126">
        <f t="shared" si="4"/>
        <v>4</v>
      </c>
      <c r="D16" s="126">
        <f t="shared" si="5"/>
        <v>1</v>
      </c>
      <c r="E16" s="127" t="str">
        <f t="shared" si="6"/>
        <v>14</v>
      </c>
      <c r="F16" s="121">
        <v>304</v>
      </c>
      <c r="G16" s="128">
        <f t="shared" ca="1" si="7"/>
        <v>0.84837209302325589</v>
      </c>
      <c r="H16" s="128">
        <f t="shared" ca="1" si="8"/>
        <v>0.86219269102990037</v>
      </c>
      <c r="I16" s="128">
        <f t="shared" ca="1" si="9"/>
        <v>1.2451170785233958</v>
      </c>
      <c r="J16"/>
      <c r="Y16" s="19"/>
      <c r="AE16" s="110" t="s">
        <v>101</v>
      </c>
      <c r="AF16" s="105">
        <f t="shared" ca="1" si="2"/>
        <v>1529</v>
      </c>
      <c r="AG16" s="106">
        <f t="shared" ca="1" si="14"/>
        <v>1366.2</v>
      </c>
      <c r="AH16" s="107">
        <f t="shared" ca="1" si="11"/>
        <v>1.1191626409017712</v>
      </c>
    </row>
    <row r="17" spans="1:34" x14ac:dyDescent="0.2">
      <c r="A17" s="120">
        <v>40931</v>
      </c>
      <c r="B17" s="126">
        <f t="shared" si="3"/>
        <v>23</v>
      </c>
      <c r="C17" s="126">
        <f t="shared" si="4"/>
        <v>5</v>
      </c>
      <c r="D17" s="126">
        <f t="shared" si="5"/>
        <v>1</v>
      </c>
      <c r="E17" s="127" t="str">
        <f t="shared" si="6"/>
        <v>15</v>
      </c>
      <c r="F17" s="121">
        <v>366</v>
      </c>
      <c r="G17" s="128">
        <f t="shared" ca="1" si="7"/>
        <v>1.0213953488372094</v>
      </c>
      <c r="H17" s="128">
        <f t="shared" ca="1" si="8"/>
        <v>1.3395348837209302</v>
      </c>
      <c r="I17" s="128">
        <f t="shared" ca="1" si="9"/>
        <v>1.2451170785233958</v>
      </c>
      <c r="J17"/>
      <c r="Y17" s="19"/>
      <c r="AE17" s="110" t="s">
        <v>102</v>
      </c>
      <c r="AF17" s="105">
        <f t="shared" ca="1" si="2"/>
        <v>1513</v>
      </c>
      <c r="AG17" s="106">
        <f t="shared" ca="1" si="14"/>
        <v>1366.2</v>
      </c>
      <c r="AH17" s="107">
        <f t="shared" ca="1" si="11"/>
        <v>1.1074513248426292</v>
      </c>
    </row>
    <row r="18" spans="1:34" x14ac:dyDescent="0.2">
      <c r="A18" s="120">
        <v>40932</v>
      </c>
      <c r="B18" s="126">
        <f t="shared" si="3"/>
        <v>24</v>
      </c>
      <c r="C18" s="126">
        <f t="shared" si="4"/>
        <v>5</v>
      </c>
      <c r="D18" s="126">
        <f t="shared" si="5"/>
        <v>1</v>
      </c>
      <c r="E18" s="127" t="str">
        <f t="shared" si="6"/>
        <v>15</v>
      </c>
      <c r="F18" s="121">
        <v>400</v>
      </c>
      <c r="G18" s="128">
        <f t="shared" ca="1" si="7"/>
        <v>1.1162790697674418</v>
      </c>
      <c r="H18" s="128">
        <f t="shared" ca="1" si="8"/>
        <v>1.3395348837209302</v>
      </c>
      <c r="I18" s="128">
        <f t="shared" ca="1" si="9"/>
        <v>1.2451170785233958</v>
      </c>
      <c r="J18"/>
      <c r="Y18" s="19"/>
      <c r="AE18" s="110" t="s">
        <v>103</v>
      </c>
      <c r="AF18" s="105" t="str">
        <f t="shared" ca="1" si="2"/>
        <v/>
      </c>
      <c r="AG18" s="106">
        <f ca="1">AVERAGE(AF18:AF22)</f>
        <v>1557</v>
      </c>
      <c r="AH18" s="107">
        <f t="shared" ca="1" si="11"/>
        <v>0</v>
      </c>
    </row>
    <row r="19" spans="1:34" x14ac:dyDescent="0.2">
      <c r="A19" s="120">
        <v>40933</v>
      </c>
      <c r="B19" s="126">
        <f t="shared" si="3"/>
        <v>25</v>
      </c>
      <c r="C19" s="126">
        <f t="shared" si="4"/>
        <v>5</v>
      </c>
      <c r="D19" s="126">
        <f t="shared" si="5"/>
        <v>1</v>
      </c>
      <c r="E19" s="127" t="str">
        <f t="shared" si="6"/>
        <v>15</v>
      </c>
      <c r="F19" s="121">
        <v>350</v>
      </c>
      <c r="G19" s="128">
        <f t="shared" ca="1" si="7"/>
        <v>0.9767441860465117</v>
      </c>
      <c r="H19" s="128">
        <f t="shared" ca="1" si="8"/>
        <v>1.3395348837209302</v>
      </c>
      <c r="I19" s="128">
        <f t="shared" ca="1" si="9"/>
        <v>1.2451170785233958</v>
      </c>
      <c r="J19"/>
      <c r="Y19" s="19"/>
      <c r="AE19" s="110" t="s">
        <v>104</v>
      </c>
      <c r="AF19" s="105">
        <f t="shared" ca="1" si="2"/>
        <v>1430</v>
      </c>
      <c r="AG19" s="106">
        <f ca="1">AG18</f>
        <v>1557</v>
      </c>
      <c r="AH19" s="107">
        <f t="shared" ca="1" si="11"/>
        <v>0.91843288375080279</v>
      </c>
    </row>
    <row r="20" spans="1:34" x14ac:dyDescent="0.2">
      <c r="A20" s="120">
        <v>40934</v>
      </c>
      <c r="B20" s="126">
        <f t="shared" si="3"/>
        <v>26</v>
      </c>
      <c r="C20" s="126">
        <f t="shared" si="4"/>
        <v>5</v>
      </c>
      <c r="D20" s="126">
        <f t="shared" si="5"/>
        <v>1</v>
      </c>
      <c r="E20" s="127" t="str">
        <f t="shared" si="6"/>
        <v>15</v>
      </c>
      <c r="F20" s="121">
        <v>327</v>
      </c>
      <c r="G20" s="128">
        <f t="shared" ca="1" si="7"/>
        <v>0.91255813953488374</v>
      </c>
      <c r="H20" s="128">
        <f t="shared" ca="1" si="8"/>
        <v>1.3395348837209302</v>
      </c>
      <c r="I20" s="128">
        <f t="shared" ca="1" si="9"/>
        <v>1.2451170785233958</v>
      </c>
      <c r="J20"/>
      <c r="AE20" s="110" t="s">
        <v>105</v>
      </c>
      <c r="AF20" s="105">
        <f t="shared" ca="1" si="2"/>
        <v>1714</v>
      </c>
      <c r="AG20" s="106">
        <f t="shared" ref="AG20:AG22" ca="1" si="15">AG19</f>
        <v>1557</v>
      </c>
      <c r="AH20" s="107">
        <f t="shared" ca="1" si="11"/>
        <v>1.1008349389852281</v>
      </c>
    </row>
    <row r="21" spans="1:34" x14ac:dyDescent="0.2">
      <c r="A21" s="120">
        <v>40935</v>
      </c>
      <c r="B21" s="126">
        <f t="shared" si="3"/>
        <v>27</v>
      </c>
      <c r="C21" s="126">
        <f t="shared" si="4"/>
        <v>5</v>
      </c>
      <c r="D21" s="126">
        <f t="shared" si="5"/>
        <v>1</v>
      </c>
      <c r="E21" s="127" t="str">
        <f t="shared" si="6"/>
        <v>15</v>
      </c>
      <c r="F21" s="121">
        <v>275</v>
      </c>
      <c r="G21" s="128">
        <f t="shared" ca="1" si="7"/>
        <v>0.76744186046511631</v>
      </c>
      <c r="H21" s="128">
        <f t="shared" ca="1" si="8"/>
        <v>1.3395348837209302</v>
      </c>
      <c r="I21" s="128">
        <f t="shared" ca="1" si="9"/>
        <v>1.2451170785233958</v>
      </c>
      <c r="J21"/>
      <c r="AE21" s="110" t="s">
        <v>106</v>
      </c>
      <c r="AF21" s="105">
        <f t="shared" ca="1" si="2"/>
        <v>1518</v>
      </c>
      <c r="AG21" s="106">
        <f t="shared" ca="1" si="15"/>
        <v>1557</v>
      </c>
      <c r="AH21" s="107">
        <f t="shared" ca="1" si="11"/>
        <v>0.97495183044315992</v>
      </c>
    </row>
    <row r="22" spans="1:34" x14ac:dyDescent="0.2">
      <c r="A22" s="120">
        <v>40938</v>
      </c>
      <c r="B22" s="126">
        <f t="shared" si="3"/>
        <v>30</v>
      </c>
      <c r="C22" s="126">
        <f t="shared" si="4"/>
        <v>5</v>
      </c>
      <c r="D22" s="126">
        <f t="shared" si="5"/>
        <v>1</v>
      </c>
      <c r="E22" s="127" t="str">
        <f t="shared" si="6"/>
        <v>15</v>
      </c>
      <c r="F22" s="121">
        <v>400</v>
      </c>
      <c r="G22" s="128">
        <f t="shared" ca="1" si="7"/>
        <v>1.1162790697674418</v>
      </c>
      <c r="H22" s="128">
        <f t="shared" ca="1" si="8"/>
        <v>1.3395348837209302</v>
      </c>
      <c r="I22" s="128">
        <f t="shared" ca="1" si="9"/>
        <v>1.2451170785233958</v>
      </c>
      <c r="J22"/>
      <c r="AE22" s="110" t="s">
        <v>107</v>
      </c>
      <c r="AF22" s="105">
        <f t="shared" ca="1" si="2"/>
        <v>1566</v>
      </c>
      <c r="AG22" s="106">
        <f t="shared" ca="1" si="15"/>
        <v>1557</v>
      </c>
      <c r="AH22" s="107">
        <f t="shared" ca="1" si="11"/>
        <v>1.0057803468208093</v>
      </c>
    </row>
    <row r="23" spans="1:34" x14ac:dyDescent="0.2">
      <c r="A23" s="120">
        <v>40939</v>
      </c>
      <c r="B23" s="126">
        <f t="shared" si="3"/>
        <v>31</v>
      </c>
      <c r="C23" s="126">
        <f t="shared" si="4"/>
        <v>5</v>
      </c>
      <c r="D23" s="126">
        <f t="shared" si="5"/>
        <v>1</v>
      </c>
      <c r="E23" s="127" t="str">
        <f t="shared" si="6"/>
        <v>15</v>
      </c>
      <c r="F23" s="121">
        <v>402</v>
      </c>
      <c r="G23" s="128">
        <f t="shared" ca="1" si="7"/>
        <v>1.1218604651162791</v>
      </c>
      <c r="H23" s="128">
        <f t="shared" ca="1" si="8"/>
        <v>1.3395348837209302</v>
      </c>
      <c r="I23" s="128">
        <f t="shared" ca="1" si="9"/>
        <v>1.2451170785233958</v>
      </c>
      <c r="J23"/>
      <c r="AE23" s="110" t="s">
        <v>108</v>
      </c>
      <c r="AF23" s="105">
        <f t="shared" ca="1" si="2"/>
        <v>1004</v>
      </c>
      <c r="AG23" s="106">
        <f ca="1">AVERAGE(AF23:AF27)</f>
        <v>1096.4315561335068</v>
      </c>
      <c r="AH23" s="107">
        <f t="shared" ca="1" si="11"/>
        <v>0.91569783301434649</v>
      </c>
    </row>
    <row r="24" spans="1:34" x14ac:dyDescent="0.2">
      <c r="A24" s="120">
        <v>40940</v>
      </c>
      <c r="B24" s="126">
        <f t="shared" si="3"/>
        <v>1</v>
      </c>
      <c r="C24" s="126">
        <f t="shared" si="4"/>
        <v>1</v>
      </c>
      <c r="D24" s="126">
        <f t="shared" si="5"/>
        <v>2</v>
      </c>
      <c r="E24" s="127" t="str">
        <f t="shared" si="6"/>
        <v>21</v>
      </c>
      <c r="F24" s="121">
        <v>360</v>
      </c>
      <c r="G24" s="128">
        <f t="shared" ca="1" si="7"/>
        <v>1.0923276983094929</v>
      </c>
      <c r="H24" s="128">
        <f t="shared" ca="1" si="8"/>
        <v>0.7289409044935703</v>
      </c>
      <c r="I24" s="128">
        <f t="shared" ca="1" si="9"/>
        <v>1.1451767841143417</v>
      </c>
      <c r="J24"/>
      <c r="AE24" s="110" t="s">
        <v>109</v>
      </c>
      <c r="AF24" s="105">
        <f t="shared" ca="1" si="2"/>
        <v>1233.1577806675336</v>
      </c>
      <c r="AG24" s="106">
        <f ca="1">AG23</f>
        <v>1096.4315561335068</v>
      </c>
      <c r="AH24" s="107">
        <f t="shared" ca="1" si="11"/>
        <v>1.124701103109603</v>
      </c>
    </row>
    <row r="25" spans="1:34" x14ac:dyDescent="0.2">
      <c r="A25" s="120">
        <v>40941</v>
      </c>
      <c r="B25" s="126">
        <f t="shared" si="3"/>
        <v>2</v>
      </c>
      <c r="C25" s="126">
        <f t="shared" si="4"/>
        <v>1</v>
      </c>
      <c r="D25" s="126">
        <f t="shared" si="5"/>
        <v>2</v>
      </c>
      <c r="E25" s="127" t="str">
        <f t="shared" si="6"/>
        <v>21</v>
      </c>
      <c r="F25" s="121">
        <v>361</v>
      </c>
      <c r="G25" s="128">
        <f t="shared" ca="1" si="7"/>
        <v>1.0953619419159082</v>
      </c>
      <c r="H25" s="128">
        <f t="shared" ca="1" si="8"/>
        <v>0.7289409044935703</v>
      </c>
      <c r="I25" s="128">
        <f t="shared" ca="1" si="9"/>
        <v>1.1451767841143417</v>
      </c>
      <c r="J25"/>
      <c r="AE25" s="110" t="s">
        <v>110</v>
      </c>
      <c r="AF25" s="105">
        <f t="shared" ca="1" si="2"/>
        <v>1253</v>
      </c>
      <c r="AG25" s="106">
        <f t="shared" ref="AG25:AG27" ca="1" si="16">AG24</f>
        <v>1096.4315561335068</v>
      </c>
      <c r="AH25" s="107">
        <f t="shared" ca="1" si="11"/>
        <v>1.1427981919989803</v>
      </c>
    </row>
    <row r="26" spans="1:34" x14ac:dyDescent="0.2">
      <c r="A26" s="120">
        <v>40942</v>
      </c>
      <c r="B26" s="126">
        <f t="shared" si="3"/>
        <v>3</v>
      </c>
      <c r="C26" s="126">
        <f t="shared" si="4"/>
        <v>1</v>
      </c>
      <c r="D26" s="126">
        <f t="shared" si="5"/>
        <v>2</v>
      </c>
      <c r="E26" s="127" t="str">
        <f t="shared" si="6"/>
        <v>21</v>
      </c>
      <c r="F26" s="121">
        <v>288</v>
      </c>
      <c r="G26" s="128">
        <f t="shared" ca="1" si="7"/>
        <v>0.87386215864759431</v>
      </c>
      <c r="H26" s="128">
        <f t="shared" ca="1" si="8"/>
        <v>0.7289409044935703</v>
      </c>
      <c r="I26" s="128">
        <f t="shared" ca="1" si="9"/>
        <v>1.1451767841143417</v>
      </c>
      <c r="J26"/>
      <c r="AE26" s="110" t="s">
        <v>111</v>
      </c>
      <c r="AF26" s="105">
        <f t="shared" ca="1" si="2"/>
        <v>1211</v>
      </c>
      <c r="AG26" s="106">
        <f t="shared" ca="1" si="16"/>
        <v>1096.4315561335068</v>
      </c>
      <c r="AH26" s="107">
        <f t="shared" ca="1" si="11"/>
        <v>1.1044921073509697</v>
      </c>
    </row>
    <row r="27" spans="1:34" x14ac:dyDescent="0.2">
      <c r="A27" s="120">
        <v>40945</v>
      </c>
      <c r="B27" s="126">
        <f t="shared" si="3"/>
        <v>6</v>
      </c>
      <c r="C27" s="126">
        <f t="shared" si="4"/>
        <v>2</v>
      </c>
      <c r="D27" s="126">
        <f t="shared" si="5"/>
        <v>2</v>
      </c>
      <c r="E27" s="127" t="str">
        <f t="shared" si="6"/>
        <v>22</v>
      </c>
      <c r="F27" s="121">
        <v>412</v>
      </c>
      <c r="G27" s="128">
        <f t="shared" ca="1" si="7"/>
        <v>1.2501083658430863</v>
      </c>
      <c r="H27" s="128">
        <f t="shared" ca="1" si="8"/>
        <v>1.3271203583297211</v>
      </c>
      <c r="I27" s="128">
        <f t="shared" ca="1" si="9"/>
        <v>1.1451767841143417</v>
      </c>
      <c r="J27"/>
      <c r="AE27" s="110" t="s">
        <v>112</v>
      </c>
      <c r="AF27" s="105">
        <f t="shared" ca="1" si="2"/>
        <v>781</v>
      </c>
      <c r="AG27" s="106">
        <f t="shared" ca="1" si="16"/>
        <v>1096.4315561335068</v>
      </c>
      <c r="AH27" s="107">
        <f t="shared" ca="1" si="11"/>
        <v>0.7123107645261002</v>
      </c>
    </row>
    <row r="28" spans="1:34" x14ac:dyDescent="0.2">
      <c r="A28" s="120">
        <v>40946</v>
      </c>
      <c r="B28" s="126">
        <f t="shared" si="3"/>
        <v>7</v>
      </c>
      <c r="C28" s="126">
        <f t="shared" si="4"/>
        <v>2</v>
      </c>
      <c r="D28" s="126">
        <f t="shared" si="5"/>
        <v>2</v>
      </c>
      <c r="E28" s="127" t="str">
        <f t="shared" si="6"/>
        <v>22</v>
      </c>
      <c r="F28" s="121">
        <v>388</v>
      </c>
      <c r="G28" s="128">
        <f t="shared" ca="1" si="7"/>
        <v>1.1772865192891202</v>
      </c>
      <c r="H28" s="128">
        <f t="shared" ca="1" si="8"/>
        <v>1.3271203583297211</v>
      </c>
      <c r="I28" s="128">
        <f t="shared" ca="1" si="9"/>
        <v>1.1451767841143417</v>
      </c>
      <c r="J28"/>
      <c r="AE28" s="110" t="s">
        <v>113</v>
      </c>
      <c r="AF28" s="105">
        <f t="shared" ca="1" si="2"/>
        <v>219</v>
      </c>
      <c r="AG28" s="106">
        <f ca="1">AVERAGE(AF28:AF32)</f>
        <v>1019.2521800170138</v>
      </c>
      <c r="AH28" s="107">
        <f t="shared" ca="1" si="11"/>
        <v>0.21486341093363603</v>
      </c>
    </row>
    <row r="29" spans="1:34" x14ac:dyDescent="0.2">
      <c r="A29" s="120">
        <v>40947</v>
      </c>
      <c r="B29" s="126">
        <f t="shared" si="3"/>
        <v>8</v>
      </c>
      <c r="C29" s="126">
        <f t="shared" si="4"/>
        <v>2</v>
      </c>
      <c r="D29" s="126">
        <f t="shared" si="5"/>
        <v>2</v>
      </c>
      <c r="E29" s="127" t="str">
        <f t="shared" si="6"/>
        <v>22</v>
      </c>
      <c r="F29" s="121">
        <v>378</v>
      </c>
      <c r="G29" s="128">
        <f t="shared" ca="1" si="7"/>
        <v>1.1469440832249675</v>
      </c>
      <c r="H29" s="128">
        <f t="shared" ca="1" si="8"/>
        <v>1.3271203583297211</v>
      </c>
      <c r="I29" s="128">
        <f t="shared" ca="1" si="9"/>
        <v>1.1451767841143417</v>
      </c>
      <c r="J29"/>
      <c r="AE29" s="110" t="s">
        <v>114</v>
      </c>
      <c r="AF29" s="105">
        <f t="shared" ca="1" si="2"/>
        <v>1224</v>
      </c>
      <c r="AG29" s="106">
        <f ca="1">AG28</f>
        <v>1019.2521800170138</v>
      </c>
      <c r="AH29" s="107">
        <f t="shared" ca="1" si="11"/>
        <v>1.2008804337112808</v>
      </c>
    </row>
    <row r="30" spans="1:34" x14ac:dyDescent="0.2">
      <c r="A30" s="120">
        <v>40948</v>
      </c>
      <c r="B30" s="126">
        <f t="shared" si="3"/>
        <v>9</v>
      </c>
      <c r="C30" s="126">
        <f t="shared" si="4"/>
        <v>2</v>
      </c>
      <c r="D30" s="126">
        <f t="shared" si="5"/>
        <v>2</v>
      </c>
      <c r="E30" s="127" t="str">
        <f t="shared" si="6"/>
        <v>22</v>
      </c>
      <c r="F30" s="121">
        <v>342</v>
      </c>
      <c r="G30" s="128">
        <f t="shared" ca="1" si="7"/>
        <v>1.0377113133940183</v>
      </c>
      <c r="H30" s="128">
        <f t="shared" ca="1" si="8"/>
        <v>1.3271203583297211</v>
      </c>
      <c r="I30" s="128">
        <f t="shared" ca="1" si="9"/>
        <v>1.1451767841143417</v>
      </c>
      <c r="J30"/>
      <c r="AE30" s="110" t="s">
        <v>115</v>
      </c>
      <c r="AF30" s="105">
        <f t="shared" ca="1" si="2"/>
        <v>1166</v>
      </c>
      <c r="AG30" s="106">
        <f t="shared" ref="AG30:AG32" ca="1" si="17">AG29</f>
        <v>1019.2521800170138</v>
      </c>
      <c r="AH30" s="107">
        <f t="shared" ca="1" si="11"/>
        <v>1.1439759687151581</v>
      </c>
    </row>
    <row r="31" spans="1:34" x14ac:dyDescent="0.2">
      <c r="A31" s="120">
        <v>40949</v>
      </c>
      <c r="B31" s="126">
        <f t="shared" si="3"/>
        <v>10</v>
      </c>
      <c r="C31" s="126">
        <f t="shared" si="4"/>
        <v>2</v>
      </c>
      <c r="D31" s="126">
        <f t="shared" si="5"/>
        <v>2</v>
      </c>
      <c r="E31" s="127" t="str">
        <f t="shared" si="6"/>
        <v>22</v>
      </c>
      <c r="F31" s="121">
        <v>317</v>
      </c>
      <c r="G31" s="128">
        <f t="shared" ca="1" si="7"/>
        <v>0.96185522323363681</v>
      </c>
      <c r="H31" s="128">
        <f t="shared" ca="1" si="8"/>
        <v>1.3271203583297211</v>
      </c>
      <c r="I31" s="128">
        <f t="shared" ca="1" si="9"/>
        <v>1.1451767841143417</v>
      </c>
      <c r="J31"/>
      <c r="AE31" s="110" t="s">
        <v>116</v>
      </c>
      <c r="AF31" s="105">
        <f t="shared" ca="1" si="2"/>
        <v>1252</v>
      </c>
      <c r="AG31" s="106">
        <f t="shared" ca="1" si="17"/>
        <v>1019.2521800170138</v>
      </c>
      <c r="AH31" s="107">
        <f t="shared" ca="1" si="11"/>
        <v>1.2283515547438919</v>
      </c>
    </row>
    <row r="32" spans="1:34" x14ac:dyDescent="0.2">
      <c r="A32" s="120">
        <v>40952</v>
      </c>
      <c r="B32" s="126">
        <f t="shared" si="3"/>
        <v>13</v>
      </c>
      <c r="C32" s="126">
        <f t="shared" si="4"/>
        <v>3</v>
      </c>
      <c r="D32" s="126">
        <f t="shared" si="5"/>
        <v>2</v>
      </c>
      <c r="E32" s="127" t="str">
        <f t="shared" si="6"/>
        <v>23</v>
      </c>
      <c r="F32" s="121">
        <v>414</v>
      </c>
      <c r="G32" s="128">
        <f t="shared" ca="1" si="7"/>
        <v>1.2561768530559168</v>
      </c>
      <c r="H32" s="128">
        <f t="shared" ca="1" si="8"/>
        <v>1.2346481722294467</v>
      </c>
      <c r="I32" s="128">
        <f t="shared" ca="1" si="9"/>
        <v>1.1451767841143417</v>
      </c>
      <c r="J32"/>
      <c r="AE32" s="110" t="s">
        <v>117</v>
      </c>
      <c r="AF32" s="105">
        <f t="shared" ca="1" si="2"/>
        <v>1235.2609000850687</v>
      </c>
      <c r="AG32" s="106">
        <f t="shared" ca="1" si="17"/>
        <v>1019.2521800170138</v>
      </c>
      <c r="AH32" s="107">
        <f t="shared" ca="1" si="11"/>
        <v>1.2119286318960329</v>
      </c>
    </row>
    <row r="33" spans="1:34" x14ac:dyDescent="0.2">
      <c r="A33" s="120">
        <v>40953</v>
      </c>
      <c r="B33" s="126">
        <f t="shared" si="3"/>
        <v>14</v>
      </c>
      <c r="C33" s="126">
        <f t="shared" si="4"/>
        <v>3</v>
      </c>
      <c r="D33" s="126">
        <f t="shared" si="5"/>
        <v>2</v>
      </c>
      <c r="E33" s="127" t="str">
        <f t="shared" si="6"/>
        <v>23</v>
      </c>
      <c r="F33" s="121">
        <v>322</v>
      </c>
      <c r="G33" s="128">
        <f t="shared" ca="1" si="7"/>
        <v>0.97702644126571314</v>
      </c>
      <c r="H33" s="128">
        <f t="shared" ca="1" si="8"/>
        <v>1.2346481722294467</v>
      </c>
      <c r="I33" s="128">
        <f t="shared" ca="1" si="9"/>
        <v>1.1451767841143417</v>
      </c>
      <c r="J33"/>
      <c r="AE33" s="110" t="s">
        <v>118</v>
      </c>
      <c r="AF33" s="105" t="str">
        <f t="shared" ca="1" si="2"/>
        <v/>
      </c>
      <c r="AG33" s="106">
        <f ca="1">AVERAGE(AF33:AF37)</f>
        <v>1302.25</v>
      </c>
      <c r="AH33" s="107">
        <f t="shared" ca="1" si="11"/>
        <v>0</v>
      </c>
    </row>
    <row r="34" spans="1:34" x14ac:dyDescent="0.2">
      <c r="A34" s="120">
        <v>40954</v>
      </c>
      <c r="B34" s="126">
        <f t="shared" si="3"/>
        <v>15</v>
      </c>
      <c r="C34" s="126">
        <f t="shared" si="4"/>
        <v>3</v>
      </c>
      <c r="D34" s="126">
        <f t="shared" si="5"/>
        <v>2</v>
      </c>
      <c r="E34" s="127" t="str">
        <f t="shared" si="6"/>
        <v>23</v>
      </c>
      <c r="F34" s="121">
        <v>337</v>
      </c>
      <c r="G34" s="128">
        <f t="shared" ca="1" si="7"/>
        <v>1.0225400953619419</v>
      </c>
      <c r="H34" s="128">
        <f t="shared" ca="1" si="8"/>
        <v>1.2346481722294467</v>
      </c>
      <c r="I34" s="128">
        <f t="shared" ca="1" si="9"/>
        <v>1.1451767841143417</v>
      </c>
      <c r="J34"/>
      <c r="AE34" s="110" t="s">
        <v>119</v>
      </c>
      <c r="AF34" s="105">
        <f t="shared" ca="1" si="2"/>
        <v>835</v>
      </c>
      <c r="AG34" s="106">
        <f ca="1">AG33</f>
        <v>1302.25</v>
      </c>
      <c r="AH34" s="107">
        <f t="shared" ca="1" si="11"/>
        <v>0.64119792666538689</v>
      </c>
    </row>
    <row r="35" spans="1:34" x14ac:dyDescent="0.2">
      <c r="A35" s="120">
        <v>40955</v>
      </c>
      <c r="B35" s="126">
        <f t="shared" si="3"/>
        <v>16</v>
      </c>
      <c r="C35" s="126">
        <f t="shared" si="4"/>
        <v>3</v>
      </c>
      <c r="D35" s="126">
        <f t="shared" si="5"/>
        <v>2</v>
      </c>
      <c r="E35" s="127" t="str">
        <f t="shared" si="6"/>
        <v>23</v>
      </c>
      <c r="F35" s="121">
        <v>387</v>
      </c>
      <c r="G35" s="128">
        <f t="shared" ca="1" si="7"/>
        <v>1.174252275682705</v>
      </c>
      <c r="H35" s="128">
        <f t="shared" ca="1" si="8"/>
        <v>1.2346481722294467</v>
      </c>
      <c r="I35" s="128">
        <f t="shared" ca="1" si="9"/>
        <v>1.1451767841143417</v>
      </c>
      <c r="J35"/>
      <c r="AE35" s="110" t="s">
        <v>120</v>
      </c>
      <c r="AF35" s="105">
        <f t="shared" ref="AF35:AF62" ca="1" si="18">IF(SUMIF(E:F,AE35,$F:$F)&gt;0,SUMIF(E:F,AE35,$F:$F),"")</f>
        <v>1325</v>
      </c>
      <c r="AG35" s="106">
        <f t="shared" ref="AG35:AG37" ca="1" si="19">AG34</f>
        <v>1302.25</v>
      </c>
      <c r="AH35" s="107">
        <f t="shared" ca="1" si="11"/>
        <v>1.0174697638702246</v>
      </c>
    </row>
    <row r="36" spans="1:34" x14ac:dyDescent="0.2">
      <c r="A36" s="120">
        <v>40956</v>
      </c>
      <c r="B36" s="126">
        <f t="shared" si="3"/>
        <v>17</v>
      </c>
      <c r="C36" s="126">
        <f t="shared" si="4"/>
        <v>3</v>
      </c>
      <c r="D36" s="126">
        <f t="shared" si="5"/>
        <v>2</v>
      </c>
      <c r="E36" s="127" t="str">
        <f t="shared" si="6"/>
        <v>23</v>
      </c>
      <c r="F36" s="121">
        <v>249</v>
      </c>
      <c r="G36" s="128">
        <f t="shared" ca="1" si="7"/>
        <v>0.75552665799739926</v>
      </c>
      <c r="H36" s="128">
        <f t="shared" ca="1" si="8"/>
        <v>1.2346481722294467</v>
      </c>
      <c r="I36" s="128">
        <f t="shared" ca="1" si="9"/>
        <v>1.1451767841143417</v>
      </c>
      <c r="J36"/>
      <c r="AE36" s="110" t="s">
        <v>121</v>
      </c>
      <c r="AF36" s="105">
        <f t="shared" ca="1" si="18"/>
        <v>1236</v>
      </c>
      <c r="AG36" s="106">
        <f t="shared" ca="1" si="19"/>
        <v>1302.25</v>
      </c>
      <c r="AH36" s="107">
        <f t="shared" ca="1" si="11"/>
        <v>0.94912651180648877</v>
      </c>
    </row>
    <row r="37" spans="1:34" x14ac:dyDescent="0.2">
      <c r="A37" s="120">
        <v>40959</v>
      </c>
      <c r="B37" s="126">
        <f t="shared" si="3"/>
        <v>20</v>
      </c>
      <c r="C37" s="126">
        <f t="shared" si="4"/>
        <v>4</v>
      </c>
      <c r="D37" s="126">
        <f t="shared" si="5"/>
        <v>2</v>
      </c>
      <c r="E37" s="127" t="str">
        <f t="shared" si="6"/>
        <v>24</v>
      </c>
      <c r="F37" s="121">
        <v>52</v>
      </c>
      <c r="G37" s="128">
        <f t="shared" ca="1" si="7"/>
        <v>0.15778066753359343</v>
      </c>
      <c r="H37" s="128">
        <f t="shared" ca="1" si="8"/>
        <v>0.95795405288253144</v>
      </c>
      <c r="I37" s="128">
        <f t="shared" ca="1" si="9"/>
        <v>1.1451767841143417</v>
      </c>
      <c r="J37"/>
      <c r="AE37" s="110" t="s">
        <v>122</v>
      </c>
      <c r="AF37" s="105">
        <f t="shared" ca="1" si="18"/>
        <v>1813</v>
      </c>
      <c r="AG37" s="106">
        <f t="shared" ca="1" si="19"/>
        <v>1302.25</v>
      </c>
      <c r="AH37" s="107">
        <f t="shared" ca="1" si="11"/>
        <v>1.3922057976578999</v>
      </c>
    </row>
    <row r="38" spans="1:34" x14ac:dyDescent="0.2">
      <c r="A38" s="120">
        <v>40960</v>
      </c>
      <c r="B38" s="126">
        <f t="shared" si="3"/>
        <v>21</v>
      </c>
      <c r="C38" s="126">
        <f t="shared" si="4"/>
        <v>4</v>
      </c>
      <c r="D38" s="126">
        <f t="shared" si="5"/>
        <v>2</v>
      </c>
      <c r="E38" s="127" t="str">
        <f t="shared" si="6"/>
        <v>24</v>
      </c>
      <c r="F38" s="121">
        <v>388</v>
      </c>
      <c r="G38" s="128">
        <f t="shared" ca="1" si="7"/>
        <v>1.1772865192891202</v>
      </c>
      <c r="H38" s="128">
        <f t="shared" ca="1" si="8"/>
        <v>0.95795405288253144</v>
      </c>
      <c r="I38" s="128">
        <f t="shared" ca="1" si="9"/>
        <v>1.1451767841143417</v>
      </c>
      <c r="J38"/>
      <c r="AE38" s="110" t="s">
        <v>123</v>
      </c>
      <c r="AF38" s="105">
        <f t="shared" ca="1" si="18"/>
        <v>669</v>
      </c>
      <c r="AG38" s="106">
        <f ca="1">AVERAGE(AF38:AF42)</f>
        <v>1231.4573217726397</v>
      </c>
      <c r="AH38" s="107">
        <f t="shared" ca="1" si="11"/>
        <v>0.54325877817429991</v>
      </c>
    </row>
    <row r="39" spans="1:34" x14ac:dyDescent="0.2">
      <c r="A39" s="120">
        <v>40961</v>
      </c>
      <c r="B39" s="126">
        <f t="shared" si="3"/>
        <v>22</v>
      </c>
      <c r="C39" s="126">
        <f t="shared" si="4"/>
        <v>4</v>
      </c>
      <c r="D39" s="126">
        <f t="shared" si="5"/>
        <v>2</v>
      </c>
      <c r="E39" s="127" t="str">
        <f t="shared" si="6"/>
        <v>24</v>
      </c>
      <c r="F39" s="121">
        <v>298</v>
      </c>
      <c r="G39" s="128">
        <f t="shared" ca="1" si="7"/>
        <v>0.90420459471174686</v>
      </c>
      <c r="H39" s="128">
        <f t="shared" ca="1" si="8"/>
        <v>0.95795405288253144</v>
      </c>
      <c r="I39" s="128">
        <f t="shared" ca="1" si="9"/>
        <v>1.1451767841143417</v>
      </c>
      <c r="J39"/>
      <c r="AE39" s="110" t="s">
        <v>124</v>
      </c>
      <c r="AF39" s="105">
        <f t="shared" ca="1" si="18"/>
        <v>1250</v>
      </c>
      <c r="AG39" s="106">
        <f ca="1">AG38</f>
        <v>1231.4573217726397</v>
      </c>
      <c r="AH39" s="107">
        <f t="shared" ca="1" si="11"/>
        <v>1.0150575077995141</v>
      </c>
    </row>
    <row r="40" spans="1:34" x14ac:dyDescent="0.2">
      <c r="A40" s="120">
        <v>40962</v>
      </c>
      <c r="B40" s="126">
        <f t="shared" si="3"/>
        <v>23</v>
      </c>
      <c r="C40" s="126">
        <f t="shared" si="4"/>
        <v>4</v>
      </c>
      <c r="D40" s="126">
        <f t="shared" si="5"/>
        <v>2</v>
      </c>
      <c r="E40" s="127" t="str">
        <f t="shared" si="6"/>
        <v>24</v>
      </c>
      <c r="F40" s="121">
        <v>330</v>
      </c>
      <c r="G40" s="128">
        <f t="shared" ca="1" si="7"/>
        <v>1.0013003901170352</v>
      </c>
      <c r="H40" s="128">
        <f t="shared" ca="1" si="8"/>
        <v>0.95795405288253144</v>
      </c>
      <c r="I40" s="128">
        <f t="shared" ca="1" si="9"/>
        <v>1.1451767841143417</v>
      </c>
      <c r="J40"/>
      <c r="AE40" s="110" t="s">
        <v>125</v>
      </c>
      <c r="AF40" s="105">
        <f t="shared" ca="1" si="18"/>
        <v>1288</v>
      </c>
      <c r="AG40" s="106">
        <f t="shared" ref="AG40:AG42" ca="1" si="20">AG39</f>
        <v>1231.4573217726397</v>
      </c>
      <c r="AH40" s="107">
        <f t="shared" ca="1" si="11"/>
        <v>1.0459152560366194</v>
      </c>
    </row>
    <row r="41" spans="1:34" x14ac:dyDescent="0.2">
      <c r="A41" s="120">
        <v>40963</v>
      </c>
      <c r="B41" s="126">
        <f t="shared" si="3"/>
        <v>24</v>
      </c>
      <c r="C41" s="126">
        <f t="shared" si="4"/>
        <v>4</v>
      </c>
      <c r="D41" s="126">
        <f t="shared" si="5"/>
        <v>2</v>
      </c>
      <c r="E41" s="127" t="str">
        <f t="shared" si="6"/>
        <v>24</v>
      </c>
      <c r="F41" s="121">
        <v>258</v>
      </c>
      <c r="G41" s="128">
        <f t="shared" ca="1" si="7"/>
        <v>0.78283485045513657</v>
      </c>
      <c r="H41" s="128">
        <f t="shared" ca="1" si="8"/>
        <v>0.95795405288253144</v>
      </c>
      <c r="I41" s="128">
        <f t="shared" ca="1" si="9"/>
        <v>1.1451767841143417</v>
      </c>
      <c r="J41"/>
      <c r="AE41" s="110" t="s">
        <v>126</v>
      </c>
      <c r="AF41" s="105">
        <f t="shared" ca="1" si="18"/>
        <v>1380</v>
      </c>
      <c r="AG41" s="106">
        <f t="shared" ca="1" si="20"/>
        <v>1231.4573217726397</v>
      </c>
      <c r="AH41" s="107">
        <f t="shared" ca="1" si="11"/>
        <v>1.1206234886106636</v>
      </c>
    </row>
    <row r="42" spans="1:34" x14ac:dyDescent="0.2">
      <c r="A42" s="120">
        <v>40966</v>
      </c>
      <c r="B42" s="126">
        <f t="shared" si="3"/>
        <v>27</v>
      </c>
      <c r="C42" s="126">
        <f t="shared" si="4"/>
        <v>5</v>
      </c>
      <c r="D42" s="126">
        <f t="shared" si="5"/>
        <v>2</v>
      </c>
      <c r="E42" s="127" t="str">
        <f t="shared" si="6"/>
        <v>25</v>
      </c>
      <c r="F42" s="121">
        <v>348</v>
      </c>
      <c r="G42" s="128">
        <f t="shared" ca="1" si="7"/>
        <v>1.0559167750325098</v>
      </c>
      <c r="H42" s="128">
        <f t="shared" ca="1" si="8"/>
        <v>0.75133651206473051</v>
      </c>
      <c r="I42" s="128">
        <f t="shared" ca="1" si="9"/>
        <v>1.1451767841143417</v>
      </c>
      <c r="J42"/>
      <c r="AE42" s="110" t="s">
        <v>127</v>
      </c>
      <c r="AF42" s="105">
        <f t="shared" ca="1" si="18"/>
        <v>1570.2866088631986</v>
      </c>
      <c r="AG42" s="106">
        <f t="shared" ca="1" si="20"/>
        <v>1231.4573217726397</v>
      </c>
      <c r="AH42" s="107">
        <f t="shared" ca="1" si="11"/>
        <v>1.275144969378903</v>
      </c>
    </row>
    <row r="43" spans="1:34" x14ac:dyDescent="0.2">
      <c r="A43" s="120">
        <v>40967</v>
      </c>
      <c r="B43" s="126">
        <f t="shared" si="3"/>
        <v>28</v>
      </c>
      <c r="C43" s="126">
        <f t="shared" si="4"/>
        <v>5</v>
      </c>
      <c r="D43" s="126">
        <f t="shared" si="5"/>
        <v>2</v>
      </c>
      <c r="E43" s="127" t="str">
        <f t="shared" si="6"/>
        <v>25</v>
      </c>
      <c r="F43" s="121">
        <v>363</v>
      </c>
      <c r="G43" s="128">
        <f t="shared" ca="1" si="7"/>
        <v>1.1014304291287387</v>
      </c>
      <c r="H43" s="128">
        <f t="shared" ca="1" si="8"/>
        <v>0.75133651206473051</v>
      </c>
      <c r="I43" s="128">
        <f t="shared" ca="1" si="9"/>
        <v>1.1451767841143417</v>
      </c>
      <c r="J43"/>
      <c r="AE43" s="110" t="s">
        <v>128</v>
      </c>
      <c r="AF43" s="105" t="str">
        <f t="shared" ca="1" si="18"/>
        <v/>
      </c>
      <c r="AG43" s="106">
        <f ca="1">AVERAGE(AF43:AF47)</f>
        <v>1460.5</v>
      </c>
      <c r="AH43" s="107">
        <f t="shared" ca="1" si="11"/>
        <v>0</v>
      </c>
    </row>
    <row r="44" spans="1:34" x14ac:dyDescent="0.2">
      <c r="A44" s="120">
        <v>40968</v>
      </c>
      <c r="B44" s="126">
        <f t="shared" si="3"/>
        <v>29</v>
      </c>
      <c r="C44" s="126">
        <f t="shared" si="4"/>
        <v>5</v>
      </c>
      <c r="D44" s="126">
        <f t="shared" si="5"/>
        <v>2</v>
      </c>
      <c r="E44" s="127" t="str">
        <f t="shared" si="6"/>
        <v>25</v>
      </c>
      <c r="F44" s="121">
        <v>329</v>
      </c>
      <c r="G44" s="128">
        <f t="shared" ca="1" si="7"/>
        <v>0.99826614651061996</v>
      </c>
      <c r="H44" s="128">
        <f t="shared" ca="1" si="8"/>
        <v>0.75133651206473051</v>
      </c>
      <c r="I44" s="128">
        <f t="shared" ca="1" si="9"/>
        <v>1.1451767841143417</v>
      </c>
      <c r="J44"/>
      <c r="AE44" s="110" t="s">
        <v>129</v>
      </c>
      <c r="AF44" s="105">
        <f t="shared" ca="1" si="18"/>
        <v>1520</v>
      </c>
      <c r="AG44" s="106">
        <f ca="1">AG43</f>
        <v>1460.5</v>
      </c>
      <c r="AH44" s="107">
        <f t="shared" ca="1" si="11"/>
        <v>1.0407394727832935</v>
      </c>
    </row>
    <row r="45" spans="1:34" x14ac:dyDescent="0.2">
      <c r="A45" s="120">
        <v>40969</v>
      </c>
      <c r="B45" s="126">
        <f t="shared" si="3"/>
        <v>1</v>
      </c>
      <c r="C45" s="126">
        <f t="shared" si="4"/>
        <v>1</v>
      </c>
      <c r="D45" s="126">
        <f t="shared" si="5"/>
        <v>3</v>
      </c>
      <c r="E45" s="127" t="str">
        <f t="shared" si="6"/>
        <v>31</v>
      </c>
      <c r="F45" s="121">
        <v>316</v>
      </c>
      <c r="G45" s="128">
        <f t="shared" ca="1" si="7"/>
        <v>1.0177133655394526</v>
      </c>
      <c r="H45" s="128">
        <f t="shared" ca="1" si="8"/>
        <v>0.4245352071439028</v>
      </c>
      <c r="I45" s="128">
        <f t="shared" ca="1" si="9"/>
        <v>1.1302850183911384</v>
      </c>
      <c r="J45"/>
      <c r="AE45" s="110" t="s">
        <v>130</v>
      </c>
      <c r="AF45" s="105">
        <f t="shared" ca="1" si="18"/>
        <v>1633</v>
      </c>
      <c r="AG45" s="106">
        <f t="shared" ref="AG45:AG47" ca="1" si="21">AG44</f>
        <v>1460.5</v>
      </c>
      <c r="AH45" s="107">
        <f t="shared" ca="1" si="11"/>
        <v>1.1181102362204725</v>
      </c>
    </row>
    <row r="46" spans="1:34" x14ac:dyDescent="0.2">
      <c r="A46" s="120">
        <v>40970</v>
      </c>
      <c r="B46" s="126">
        <f t="shared" si="3"/>
        <v>2</v>
      </c>
      <c r="C46" s="126">
        <f t="shared" si="4"/>
        <v>1</v>
      </c>
      <c r="D46" s="126">
        <f t="shared" si="5"/>
        <v>3</v>
      </c>
      <c r="E46" s="127" t="str">
        <f t="shared" si="6"/>
        <v>31</v>
      </c>
      <c r="F46" s="121">
        <v>264</v>
      </c>
      <c r="G46" s="128">
        <f t="shared" ca="1" si="7"/>
        <v>0.85024154589371981</v>
      </c>
      <c r="H46" s="128">
        <f t="shared" ca="1" si="8"/>
        <v>0.4245352071439028</v>
      </c>
      <c r="I46" s="128">
        <f t="shared" ca="1" si="9"/>
        <v>1.1302850183911384</v>
      </c>
      <c r="J46"/>
      <c r="AE46" s="110" t="s">
        <v>131</v>
      </c>
      <c r="AF46" s="105">
        <f t="shared" ca="1" si="18"/>
        <v>1426</v>
      </c>
      <c r="AG46" s="106">
        <f t="shared" ca="1" si="21"/>
        <v>1460.5</v>
      </c>
      <c r="AH46" s="107">
        <f t="shared" ca="1" si="11"/>
        <v>0.97637795275590555</v>
      </c>
    </row>
    <row r="47" spans="1:34" x14ac:dyDescent="0.2">
      <c r="A47" s="120">
        <v>40973</v>
      </c>
      <c r="B47" s="126">
        <f t="shared" si="3"/>
        <v>5</v>
      </c>
      <c r="C47" s="126">
        <f t="shared" si="4"/>
        <v>2</v>
      </c>
      <c r="D47" s="126">
        <f t="shared" si="5"/>
        <v>3</v>
      </c>
      <c r="E47" s="127" t="str">
        <f t="shared" si="6"/>
        <v>32</v>
      </c>
      <c r="F47" s="121">
        <v>374</v>
      </c>
      <c r="G47" s="128">
        <f t="shared" ca="1" si="7"/>
        <v>1.2045088566827697</v>
      </c>
      <c r="H47" s="128">
        <f t="shared" ca="1" si="8"/>
        <v>1.2048016395842482</v>
      </c>
      <c r="I47" s="128">
        <f t="shared" ca="1" si="9"/>
        <v>1.1302850183911384</v>
      </c>
      <c r="J47"/>
      <c r="AE47" s="110" t="s">
        <v>132</v>
      </c>
      <c r="AF47" s="105">
        <f t="shared" ca="1" si="18"/>
        <v>1263</v>
      </c>
      <c r="AG47" s="106">
        <f t="shared" ca="1" si="21"/>
        <v>1460.5</v>
      </c>
      <c r="AH47" s="107">
        <f t="shared" ca="1" si="11"/>
        <v>0.86477233824032862</v>
      </c>
    </row>
    <row r="48" spans="1:34" x14ac:dyDescent="0.2">
      <c r="A48" s="120">
        <v>40974</v>
      </c>
      <c r="B48" s="126">
        <f t="shared" si="3"/>
        <v>6</v>
      </c>
      <c r="C48" s="126">
        <f t="shared" si="4"/>
        <v>2</v>
      </c>
      <c r="D48" s="126">
        <f t="shared" si="5"/>
        <v>3</v>
      </c>
      <c r="E48" s="127" t="str">
        <f t="shared" si="6"/>
        <v>32</v>
      </c>
      <c r="F48" s="121">
        <v>382</v>
      </c>
      <c r="G48" s="128">
        <f t="shared" ca="1" si="7"/>
        <v>1.2302737520128824</v>
      </c>
      <c r="H48" s="128">
        <f t="shared" ca="1" si="8"/>
        <v>1.2048016395842482</v>
      </c>
      <c r="I48" s="128">
        <f t="shared" ca="1" si="9"/>
        <v>1.1302850183911384</v>
      </c>
      <c r="J48"/>
      <c r="AE48" s="110" t="s">
        <v>133</v>
      </c>
      <c r="AF48" s="105">
        <f t="shared" ca="1" si="18"/>
        <v>1285</v>
      </c>
      <c r="AG48" s="106">
        <f ca="1">AVERAGE(AF48:AF52)</f>
        <v>1160.2</v>
      </c>
      <c r="AH48" s="107">
        <f t="shared" ca="1" si="11"/>
        <v>1.1075676607481468</v>
      </c>
    </row>
    <row r="49" spans="1:34" x14ac:dyDescent="0.2">
      <c r="A49" s="120">
        <v>40975</v>
      </c>
      <c r="B49" s="126">
        <f t="shared" si="3"/>
        <v>7</v>
      </c>
      <c r="C49" s="126">
        <f t="shared" si="4"/>
        <v>2</v>
      </c>
      <c r="D49" s="126">
        <f t="shared" si="5"/>
        <v>3</v>
      </c>
      <c r="E49" s="127" t="str">
        <f t="shared" si="6"/>
        <v>32</v>
      </c>
      <c r="F49" s="121">
        <v>337</v>
      </c>
      <c r="G49" s="128">
        <f t="shared" ca="1" si="7"/>
        <v>1.0853462157809983</v>
      </c>
      <c r="H49" s="128">
        <f t="shared" ca="1" si="8"/>
        <v>1.2048016395842482</v>
      </c>
      <c r="I49" s="128">
        <f t="shared" ca="1" si="9"/>
        <v>1.1302850183911384</v>
      </c>
      <c r="J49"/>
      <c r="AE49" s="110" t="s">
        <v>134</v>
      </c>
      <c r="AF49" s="105">
        <f t="shared" ca="1" si="18"/>
        <v>1330</v>
      </c>
      <c r="AG49" s="106">
        <f ca="1">AG48</f>
        <v>1160.2</v>
      </c>
      <c r="AH49" s="107">
        <f t="shared" ca="1" si="11"/>
        <v>1.146354076883296</v>
      </c>
    </row>
    <row r="50" spans="1:34" x14ac:dyDescent="0.2">
      <c r="A50" s="120">
        <v>40976</v>
      </c>
      <c r="B50" s="126">
        <f t="shared" si="3"/>
        <v>8</v>
      </c>
      <c r="C50" s="126">
        <f t="shared" si="4"/>
        <v>2</v>
      </c>
      <c r="D50" s="126">
        <f t="shared" si="5"/>
        <v>3</v>
      </c>
      <c r="E50" s="127" t="str">
        <f t="shared" si="6"/>
        <v>32</v>
      </c>
      <c r="F50" s="121">
        <v>294</v>
      </c>
      <c r="G50" s="128">
        <f t="shared" ca="1" si="7"/>
        <v>0.9468599033816425</v>
      </c>
      <c r="H50" s="128">
        <f t="shared" ca="1" si="8"/>
        <v>1.2048016395842482</v>
      </c>
      <c r="I50" s="128">
        <f t="shared" ca="1" si="9"/>
        <v>1.1302850183911384</v>
      </c>
      <c r="J50"/>
      <c r="AE50" s="110" t="s">
        <v>135</v>
      </c>
      <c r="AF50" s="105">
        <f t="shared" ca="1" si="18"/>
        <v>1325</v>
      </c>
      <c r="AG50" s="106">
        <f t="shared" ref="AG50:AG52" ca="1" si="22">AG49</f>
        <v>1160.2</v>
      </c>
      <c r="AH50" s="107">
        <f t="shared" ca="1" si="11"/>
        <v>1.1420444750905017</v>
      </c>
    </row>
    <row r="51" spans="1:34" x14ac:dyDescent="0.2">
      <c r="A51" s="120">
        <v>40977</v>
      </c>
      <c r="B51" s="126">
        <f t="shared" si="3"/>
        <v>9</v>
      </c>
      <c r="C51" s="126">
        <f t="shared" si="4"/>
        <v>2</v>
      </c>
      <c r="D51" s="126">
        <f t="shared" si="5"/>
        <v>3</v>
      </c>
      <c r="E51" s="127" t="str">
        <f t="shared" si="6"/>
        <v>32</v>
      </c>
      <c r="F51" s="121">
        <v>259</v>
      </c>
      <c r="G51" s="128">
        <f t="shared" ca="1" si="7"/>
        <v>0.8341384863123994</v>
      </c>
      <c r="H51" s="128">
        <f t="shared" ca="1" si="8"/>
        <v>1.2048016395842482</v>
      </c>
      <c r="I51" s="128">
        <f t="shared" ca="1" si="9"/>
        <v>1.1302850183911384</v>
      </c>
      <c r="J51"/>
      <c r="AE51" s="110" t="s">
        <v>136</v>
      </c>
      <c r="AF51" s="105">
        <f t="shared" ca="1" si="18"/>
        <v>1225</v>
      </c>
      <c r="AG51" s="106">
        <f t="shared" ca="1" si="22"/>
        <v>1160.2</v>
      </c>
      <c r="AH51" s="107">
        <f t="shared" ca="1" si="11"/>
        <v>1.0558524392346147</v>
      </c>
    </row>
    <row r="52" spans="1:34" x14ac:dyDescent="0.2">
      <c r="A52" s="120">
        <v>40980</v>
      </c>
      <c r="B52" s="126">
        <f t="shared" si="3"/>
        <v>12</v>
      </c>
      <c r="C52" s="126">
        <f t="shared" si="4"/>
        <v>3</v>
      </c>
      <c r="D52" s="126">
        <f t="shared" si="5"/>
        <v>3</v>
      </c>
      <c r="E52" s="127" t="str">
        <f t="shared" si="6"/>
        <v>33</v>
      </c>
      <c r="F52" s="121">
        <v>364</v>
      </c>
      <c r="G52" s="128">
        <f t="shared" ca="1" si="7"/>
        <v>1.1723027375201289</v>
      </c>
      <c r="H52" s="128">
        <f t="shared" ca="1" si="8"/>
        <v>1.1440491875274483</v>
      </c>
      <c r="I52" s="128">
        <f t="shared" ca="1" si="9"/>
        <v>1.1302850183911384</v>
      </c>
      <c r="J52"/>
      <c r="AE52" s="110" t="s">
        <v>137</v>
      </c>
      <c r="AF52" s="105">
        <f t="shared" ca="1" si="18"/>
        <v>636</v>
      </c>
      <c r="AG52" s="106">
        <f t="shared" ca="1" si="22"/>
        <v>1160.2</v>
      </c>
      <c r="AH52" s="107">
        <f t="shared" ca="1" si="11"/>
        <v>0.54818134804344076</v>
      </c>
    </row>
    <row r="53" spans="1:34" x14ac:dyDescent="0.2">
      <c r="A53" s="120">
        <v>40981</v>
      </c>
      <c r="B53" s="126">
        <f t="shared" si="3"/>
        <v>13</v>
      </c>
      <c r="C53" s="126">
        <f t="shared" si="4"/>
        <v>3</v>
      </c>
      <c r="D53" s="126">
        <f t="shared" si="5"/>
        <v>3</v>
      </c>
      <c r="E53" s="127" t="str">
        <f t="shared" si="6"/>
        <v>33</v>
      </c>
      <c r="F53" s="121">
        <v>328</v>
      </c>
      <c r="G53" s="128">
        <f t="shared" ca="1" si="7"/>
        <v>1.0563607085346216</v>
      </c>
      <c r="H53" s="128">
        <f t="shared" ca="1" si="8"/>
        <v>1.1440491875274483</v>
      </c>
      <c r="I53" s="128">
        <f t="shared" ca="1" si="9"/>
        <v>1.1302850183911384</v>
      </c>
      <c r="J53"/>
      <c r="AE53" s="110" t="s">
        <v>138</v>
      </c>
      <c r="AF53" s="105">
        <f t="shared" ca="1" si="18"/>
        <v>458</v>
      </c>
      <c r="AG53" s="106">
        <f ca="1">AVERAGE(AF53:AF57)</f>
        <v>1090.4907129526546</v>
      </c>
      <c r="AH53" s="107">
        <f t="shared" ca="1" si="11"/>
        <v>0.41999440670145793</v>
      </c>
    </row>
    <row r="54" spans="1:34" x14ac:dyDescent="0.2">
      <c r="A54" s="120">
        <v>40982</v>
      </c>
      <c r="B54" s="126">
        <f t="shared" si="3"/>
        <v>14</v>
      </c>
      <c r="C54" s="126">
        <f t="shared" si="4"/>
        <v>3</v>
      </c>
      <c r="D54" s="126">
        <f t="shared" si="5"/>
        <v>3</v>
      </c>
      <c r="E54" s="127" t="str">
        <f t="shared" si="6"/>
        <v>33</v>
      </c>
      <c r="F54" s="121">
        <v>346</v>
      </c>
      <c r="G54" s="128">
        <f t="shared" ca="1" si="7"/>
        <v>1.1143317230273753</v>
      </c>
      <c r="H54" s="128">
        <f t="shared" ca="1" si="8"/>
        <v>1.1440491875274483</v>
      </c>
      <c r="I54" s="128">
        <f t="shared" ca="1" si="9"/>
        <v>1.1302850183911384</v>
      </c>
      <c r="J54"/>
      <c r="AE54" s="110" t="s">
        <v>139</v>
      </c>
      <c r="AF54" s="105">
        <f t="shared" ca="1" si="18"/>
        <v>1235</v>
      </c>
      <c r="AG54" s="106">
        <f ca="1">AG53</f>
        <v>1090.4907129526546</v>
      </c>
      <c r="AH54" s="107">
        <f t="shared" ca="1" si="11"/>
        <v>1.1325176687255469</v>
      </c>
    </row>
    <row r="55" spans="1:34" x14ac:dyDescent="0.2">
      <c r="A55" s="120">
        <v>40983</v>
      </c>
      <c r="B55" s="126">
        <f t="shared" si="3"/>
        <v>15</v>
      </c>
      <c r="C55" s="126">
        <f t="shared" si="4"/>
        <v>3</v>
      </c>
      <c r="D55" s="126">
        <f t="shared" si="5"/>
        <v>3</v>
      </c>
      <c r="E55" s="127" t="str">
        <f t="shared" si="6"/>
        <v>33</v>
      </c>
      <c r="F55" s="121">
        <v>285</v>
      </c>
      <c r="G55" s="128">
        <f t="shared" ca="1" si="7"/>
        <v>0.91787439613526567</v>
      </c>
      <c r="H55" s="128">
        <f t="shared" ca="1" si="8"/>
        <v>1.1440491875274483</v>
      </c>
      <c r="I55" s="128">
        <f t="shared" ca="1" si="9"/>
        <v>1.1302850183911384</v>
      </c>
      <c r="J55"/>
      <c r="AE55" s="110" t="s">
        <v>140</v>
      </c>
      <c r="AF55" s="105">
        <f t="shared" ca="1" si="18"/>
        <v>1291.4535647632733</v>
      </c>
      <c r="AG55" s="106">
        <f t="shared" ref="AG55:AG57" ca="1" si="23">AG54</f>
        <v>1090.4907129526546</v>
      </c>
      <c r="AH55" s="107">
        <f t="shared" ca="1" si="11"/>
        <v>1.1842866238323884</v>
      </c>
    </row>
    <row r="56" spans="1:34" x14ac:dyDescent="0.2">
      <c r="A56" s="120">
        <v>40984</v>
      </c>
      <c r="B56" s="126">
        <f t="shared" si="3"/>
        <v>16</v>
      </c>
      <c r="C56" s="126">
        <f t="shared" si="4"/>
        <v>3</v>
      </c>
      <c r="D56" s="126">
        <f t="shared" si="5"/>
        <v>3</v>
      </c>
      <c r="E56" s="127" t="str">
        <f t="shared" si="6"/>
        <v>33</v>
      </c>
      <c r="F56" s="121">
        <v>240</v>
      </c>
      <c r="G56" s="128">
        <f t="shared" ca="1" si="7"/>
        <v>0.77294685990338163</v>
      </c>
      <c r="H56" s="128">
        <f t="shared" ca="1" si="8"/>
        <v>1.1440491875274483</v>
      </c>
      <c r="I56" s="128">
        <f t="shared" ca="1" si="9"/>
        <v>1.1302850183911384</v>
      </c>
      <c r="J56"/>
      <c r="AE56" s="110" t="s">
        <v>141</v>
      </c>
      <c r="AF56" s="105">
        <f t="shared" ca="1" si="18"/>
        <v>742</v>
      </c>
      <c r="AG56" s="106">
        <f t="shared" ca="1" si="23"/>
        <v>1090.4907129526546</v>
      </c>
      <c r="AH56" s="107">
        <f t="shared" ca="1" si="11"/>
        <v>0.68042761959057152</v>
      </c>
    </row>
    <row r="57" spans="1:34" x14ac:dyDescent="0.2">
      <c r="A57" s="120">
        <v>40987</v>
      </c>
      <c r="B57" s="126">
        <f t="shared" si="3"/>
        <v>19</v>
      </c>
      <c r="C57" s="126">
        <f t="shared" si="4"/>
        <v>4</v>
      </c>
      <c r="D57" s="126">
        <f t="shared" si="5"/>
        <v>3</v>
      </c>
      <c r="E57" s="127" t="str">
        <f t="shared" si="6"/>
        <v>34</v>
      </c>
      <c r="F57" s="121">
        <v>360</v>
      </c>
      <c r="G57" s="128">
        <f t="shared" ca="1" si="7"/>
        <v>1.1594202898550725</v>
      </c>
      <c r="H57" s="128">
        <f t="shared" ca="1" si="8"/>
        <v>1.1191626409017712</v>
      </c>
      <c r="I57" s="128">
        <f t="shared" ca="1" si="9"/>
        <v>1.1302850183911384</v>
      </c>
      <c r="J57"/>
      <c r="AE57" s="110" t="s">
        <v>142</v>
      </c>
      <c r="AF57" s="105">
        <f t="shared" ca="1" si="18"/>
        <v>1726</v>
      </c>
      <c r="AG57" s="106">
        <f t="shared" ca="1" si="23"/>
        <v>1090.4907129526546</v>
      </c>
      <c r="AH57" s="107">
        <f t="shared" ca="1" si="11"/>
        <v>1.5827736811500357</v>
      </c>
    </row>
    <row r="58" spans="1:34" x14ac:dyDescent="0.2">
      <c r="A58" s="120">
        <v>40988</v>
      </c>
      <c r="B58" s="126">
        <f t="shared" si="3"/>
        <v>20</v>
      </c>
      <c r="C58" s="126">
        <f t="shared" si="4"/>
        <v>4</v>
      </c>
      <c r="D58" s="126">
        <f t="shared" si="5"/>
        <v>3</v>
      </c>
      <c r="E58" s="127" t="str">
        <f t="shared" si="6"/>
        <v>34</v>
      </c>
      <c r="F58" s="121">
        <v>341</v>
      </c>
      <c r="G58" s="128">
        <f t="shared" ca="1" si="7"/>
        <v>1.0982286634460547</v>
      </c>
      <c r="H58" s="128">
        <f t="shared" ca="1" si="8"/>
        <v>1.1191626409017712</v>
      </c>
      <c r="I58" s="128">
        <f t="shared" ca="1" si="9"/>
        <v>1.1302850183911384</v>
      </c>
      <c r="J58"/>
      <c r="AE58" s="110" t="s">
        <v>143</v>
      </c>
      <c r="AF58" s="105" t="str">
        <f t="shared" ca="1" si="18"/>
        <v/>
      </c>
      <c r="AG58" s="106">
        <f ca="1">AVERAGE(AF58:AF62)</f>
        <v>1493.75</v>
      </c>
      <c r="AH58" s="107">
        <f t="shared" ca="1" si="11"/>
        <v>0</v>
      </c>
    </row>
    <row r="59" spans="1:34" x14ac:dyDescent="0.2">
      <c r="A59" s="120">
        <v>40989</v>
      </c>
      <c r="B59" s="126">
        <f t="shared" si="3"/>
        <v>21</v>
      </c>
      <c r="C59" s="126">
        <f t="shared" si="4"/>
        <v>4</v>
      </c>
      <c r="D59" s="126">
        <f t="shared" si="5"/>
        <v>3</v>
      </c>
      <c r="E59" s="127" t="str">
        <f t="shared" si="6"/>
        <v>34</v>
      </c>
      <c r="F59" s="121">
        <v>312</v>
      </c>
      <c r="G59" s="128">
        <f t="shared" ca="1" si="7"/>
        <v>1.0048309178743962</v>
      </c>
      <c r="H59" s="128">
        <f t="shared" ca="1" si="8"/>
        <v>1.1191626409017712</v>
      </c>
      <c r="I59" s="128">
        <f t="shared" ca="1" si="9"/>
        <v>1.1302850183911384</v>
      </c>
      <c r="J59"/>
      <c r="AE59" s="110" t="s">
        <v>144</v>
      </c>
      <c r="AF59" s="105">
        <f t="shared" ca="1" si="18"/>
        <v>1736</v>
      </c>
      <c r="AG59" s="106">
        <f ca="1">AG58</f>
        <v>1493.75</v>
      </c>
      <c r="AH59" s="107">
        <f t="shared" ca="1" si="11"/>
        <v>1.1621757322175732</v>
      </c>
    </row>
    <row r="60" spans="1:34" x14ac:dyDescent="0.2">
      <c r="A60" s="120">
        <v>40990</v>
      </c>
      <c r="B60" s="126">
        <f t="shared" si="3"/>
        <v>22</v>
      </c>
      <c r="C60" s="126">
        <f t="shared" si="4"/>
        <v>4</v>
      </c>
      <c r="D60" s="126">
        <f t="shared" si="5"/>
        <v>3</v>
      </c>
      <c r="E60" s="127" t="str">
        <f t="shared" si="6"/>
        <v>34</v>
      </c>
      <c r="F60" s="121">
        <v>279</v>
      </c>
      <c r="G60" s="128">
        <f t="shared" ca="1" si="7"/>
        <v>0.89855072463768115</v>
      </c>
      <c r="H60" s="128">
        <f t="shared" ca="1" si="8"/>
        <v>1.1191626409017712</v>
      </c>
      <c r="I60" s="128">
        <f t="shared" ca="1" si="9"/>
        <v>1.1302850183911384</v>
      </c>
      <c r="J60"/>
      <c r="AE60" s="110" t="s">
        <v>145</v>
      </c>
      <c r="AF60" s="105">
        <f t="shared" ca="1" si="18"/>
        <v>1743</v>
      </c>
      <c r="AG60" s="106">
        <f t="shared" ref="AG60:AG62" ca="1" si="24">AG59</f>
        <v>1493.75</v>
      </c>
      <c r="AH60" s="107">
        <f t="shared" ca="1" si="11"/>
        <v>1.1668619246861924</v>
      </c>
    </row>
    <row r="61" spans="1:34" x14ac:dyDescent="0.2">
      <c r="A61" s="120">
        <v>40991</v>
      </c>
      <c r="B61" s="126">
        <f t="shared" si="3"/>
        <v>23</v>
      </c>
      <c r="C61" s="126">
        <f t="shared" si="4"/>
        <v>4</v>
      </c>
      <c r="D61" s="126">
        <f t="shared" si="5"/>
        <v>3</v>
      </c>
      <c r="E61" s="127" t="str">
        <f t="shared" si="6"/>
        <v>34</v>
      </c>
      <c r="F61" s="121">
        <v>237</v>
      </c>
      <c r="G61" s="128">
        <f t="shared" ca="1" si="7"/>
        <v>0.76328502415458932</v>
      </c>
      <c r="H61" s="128">
        <f t="shared" ca="1" si="8"/>
        <v>1.1191626409017712</v>
      </c>
      <c r="I61" s="128">
        <f t="shared" ca="1" si="9"/>
        <v>1.1302850183911384</v>
      </c>
      <c r="J61"/>
      <c r="AE61" s="110" t="s">
        <v>146</v>
      </c>
      <c r="AF61" s="105">
        <f t="shared" ca="1" si="18"/>
        <v>1581</v>
      </c>
      <c r="AG61" s="106">
        <f t="shared" ca="1" si="24"/>
        <v>1493.75</v>
      </c>
      <c r="AH61" s="107">
        <f t="shared" ca="1" si="11"/>
        <v>1.0584100418410043</v>
      </c>
    </row>
    <row r="62" spans="1:34" x14ac:dyDescent="0.2">
      <c r="A62" s="120">
        <v>40994</v>
      </c>
      <c r="B62" s="126">
        <f t="shared" si="3"/>
        <v>26</v>
      </c>
      <c r="C62" s="126">
        <f t="shared" si="4"/>
        <v>5</v>
      </c>
      <c r="D62" s="126">
        <f t="shared" si="5"/>
        <v>3</v>
      </c>
      <c r="E62" s="127" t="str">
        <f t="shared" si="6"/>
        <v>35</v>
      </c>
      <c r="F62" s="121">
        <v>338</v>
      </c>
      <c r="G62" s="128">
        <f t="shared" ca="1" si="7"/>
        <v>1.0885668276972624</v>
      </c>
      <c r="H62" s="128">
        <f t="shared" ca="1" si="8"/>
        <v>1.1074513248426292</v>
      </c>
      <c r="I62" s="128">
        <f t="shared" ca="1" si="9"/>
        <v>1.1302850183911384</v>
      </c>
      <c r="J62"/>
      <c r="AE62" s="110" t="s">
        <v>147</v>
      </c>
      <c r="AF62" s="105">
        <f t="shared" ca="1" si="18"/>
        <v>915</v>
      </c>
      <c r="AG62" s="106">
        <f t="shared" ca="1" si="24"/>
        <v>1493.75</v>
      </c>
      <c r="AH62" s="107">
        <f t="shared" ca="1" si="11"/>
        <v>0.61255230125523008</v>
      </c>
    </row>
    <row r="63" spans="1:34" x14ac:dyDescent="0.2">
      <c r="A63" s="120">
        <v>40995</v>
      </c>
      <c r="B63" s="126">
        <f t="shared" si="3"/>
        <v>27</v>
      </c>
      <c r="C63" s="126">
        <f t="shared" si="4"/>
        <v>5</v>
      </c>
      <c r="D63" s="126">
        <f t="shared" si="5"/>
        <v>3</v>
      </c>
      <c r="E63" s="127" t="str">
        <f t="shared" si="6"/>
        <v>35</v>
      </c>
      <c r="F63" s="121">
        <v>319</v>
      </c>
      <c r="G63" s="128">
        <f t="shared" ca="1" si="7"/>
        <v>1.0273752012882447</v>
      </c>
      <c r="H63" s="128">
        <f t="shared" ca="1" si="8"/>
        <v>1.1074513248426292</v>
      </c>
      <c r="I63" s="128">
        <f t="shared" ca="1" si="9"/>
        <v>1.1302850183911384</v>
      </c>
      <c r="J63"/>
      <c r="AE63" s="111"/>
    </row>
    <row r="64" spans="1:34" x14ac:dyDescent="0.2">
      <c r="A64" s="120">
        <v>40996</v>
      </c>
      <c r="B64" s="126">
        <f t="shared" si="3"/>
        <v>28</v>
      </c>
      <c r="C64" s="126">
        <f t="shared" si="4"/>
        <v>5</v>
      </c>
      <c r="D64" s="126">
        <f t="shared" si="5"/>
        <v>3</v>
      </c>
      <c r="E64" s="127" t="str">
        <f t="shared" si="6"/>
        <v>35</v>
      </c>
      <c r="F64" s="121">
        <v>295</v>
      </c>
      <c r="G64" s="128">
        <f t="shared" ca="1" si="7"/>
        <v>0.9500805152979066</v>
      </c>
      <c r="H64" s="128">
        <f t="shared" ca="1" si="8"/>
        <v>1.1074513248426292</v>
      </c>
      <c r="I64" s="128">
        <f t="shared" ca="1" si="9"/>
        <v>1.1302850183911384</v>
      </c>
      <c r="J64"/>
      <c r="AE64" s="111"/>
    </row>
    <row r="65" spans="1:31" x14ac:dyDescent="0.2">
      <c r="A65" s="120">
        <v>40997</v>
      </c>
      <c r="B65" s="126">
        <f t="shared" si="3"/>
        <v>29</v>
      </c>
      <c r="C65" s="126">
        <f t="shared" si="4"/>
        <v>5</v>
      </c>
      <c r="D65" s="126">
        <f t="shared" si="5"/>
        <v>3</v>
      </c>
      <c r="E65" s="127" t="str">
        <f t="shared" si="6"/>
        <v>35</v>
      </c>
      <c r="F65" s="121">
        <v>324</v>
      </c>
      <c r="G65" s="128">
        <f t="shared" ca="1" si="7"/>
        <v>1.0434782608695652</v>
      </c>
      <c r="H65" s="128">
        <f t="shared" ca="1" si="8"/>
        <v>1.1074513248426292</v>
      </c>
      <c r="I65" s="128">
        <f t="shared" ca="1" si="9"/>
        <v>1.1302850183911384</v>
      </c>
      <c r="J65"/>
      <c r="AE65" s="111"/>
    </row>
    <row r="66" spans="1:31" x14ac:dyDescent="0.2">
      <c r="A66" s="120">
        <v>40998</v>
      </c>
      <c r="B66" s="126">
        <f t="shared" si="3"/>
        <v>30</v>
      </c>
      <c r="C66" s="126">
        <f t="shared" si="4"/>
        <v>5</v>
      </c>
      <c r="D66" s="126">
        <f t="shared" si="5"/>
        <v>3</v>
      </c>
      <c r="E66" s="127" t="str">
        <f t="shared" si="6"/>
        <v>35</v>
      </c>
      <c r="F66" s="121">
        <v>237</v>
      </c>
      <c r="G66" s="128">
        <f t="shared" ca="1" si="7"/>
        <v>0.76328502415458932</v>
      </c>
      <c r="H66" s="128">
        <f t="shared" ca="1" si="8"/>
        <v>1.1074513248426292</v>
      </c>
      <c r="I66" s="128">
        <f t="shared" ca="1" si="9"/>
        <v>1.1302850183911384</v>
      </c>
      <c r="J66"/>
      <c r="AE66" s="111"/>
    </row>
    <row r="67" spans="1:31" x14ac:dyDescent="0.2">
      <c r="A67" s="120">
        <v>41001</v>
      </c>
      <c r="B67" s="126">
        <f t="shared" si="3"/>
        <v>2</v>
      </c>
      <c r="C67" s="126">
        <f t="shared" si="4"/>
        <v>2</v>
      </c>
      <c r="D67" s="126">
        <f t="shared" si="5"/>
        <v>4</v>
      </c>
      <c r="E67" s="127" t="str">
        <f t="shared" si="6"/>
        <v>42</v>
      </c>
      <c r="F67" s="121">
        <v>359</v>
      </c>
      <c r="G67" s="128">
        <f t="shared" ca="1" si="7"/>
        <v>1.2105009633911368</v>
      </c>
      <c r="H67" s="128">
        <f t="shared" ca="1" si="8"/>
        <v>0.91843288375080279</v>
      </c>
      <c r="I67" s="128">
        <f t="shared" ca="1" si="9"/>
        <v>1.0305101880456755</v>
      </c>
      <c r="J67"/>
      <c r="AE67" s="111"/>
    </row>
    <row r="68" spans="1:31" x14ac:dyDescent="0.2">
      <c r="A68" s="120">
        <v>41002</v>
      </c>
      <c r="B68" s="126">
        <f t="shared" ref="B68:B131" si="25">DAY(A68)</f>
        <v>3</v>
      </c>
      <c r="C68" s="126">
        <f t="shared" ref="C68:C131" si="26">IF(ROUNDUP((DAY(A68)+WEEKDAY(DATE(YEAR(A68),MONTH(A68),0)))/7,0)=6,5,ROUNDUP((DAY(A68)+WEEKDAY(DATE(YEAR(A68),MONTH(A68),0)))/7,0))</f>
        <v>2</v>
      </c>
      <c r="D68" s="126">
        <f t="shared" ref="D68:D131" si="27">MONTH(A68)</f>
        <v>4</v>
      </c>
      <c r="E68" s="127" t="str">
        <f t="shared" ref="E68:E131" si="28">D68&amp;C68</f>
        <v>42</v>
      </c>
      <c r="F68" s="121">
        <v>357</v>
      </c>
      <c r="G68" s="128">
        <f t="shared" ref="G68:G131" ca="1" si="29">F68/VLOOKUP($D68,$Z:$AA,2,0)</f>
        <v>1.203757225433526</v>
      </c>
      <c r="H68" s="128">
        <f t="shared" ref="H68:H131" ca="1" si="30">VLOOKUP(E68,AE:AH,4,0)</f>
        <v>0.91843288375080279</v>
      </c>
      <c r="I68" s="128">
        <f t="shared" ref="I68:I131" ca="1" si="31">VLOOKUP(D68,Z:AC,4,0)</f>
        <v>1.0305101880456755</v>
      </c>
      <c r="J68"/>
      <c r="AE68" s="111"/>
    </row>
    <row r="69" spans="1:31" x14ac:dyDescent="0.2">
      <c r="A69" s="120">
        <v>41003</v>
      </c>
      <c r="B69" s="126">
        <f t="shared" si="25"/>
        <v>4</v>
      </c>
      <c r="C69" s="126">
        <f t="shared" si="26"/>
        <v>2</v>
      </c>
      <c r="D69" s="126">
        <f t="shared" si="27"/>
        <v>4</v>
      </c>
      <c r="E69" s="127" t="str">
        <f t="shared" si="28"/>
        <v>42</v>
      </c>
      <c r="F69" s="121">
        <v>344</v>
      </c>
      <c r="G69" s="128">
        <f t="shared" ca="1" si="29"/>
        <v>1.159922928709056</v>
      </c>
      <c r="H69" s="128">
        <f t="shared" ca="1" si="30"/>
        <v>0.91843288375080279</v>
      </c>
      <c r="I69" s="128">
        <f t="shared" ca="1" si="31"/>
        <v>1.0305101880456755</v>
      </c>
      <c r="J69"/>
      <c r="AE69" s="111"/>
    </row>
    <row r="70" spans="1:31" x14ac:dyDescent="0.2">
      <c r="A70" s="120">
        <v>41004</v>
      </c>
      <c r="B70" s="126">
        <f t="shared" si="25"/>
        <v>5</v>
      </c>
      <c r="C70" s="126">
        <f t="shared" si="26"/>
        <v>2</v>
      </c>
      <c r="D70" s="126">
        <f t="shared" si="27"/>
        <v>4</v>
      </c>
      <c r="E70" s="127" t="str">
        <f t="shared" si="28"/>
        <v>42</v>
      </c>
      <c r="F70" s="121">
        <v>285</v>
      </c>
      <c r="G70" s="128">
        <f t="shared" ca="1" si="29"/>
        <v>0.96098265895953761</v>
      </c>
      <c r="H70" s="128">
        <f t="shared" ca="1" si="30"/>
        <v>0.91843288375080279</v>
      </c>
      <c r="I70" s="128">
        <f t="shared" ca="1" si="31"/>
        <v>1.0305101880456755</v>
      </c>
      <c r="J70"/>
      <c r="AE70" s="111"/>
    </row>
    <row r="71" spans="1:31" x14ac:dyDescent="0.2">
      <c r="A71" s="120">
        <v>41005</v>
      </c>
      <c r="B71" s="126">
        <f t="shared" si="25"/>
        <v>6</v>
      </c>
      <c r="C71" s="126">
        <f t="shared" si="26"/>
        <v>2</v>
      </c>
      <c r="D71" s="126">
        <f t="shared" si="27"/>
        <v>4</v>
      </c>
      <c r="E71" s="127" t="str">
        <f t="shared" si="28"/>
        <v>42</v>
      </c>
      <c r="F71" s="121">
        <v>85</v>
      </c>
      <c r="G71" s="128">
        <f t="shared" ca="1" si="29"/>
        <v>0.28660886319845857</v>
      </c>
      <c r="H71" s="128">
        <f t="shared" ca="1" si="30"/>
        <v>0.91843288375080279</v>
      </c>
      <c r="I71" s="128">
        <f t="shared" ca="1" si="31"/>
        <v>1.0305101880456755</v>
      </c>
      <c r="J71"/>
      <c r="AE71" s="111"/>
    </row>
    <row r="72" spans="1:31" x14ac:dyDescent="0.2">
      <c r="A72" s="120">
        <v>41008</v>
      </c>
      <c r="B72" s="126">
        <f t="shared" si="25"/>
        <v>9</v>
      </c>
      <c r="C72" s="126">
        <f t="shared" si="26"/>
        <v>3</v>
      </c>
      <c r="D72" s="126">
        <f t="shared" si="27"/>
        <v>4</v>
      </c>
      <c r="E72" s="127" t="str">
        <f t="shared" si="28"/>
        <v>43</v>
      </c>
      <c r="F72" s="121">
        <v>393</v>
      </c>
      <c r="G72" s="128">
        <f t="shared" ca="1" si="29"/>
        <v>1.3251445086705202</v>
      </c>
      <c r="H72" s="128">
        <f t="shared" ca="1" si="30"/>
        <v>1.1008349389852281</v>
      </c>
      <c r="I72" s="128">
        <f t="shared" ca="1" si="31"/>
        <v>1.0305101880456755</v>
      </c>
      <c r="J72"/>
      <c r="AE72" s="111"/>
    </row>
    <row r="73" spans="1:31" x14ac:dyDescent="0.2">
      <c r="A73" s="120">
        <v>41009</v>
      </c>
      <c r="B73" s="126">
        <f t="shared" si="25"/>
        <v>10</v>
      </c>
      <c r="C73" s="126">
        <f t="shared" si="26"/>
        <v>3</v>
      </c>
      <c r="D73" s="126">
        <f t="shared" si="27"/>
        <v>4</v>
      </c>
      <c r="E73" s="127" t="str">
        <f t="shared" si="28"/>
        <v>43</v>
      </c>
      <c r="F73" s="121">
        <v>373</v>
      </c>
      <c r="G73" s="128">
        <f t="shared" ca="1" si="29"/>
        <v>1.2577071290944124</v>
      </c>
      <c r="H73" s="128">
        <f t="shared" ca="1" si="30"/>
        <v>1.1008349389852281</v>
      </c>
      <c r="I73" s="128">
        <f t="shared" ca="1" si="31"/>
        <v>1.0305101880456755</v>
      </c>
      <c r="J73"/>
      <c r="AE73" s="111"/>
    </row>
    <row r="74" spans="1:31" x14ac:dyDescent="0.2">
      <c r="A74" s="120">
        <v>41010</v>
      </c>
      <c r="B74" s="126">
        <f t="shared" si="25"/>
        <v>11</v>
      </c>
      <c r="C74" s="126">
        <f t="shared" si="26"/>
        <v>3</v>
      </c>
      <c r="D74" s="126">
        <f t="shared" si="27"/>
        <v>4</v>
      </c>
      <c r="E74" s="127" t="str">
        <f t="shared" si="28"/>
        <v>43</v>
      </c>
      <c r="F74" s="121">
        <v>347</v>
      </c>
      <c r="G74" s="128">
        <f t="shared" ca="1" si="29"/>
        <v>1.1700385356454721</v>
      </c>
      <c r="H74" s="128">
        <f t="shared" ca="1" si="30"/>
        <v>1.1008349389852281</v>
      </c>
      <c r="I74" s="128">
        <f t="shared" ca="1" si="31"/>
        <v>1.0305101880456755</v>
      </c>
      <c r="J74"/>
      <c r="AE74" s="111"/>
    </row>
    <row r="75" spans="1:31" x14ac:dyDescent="0.2">
      <c r="A75" s="120">
        <v>41011</v>
      </c>
      <c r="B75" s="126">
        <f t="shared" si="25"/>
        <v>12</v>
      </c>
      <c r="C75" s="126">
        <f t="shared" si="26"/>
        <v>3</v>
      </c>
      <c r="D75" s="126">
        <f t="shared" si="27"/>
        <v>4</v>
      </c>
      <c r="E75" s="127" t="str">
        <f t="shared" si="28"/>
        <v>43</v>
      </c>
      <c r="F75" s="121">
        <v>325</v>
      </c>
      <c r="G75" s="128">
        <f t="shared" ca="1" si="29"/>
        <v>1.0958574181117535</v>
      </c>
      <c r="H75" s="128">
        <f t="shared" ca="1" si="30"/>
        <v>1.1008349389852281</v>
      </c>
      <c r="I75" s="128">
        <f t="shared" ca="1" si="31"/>
        <v>1.0305101880456755</v>
      </c>
      <c r="J75"/>
      <c r="AE75" s="111"/>
    </row>
    <row r="76" spans="1:31" x14ac:dyDescent="0.2">
      <c r="A76" s="120">
        <v>41012</v>
      </c>
      <c r="B76" s="126">
        <f t="shared" si="25"/>
        <v>13</v>
      </c>
      <c r="C76" s="126">
        <f t="shared" si="26"/>
        <v>3</v>
      </c>
      <c r="D76" s="126">
        <f t="shared" si="27"/>
        <v>4</v>
      </c>
      <c r="E76" s="127" t="str">
        <f t="shared" si="28"/>
        <v>43</v>
      </c>
      <c r="F76" s="121">
        <v>276</v>
      </c>
      <c r="G76" s="128">
        <f t="shared" ca="1" si="29"/>
        <v>0.93063583815028905</v>
      </c>
      <c r="H76" s="128">
        <f t="shared" ca="1" si="30"/>
        <v>1.1008349389852281</v>
      </c>
      <c r="I76" s="128">
        <f t="shared" ca="1" si="31"/>
        <v>1.0305101880456755</v>
      </c>
      <c r="J76"/>
      <c r="AE76" s="111"/>
    </row>
    <row r="77" spans="1:31" x14ac:dyDescent="0.2">
      <c r="A77" s="120">
        <v>41015</v>
      </c>
      <c r="B77" s="126">
        <f t="shared" si="25"/>
        <v>16</v>
      </c>
      <c r="C77" s="126">
        <f t="shared" si="26"/>
        <v>4</v>
      </c>
      <c r="D77" s="126">
        <f t="shared" si="27"/>
        <v>4</v>
      </c>
      <c r="E77" s="127" t="str">
        <f t="shared" si="28"/>
        <v>44</v>
      </c>
      <c r="F77" s="121">
        <v>377</v>
      </c>
      <c r="G77" s="128">
        <f t="shared" ca="1" si="29"/>
        <v>1.2711946050096339</v>
      </c>
      <c r="H77" s="128">
        <f t="shared" ca="1" si="30"/>
        <v>0.97495183044315992</v>
      </c>
      <c r="I77" s="128">
        <f t="shared" ca="1" si="31"/>
        <v>1.0305101880456755</v>
      </c>
      <c r="J77"/>
      <c r="AE77" s="111"/>
    </row>
    <row r="78" spans="1:31" x14ac:dyDescent="0.2">
      <c r="A78" s="120">
        <v>41016</v>
      </c>
      <c r="B78" s="126">
        <f t="shared" si="25"/>
        <v>17</v>
      </c>
      <c r="C78" s="126">
        <f t="shared" si="26"/>
        <v>4</v>
      </c>
      <c r="D78" s="126">
        <f t="shared" si="27"/>
        <v>4</v>
      </c>
      <c r="E78" s="127" t="str">
        <f t="shared" si="28"/>
        <v>44</v>
      </c>
      <c r="F78" s="121">
        <v>330</v>
      </c>
      <c r="G78" s="128">
        <f t="shared" ca="1" si="29"/>
        <v>1.1127167630057804</v>
      </c>
      <c r="H78" s="128">
        <f t="shared" ca="1" si="30"/>
        <v>0.97495183044315992</v>
      </c>
      <c r="I78" s="128">
        <f t="shared" ca="1" si="31"/>
        <v>1.0305101880456755</v>
      </c>
      <c r="J78"/>
      <c r="AE78" s="111"/>
    </row>
    <row r="79" spans="1:31" x14ac:dyDescent="0.2">
      <c r="A79" s="120">
        <v>41017</v>
      </c>
      <c r="B79" s="126">
        <f t="shared" si="25"/>
        <v>18</v>
      </c>
      <c r="C79" s="126">
        <f t="shared" si="26"/>
        <v>4</v>
      </c>
      <c r="D79" s="126">
        <f t="shared" si="27"/>
        <v>4</v>
      </c>
      <c r="E79" s="127" t="str">
        <f t="shared" si="28"/>
        <v>44</v>
      </c>
      <c r="F79" s="121">
        <v>294</v>
      </c>
      <c r="G79" s="128">
        <f t="shared" ca="1" si="29"/>
        <v>0.99132947976878616</v>
      </c>
      <c r="H79" s="128">
        <f t="shared" ca="1" si="30"/>
        <v>0.97495183044315992</v>
      </c>
      <c r="I79" s="128">
        <f t="shared" ca="1" si="31"/>
        <v>1.0305101880456755</v>
      </c>
      <c r="J79"/>
      <c r="AE79" s="111"/>
    </row>
    <row r="80" spans="1:31" x14ac:dyDescent="0.2">
      <c r="A80" s="120">
        <v>41018</v>
      </c>
      <c r="B80" s="126">
        <f t="shared" si="25"/>
        <v>19</v>
      </c>
      <c r="C80" s="126">
        <f t="shared" si="26"/>
        <v>4</v>
      </c>
      <c r="D80" s="126">
        <f t="shared" si="27"/>
        <v>4</v>
      </c>
      <c r="E80" s="127" t="str">
        <f t="shared" si="28"/>
        <v>44</v>
      </c>
      <c r="F80" s="121">
        <v>294</v>
      </c>
      <c r="G80" s="128">
        <f t="shared" ca="1" si="29"/>
        <v>0.99132947976878616</v>
      </c>
      <c r="H80" s="128">
        <f t="shared" ca="1" si="30"/>
        <v>0.97495183044315992</v>
      </c>
      <c r="I80" s="128">
        <f t="shared" ca="1" si="31"/>
        <v>1.0305101880456755</v>
      </c>
      <c r="J80"/>
      <c r="AE80" s="111"/>
    </row>
    <row r="81" spans="1:31" x14ac:dyDescent="0.2">
      <c r="A81" s="120">
        <v>41019</v>
      </c>
      <c r="B81" s="126">
        <f t="shared" si="25"/>
        <v>20</v>
      </c>
      <c r="C81" s="126">
        <f t="shared" si="26"/>
        <v>4</v>
      </c>
      <c r="D81" s="126">
        <f t="shared" si="27"/>
        <v>4</v>
      </c>
      <c r="E81" s="127" t="str">
        <f t="shared" si="28"/>
        <v>44</v>
      </c>
      <c r="F81" s="121">
        <v>223</v>
      </c>
      <c r="G81" s="128">
        <f t="shared" ca="1" si="29"/>
        <v>0.7519267822736031</v>
      </c>
      <c r="H81" s="128">
        <f t="shared" ca="1" si="30"/>
        <v>0.97495183044315992</v>
      </c>
      <c r="I81" s="128">
        <f t="shared" ca="1" si="31"/>
        <v>1.0305101880456755</v>
      </c>
      <c r="J81"/>
      <c r="AE81" s="111"/>
    </row>
    <row r="82" spans="1:31" x14ac:dyDescent="0.2">
      <c r="A82" s="120">
        <v>41022</v>
      </c>
      <c r="B82" s="126">
        <f t="shared" si="25"/>
        <v>23</v>
      </c>
      <c r="C82" s="126">
        <f t="shared" si="26"/>
        <v>5</v>
      </c>
      <c r="D82" s="126">
        <f t="shared" si="27"/>
        <v>4</v>
      </c>
      <c r="E82" s="127" t="str">
        <f t="shared" si="28"/>
        <v>45</v>
      </c>
      <c r="F82" s="121">
        <v>291</v>
      </c>
      <c r="G82" s="128">
        <f t="shared" ca="1" si="29"/>
        <v>0.98121387283237005</v>
      </c>
      <c r="H82" s="128">
        <f t="shared" ca="1" si="30"/>
        <v>1.0057803468208093</v>
      </c>
      <c r="I82" s="128">
        <f t="shared" ca="1" si="31"/>
        <v>1.0305101880456755</v>
      </c>
      <c r="J82"/>
      <c r="AE82" s="111"/>
    </row>
    <row r="83" spans="1:31" x14ac:dyDescent="0.2">
      <c r="A83" s="120">
        <v>41023</v>
      </c>
      <c r="B83" s="126">
        <f t="shared" si="25"/>
        <v>24</v>
      </c>
      <c r="C83" s="126">
        <f t="shared" si="26"/>
        <v>5</v>
      </c>
      <c r="D83" s="126">
        <f t="shared" si="27"/>
        <v>4</v>
      </c>
      <c r="E83" s="127" t="str">
        <f t="shared" si="28"/>
        <v>45</v>
      </c>
      <c r="F83" s="121">
        <v>257</v>
      </c>
      <c r="G83" s="128">
        <f t="shared" ca="1" si="29"/>
        <v>0.86657032755298657</v>
      </c>
      <c r="H83" s="128">
        <f t="shared" ca="1" si="30"/>
        <v>1.0057803468208093</v>
      </c>
      <c r="I83" s="128">
        <f t="shared" ca="1" si="31"/>
        <v>1.0305101880456755</v>
      </c>
      <c r="J83"/>
      <c r="AE83" s="111"/>
    </row>
    <row r="84" spans="1:31" x14ac:dyDescent="0.2">
      <c r="A84" s="120">
        <v>41024</v>
      </c>
      <c r="B84" s="126">
        <f t="shared" si="25"/>
        <v>25</v>
      </c>
      <c r="C84" s="126">
        <f t="shared" si="26"/>
        <v>5</v>
      </c>
      <c r="D84" s="126">
        <f t="shared" si="27"/>
        <v>4</v>
      </c>
      <c r="E84" s="127" t="str">
        <f t="shared" si="28"/>
        <v>45</v>
      </c>
      <c r="F84" s="121">
        <v>252</v>
      </c>
      <c r="G84" s="128">
        <f t="shared" ca="1" si="29"/>
        <v>0.84971098265895961</v>
      </c>
      <c r="H84" s="128">
        <f t="shared" ca="1" si="30"/>
        <v>1.0057803468208093</v>
      </c>
      <c r="I84" s="128">
        <f t="shared" ca="1" si="31"/>
        <v>1.0305101880456755</v>
      </c>
      <c r="J84"/>
      <c r="AE84" s="111"/>
    </row>
    <row r="85" spans="1:31" x14ac:dyDescent="0.2">
      <c r="A85" s="120">
        <v>41025</v>
      </c>
      <c r="B85" s="126">
        <f t="shared" si="25"/>
        <v>26</v>
      </c>
      <c r="C85" s="126">
        <f t="shared" si="26"/>
        <v>5</v>
      </c>
      <c r="D85" s="126">
        <f t="shared" si="27"/>
        <v>4</v>
      </c>
      <c r="E85" s="127" t="str">
        <f t="shared" si="28"/>
        <v>45</v>
      </c>
      <c r="F85" s="121">
        <v>276</v>
      </c>
      <c r="G85" s="128">
        <f t="shared" ca="1" si="29"/>
        <v>0.93063583815028905</v>
      </c>
      <c r="H85" s="128">
        <f t="shared" ca="1" si="30"/>
        <v>1.0057803468208093</v>
      </c>
      <c r="I85" s="128">
        <f t="shared" ca="1" si="31"/>
        <v>1.0305101880456755</v>
      </c>
      <c r="J85"/>
      <c r="AE85" s="111"/>
    </row>
    <row r="86" spans="1:31" x14ac:dyDescent="0.2">
      <c r="A86" s="120">
        <v>41026</v>
      </c>
      <c r="B86" s="126">
        <f t="shared" si="25"/>
        <v>27</v>
      </c>
      <c r="C86" s="126">
        <f t="shared" si="26"/>
        <v>5</v>
      </c>
      <c r="D86" s="126">
        <f t="shared" si="27"/>
        <v>4</v>
      </c>
      <c r="E86" s="127" t="str">
        <f t="shared" si="28"/>
        <v>45</v>
      </c>
      <c r="F86" s="121">
        <v>196</v>
      </c>
      <c r="G86" s="128">
        <f t="shared" ca="1" si="29"/>
        <v>0.66088631984585744</v>
      </c>
      <c r="H86" s="128">
        <f t="shared" ca="1" si="30"/>
        <v>1.0057803468208093</v>
      </c>
      <c r="I86" s="128">
        <f t="shared" ca="1" si="31"/>
        <v>1.0305101880456755</v>
      </c>
      <c r="J86"/>
      <c r="AE86" s="111"/>
    </row>
    <row r="87" spans="1:31" x14ac:dyDescent="0.2">
      <c r="A87" s="120">
        <v>41029</v>
      </c>
      <c r="B87" s="126">
        <f t="shared" si="25"/>
        <v>30</v>
      </c>
      <c r="C87" s="126">
        <f t="shared" si="26"/>
        <v>5</v>
      </c>
      <c r="D87" s="126">
        <f t="shared" si="27"/>
        <v>4</v>
      </c>
      <c r="E87" s="127" t="str">
        <f t="shared" si="28"/>
        <v>45</v>
      </c>
      <c r="F87" s="121">
        <v>294</v>
      </c>
      <c r="G87" s="128">
        <f t="shared" ca="1" si="29"/>
        <v>0.99132947976878616</v>
      </c>
      <c r="H87" s="128">
        <f t="shared" ca="1" si="30"/>
        <v>1.0057803468208093</v>
      </c>
      <c r="I87" s="128">
        <f t="shared" ca="1" si="31"/>
        <v>1.0305101880456755</v>
      </c>
      <c r="J87"/>
      <c r="AE87" s="111"/>
    </row>
    <row r="88" spans="1:31" x14ac:dyDescent="0.2">
      <c r="A88" s="120">
        <v>41030</v>
      </c>
      <c r="B88" s="126">
        <f t="shared" si="25"/>
        <v>1</v>
      </c>
      <c r="C88" s="126">
        <f t="shared" si="26"/>
        <v>1</v>
      </c>
      <c r="D88" s="126">
        <f t="shared" si="27"/>
        <v>5</v>
      </c>
      <c r="E88" s="127" t="str">
        <f t="shared" si="28"/>
        <v>51</v>
      </c>
      <c r="F88" s="121">
        <v>263</v>
      </c>
      <c r="G88" s="128">
        <f t="shared" ca="1" si="29"/>
        <v>1.0554542137905873</v>
      </c>
      <c r="H88" s="128">
        <f t="shared" ca="1" si="30"/>
        <v>0.91569783301434649</v>
      </c>
      <c r="I88" s="128">
        <f t="shared" ca="1" si="31"/>
        <v>0.90707399660667842</v>
      </c>
      <c r="J88"/>
      <c r="AE88" s="111"/>
    </row>
    <row r="89" spans="1:31" x14ac:dyDescent="0.2">
      <c r="A89" s="120">
        <v>41031</v>
      </c>
      <c r="B89" s="126">
        <f t="shared" si="25"/>
        <v>2</v>
      </c>
      <c r="C89" s="126">
        <f t="shared" si="26"/>
        <v>1</v>
      </c>
      <c r="D89" s="126">
        <f t="shared" si="27"/>
        <v>5</v>
      </c>
      <c r="E89" s="127" t="str">
        <f t="shared" si="28"/>
        <v>51</v>
      </c>
      <c r="F89" s="121">
        <v>292</v>
      </c>
      <c r="G89" s="128">
        <f t="shared" ca="1" si="29"/>
        <v>1.1718350966800437</v>
      </c>
      <c r="H89" s="128">
        <f t="shared" ca="1" si="30"/>
        <v>0.91569783301434649</v>
      </c>
      <c r="I89" s="128">
        <f t="shared" ca="1" si="31"/>
        <v>0.90707399660667842</v>
      </c>
      <c r="J89"/>
      <c r="AE89" s="111"/>
    </row>
    <row r="90" spans="1:31" x14ac:dyDescent="0.2">
      <c r="A90" s="120">
        <v>41032</v>
      </c>
      <c r="B90" s="126">
        <f t="shared" si="25"/>
        <v>3</v>
      </c>
      <c r="C90" s="126">
        <f t="shared" si="26"/>
        <v>1</v>
      </c>
      <c r="D90" s="126">
        <f t="shared" si="27"/>
        <v>5</v>
      </c>
      <c r="E90" s="127" t="str">
        <f t="shared" si="28"/>
        <v>51</v>
      </c>
      <c r="F90" s="121">
        <v>239</v>
      </c>
      <c r="G90" s="128">
        <f t="shared" ca="1" si="29"/>
        <v>0.95913900036483035</v>
      </c>
      <c r="H90" s="128">
        <f t="shared" ca="1" si="30"/>
        <v>0.91569783301434649</v>
      </c>
      <c r="I90" s="128">
        <f t="shared" ca="1" si="31"/>
        <v>0.90707399660667842</v>
      </c>
      <c r="J90"/>
      <c r="AE90" s="111"/>
    </row>
    <row r="91" spans="1:31" x14ac:dyDescent="0.2">
      <c r="A91" s="120">
        <v>41033</v>
      </c>
      <c r="B91" s="126">
        <f t="shared" si="25"/>
        <v>4</v>
      </c>
      <c r="C91" s="126">
        <f t="shared" si="26"/>
        <v>1</v>
      </c>
      <c r="D91" s="126">
        <f t="shared" si="27"/>
        <v>5</v>
      </c>
      <c r="E91" s="127" t="str">
        <f t="shared" si="28"/>
        <v>51</v>
      </c>
      <c r="F91" s="121">
        <v>210</v>
      </c>
      <c r="G91" s="128">
        <f t="shared" ca="1" si="29"/>
        <v>0.84275811747537388</v>
      </c>
      <c r="H91" s="128">
        <f t="shared" ca="1" si="30"/>
        <v>0.91569783301434649</v>
      </c>
      <c r="I91" s="128">
        <f t="shared" ca="1" si="31"/>
        <v>0.90707399660667842</v>
      </c>
      <c r="J91"/>
      <c r="AE91" s="111"/>
    </row>
    <row r="92" spans="1:31" x14ac:dyDescent="0.2">
      <c r="A92" s="120">
        <v>41036</v>
      </c>
      <c r="B92" s="126">
        <f t="shared" si="25"/>
        <v>7</v>
      </c>
      <c r="C92" s="126">
        <f t="shared" si="26"/>
        <v>2</v>
      </c>
      <c r="D92" s="126">
        <f t="shared" si="27"/>
        <v>5</v>
      </c>
      <c r="E92" s="127" t="str">
        <f t="shared" si="28"/>
        <v>52</v>
      </c>
      <c r="F92" s="121">
        <v>272</v>
      </c>
      <c r="G92" s="128">
        <f t="shared" ca="1" si="29"/>
        <v>1.0915724188252462</v>
      </c>
      <c r="H92" s="128">
        <f t="shared" ca="1" si="30"/>
        <v>1.124701103109603</v>
      </c>
      <c r="I92" s="128">
        <f t="shared" ca="1" si="31"/>
        <v>0.90707399660667842</v>
      </c>
      <c r="J92"/>
      <c r="AE92" s="111"/>
    </row>
    <row r="93" spans="1:31" x14ac:dyDescent="0.2">
      <c r="A93" s="120">
        <v>41037</v>
      </c>
      <c r="B93" s="126">
        <f t="shared" si="25"/>
        <v>8</v>
      </c>
      <c r="C93" s="126">
        <f t="shared" si="26"/>
        <v>2</v>
      </c>
      <c r="D93" s="126">
        <f t="shared" si="27"/>
        <v>5</v>
      </c>
      <c r="E93" s="127" t="str">
        <f t="shared" si="28"/>
        <v>52</v>
      </c>
      <c r="F93" s="121">
        <v>270</v>
      </c>
      <c r="G93" s="128">
        <f t="shared" ca="1" si="29"/>
        <v>1.0835461510397666</v>
      </c>
      <c r="H93" s="128">
        <f t="shared" ca="1" si="30"/>
        <v>1.124701103109603</v>
      </c>
      <c r="I93" s="128">
        <f t="shared" ca="1" si="31"/>
        <v>0.90707399660667842</v>
      </c>
      <c r="J93"/>
      <c r="AE93" s="111"/>
    </row>
    <row r="94" spans="1:31" x14ac:dyDescent="0.2">
      <c r="A94" s="120">
        <v>41038</v>
      </c>
      <c r="B94" s="126">
        <f t="shared" si="25"/>
        <v>9</v>
      </c>
      <c r="C94" s="126">
        <f t="shared" si="26"/>
        <v>2</v>
      </c>
      <c r="D94" s="126">
        <f t="shared" si="27"/>
        <v>5</v>
      </c>
      <c r="E94" s="127" t="str">
        <f t="shared" si="28"/>
        <v>52</v>
      </c>
      <c r="F94" s="121">
        <v>253</v>
      </c>
      <c r="G94" s="128">
        <f t="shared" ca="1" si="29"/>
        <v>1.0153228748631886</v>
      </c>
      <c r="H94" s="128">
        <f t="shared" ca="1" si="30"/>
        <v>1.124701103109603</v>
      </c>
      <c r="I94" s="128">
        <f t="shared" ca="1" si="31"/>
        <v>0.90707399660667842</v>
      </c>
      <c r="J94"/>
      <c r="AE94" s="111"/>
    </row>
    <row r="95" spans="1:31" x14ac:dyDescent="0.2">
      <c r="A95" s="120">
        <v>41039</v>
      </c>
      <c r="B95" s="126">
        <f t="shared" si="25"/>
        <v>10</v>
      </c>
      <c r="C95" s="126">
        <f t="shared" si="26"/>
        <v>2</v>
      </c>
      <c r="D95" s="126">
        <f t="shared" si="27"/>
        <v>5</v>
      </c>
      <c r="E95" s="127" t="str">
        <f t="shared" si="28"/>
        <v>52</v>
      </c>
      <c r="F95" s="121">
        <v>252</v>
      </c>
      <c r="G95" s="128">
        <f t="shared" ca="1" si="29"/>
        <v>1.0113097409704488</v>
      </c>
      <c r="H95" s="128">
        <f t="shared" ca="1" si="30"/>
        <v>1.124701103109603</v>
      </c>
      <c r="I95" s="128">
        <f t="shared" ca="1" si="31"/>
        <v>0.90707399660667842</v>
      </c>
      <c r="J95"/>
      <c r="AE95" s="111"/>
    </row>
    <row r="96" spans="1:31" x14ac:dyDescent="0.2">
      <c r="A96" s="120">
        <v>41040</v>
      </c>
      <c r="B96" s="126">
        <f t="shared" si="25"/>
        <v>11</v>
      </c>
      <c r="C96" s="126">
        <f t="shared" si="26"/>
        <v>2</v>
      </c>
      <c r="D96" s="126">
        <f t="shared" si="27"/>
        <v>5</v>
      </c>
      <c r="E96" s="127" t="str">
        <f t="shared" si="28"/>
        <v>52</v>
      </c>
      <c r="F96" s="121">
        <v>186</v>
      </c>
      <c r="G96" s="128">
        <f t="shared" ca="1" si="29"/>
        <v>0.74644290404961688</v>
      </c>
      <c r="H96" s="128">
        <f t="shared" ca="1" si="30"/>
        <v>1.124701103109603</v>
      </c>
      <c r="I96" s="128">
        <f t="shared" ca="1" si="31"/>
        <v>0.90707399660667842</v>
      </c>
      <c r="J96"/>
      <c r="AE96" s="111"/>
    </row>
    <row r="97" spans="1:31" x14ac:dyDescent="0.2">
      <c r="A97" s="120">
        <v>41043</v>
      </c>
      <c r="B97" s="126">
        <f t="shared" si="25"/>
        <v>14</v>
      </c>
      <c r="C97" s="126">
        <f t="shared" si="26"/>
        <v>3</v>
      </c>
      <c r="D97" s="126">
        <f t="shared" si="27"/>
        <v>5</v>
      </c>
      <c r="E97" s="127" t="str">
        <f t="shared" si="28"/>
        <v>53</v>
      </c>
      <c r="F97" s="121">
        <v>303</v>
      </c>
      <c r="G97" s="128">
        <f t="shared" ca="1" si="29"/>
        <v>1.2159795695001825</v>
      </c>
      <c r="H97" s="128">
        <f t="shared" ca="1" si="30"/>
        <v>1.1427981919989803</v>
      </c>
      <c r="I97" s="128">
        <f t="shared" ca="1" si="31"/>
        <v>0.90707399660667842</v>
      </c>
      <c r="J97"/>
      <c r="AE97" s="111"/>
    </row>
    <row r="98" spans="1:31" x14ac:dyDescent="0.2">
      <c r="A98" s="120">
        <v>41044</v>
      </c>
      <c r="B98" s="126">
        <f t="shared" si="25"/>
        <v>15</v>
      </c>
      <c r="C98" s="126">
        <f t="shared" si="26"/>
        <v>3</v>
      </c>
      <c r="D98" s="126">
        <f t="shared" si="27"/>
        <v>5</v>
      </c>
      <c r="E98" s="127" t="str">
        <f t="shared" si="28"/>
        <v>53</v>
      </c>
      <c r="F98" s="121">
        <v>301</v>
      </c>
      <c r="G98" s="128">
        <f t="shared" ca="1" si="29"/>
        <v>1.2079533017147026</v>
      </c>
      <c r="H98" s="128">
        <f t="shared" ca="1" si="30"/>
        <v>1.1427981919989803</v>
      </c>
      <c r="I98" s="128">
        <f t="shared" ca="1" si="31"/>
        <v>0.90707399660667842</v>
      </c>
      <c r="J98"/>
      <c r="AE98" s="111"/>
    </row>
    <row r="99" spans="1:31" x14ac:dyDescent="0.2">
      <c r="A99" s="120">
        <v>41045</v>
      </c>
      <c r="B99" s="126">
        <f t="shared" si="25"/>
        <v>16</v>
      </c>
      <c r="C99" s="126">
        <f t="shared" si="26"/>
        <v>3</v>
      </c>
      <c r="D99" s="126">
        <f t="shared" si="27"/>
        <v>5</v>
      </c>
      <c r="E99" s="127" t="str">
        <f t="shared" si="28"/>
        <v>53</v>
      </c>
      <c r="F99" s="121">
        <v>258</v>
      </c>
      <c r="G99" s="128">
        <f t="shared" ca="1" si="29"/>
        <v>1.035388544326888</v>
      </c>
      <c r="H99" s="128">
        <f t="shared" ca="1" si="30"/>
        <v>1.1427981919989803</v>
      </c>
      <c r="I99" s="128">
        <f t="shared" ca="1" si="31"/>
        <v>0.90707399660667842</v>
      </c>
      <c r="J99"/>
      <c r="AE99" s="111"/>
    </row>
    <row r="100" spans="1:31" x14ac:dyDescent="0.2">
      <c r="A100" s="120">
        <v>41046</v>
      </c>
      <c r="B100" s="126">
        <f t="shared" si="25"/>
        <v>17</v>
      </c>
      <c r="C100" s="126">
        <f t="shared" si="26"/>
        <v>3</v>
      </c>
      <c r="D100" s="126">
        <f t="shared" si="27"/>
        <v>5</v>
      </c>
      <c r="E100" s="127" t="str">
        <f t="shared" si="28"/>
        <v>53</v>
      </c>
      <c r="F100" s="121">
        <v>217</v>
      </c>
      <c r="G100" s="128">
        <f t="shared" ca="1" si="29"/>
        <v>0.87085005472455301</v>
      </c>
      <c r="H100" s="128">
        <f t="shared" ca="1" si="30"/>
        <v>1.1427981919989803</v>
      </c>
      <c r="I100" s="128">
        <f t="shared" ca="1" si="31"/>
        <v>0.90707399660667842</v>
      </c>
      <c r="J100"/>
      <c r="AE100" s="111"/>
    </row>
    <row r="101" spans="1:31" x14ac:dyDescent="0.2">
      <c r="A101" s="120">
        <v>41047</v>
      </c>
      <c r="B101" s="126">
        <f t="shared" si="25"/>
        <v>18</v>
      </c>
      <c r="C101" s="126">
        <f t="shared" si="26"/>
        <v>3</v>
      </c>
      <c r="D101" s="126">
        <f t="shared" si="27"/>
        <v>5</v>
      </c>
      <c r="E101" s="127" t="str">
        <f t="shared" si="28"/>
        <v>53</v>
      </c>
      <c r="F101" s="121">
        <v>174</v>
      </c>
      <c r="G101" s="128">
        <f t="shared" ca="1" si="29"/>
        <v>0.69828529733673839</v>
      </c>
      <c r="H101" s="128">
        <f t="shared" ca="1" si="30"/>
        <v>1.1427981919989803</v>
      </c>
      <c r="I101" s="128">
        <f t="shared" ca="1" si="31"/>
        <v>0.90707399660667842</v>
      </c>
      <c r="J101"/>
      <c r="AE101" s="111"/>
    </row>
    <row r="102" spans="1:31" x14ac:dyDescent="0.2">
      <c r="A102" s="120">
        <v>41050</v>
      </c>
      <c r="B102" s="126">
        <f t="shared" si="25"/>
        <v>21</v>
      </c>
      <c r="C102" s="126">
        <f t="shared" si="26"/>
        <v>4</v>
      </c>
      <c r="D102" s="126">
        <f t="shared" si="27"/>
        <v>5</v>
      </c>
      <c r="E102" s="127" t="str">
        <f t="shared" si="28"/>
        <v>54</v>
      </c>
      <c r="F102" s="121">
        <v>299</v>
      </c>
      <c r="G102" s="128">
        <f t="shared" ca="1" si="29"/>
        <v>1.199927033929223</v>
      </c>
      <c r="H102" s="128">
        <f t="shared" ca="1" si="30"/>
        <v>1.1044921073509697</v>
      </c>
      <c r="I102" s="128">
        <f t="shared" ca="1" si="31"/>
        <v>0.90707399660667842</v>
      </c>
      <c r="J102"/>
      <c r="AE102" s="111"/>
    </row>
    <row r="103" spans="1:31" x14ac:dyDescent="0.2">
      <c r="A103" s="120">
        <v>41051</v>
      </c>
      <c r="B103" s="126">
        <f t="shared" si="25"/>
        <v>22</v>
      </c>
      <c r="C103" s="126">
        <f t="shared" si="26"/>
        <v>4</v>
      </c>
      <c r="D103" s="126">
        <f t="shared" si="27"/>
        <v>5</v>
      </c>
      <c r="E103" s="127" t="str">
        <f t="shared" si="28"/>
        <v>54</v>
      </c>
      <c r="F103" s="121">
        <v>267</v>
      </c>
      <c r="G103" s="128">
        <f t="shared" ca="1" si="29"/>
        <v>1.0715067493615469</v>
      </c>
      <c r="H103" s="128">
        <f t="shared" ca="1" si="30"/>
        <v>1.1044921073509697</v>
      </c>
      <c r="I103" s="128">
        <f t="shared" ca="1" si="31"/>
        <v>0.90707399660667842</v>
      </c>
      <c r="J103"/>
      <c r="AE103" s="111"/>
    </row>
    <row r="104" spans="1:31" x14ac:dyDescent="0.2">
      <c r="A104" s="120">
        <v>41052</v>
      </c>
      <c r="B104" s="126">
        <f t="shared" si="25"/>
        <v>23</v>
      </c>
      <c r="C104" s="126">
        <f t="shared" si="26"/>
        <v>4</v>
      </c>
      <c r="D104" s="126">
        <f t="shared" si="27"/>
        <v>5</v>
      </c>
      <c r="E104" s="127" t="str">
        <f t="shared" si="28"/>
        <v>54</v>
      </c>
      <c r="F104" s="121">
        <v>245</v>
      </c>
      <c r="G104" s="128">
        <f t="shared" ca="1" si="29"/>
        <v>0.98321780372126955</v>
      </c>
      <c r="H104" s="128">
        <f t="shared" ca="1" si="30"/>
        <v>1.1044921073509697</v>
      </c>
      <c r="I104" s="128">
        <f t="shared" ca="1" si="31"/>
        <v>0.90707399660667842</v>
      </c>
      <c r="J104"/>
      <c r="AE104" s="111"/>
    </row>
    <row r="105" spans="1:31" x14ac:dyDescent="0.2">
      <c r="A105" s="120">
        <v>41053</v>
      </c>
      <c r="B105" s="126">
        <f t="shared" si="25"/>
        <v>24</v>
      </c>
      <c r="C105" s="126">
        <f t="shared" si="26"/>
        <v>4</v>
      </c>
      <c r="D105" s="126">
        <f t="shared" si="27"/>
        <v>5</v>
      </c>
      <c r="E105" s="127" t="str">
        <f t="shared" si="28"/>
        <v>54</v>
      </c>
      <c r="F105" s="121">
        <v>234</v>
      </c>
      <c r="G105" s="128">
        <f t="shared" ca="1" si="29"/>
        <v>0.93907333090113099</v>
      </c>
      <c r="H105" s="128">
        <f t="shared" ca="1" si="30"/>
        <v>1.1044921073509697</v>
      </c>
      <c r="I105" s="128">
        <f t="shared" ca="1" si="31"/>
        <v>0.90707399660667842</v>
      </c>
      <c r="J105"/>
      <c r="AE105" s="111"/>
    </row>
    <row r="106" spans="1:31" x14ac:dyDescent="0.2">
      <c r="A106" s="120">
        <v>41054</v>
      </c>
      <c r="B106" s="126">
        <f t="shared" si="25"/>
        <v>25</v>
      </c>
      <c r="C106" s="126">
        <f t="shared" si="26"/>
        <v>4</v>
      </c>
      <c r="D106" s="126">
        <f t="shared" si="27"/>
        <v>5</v>
      </c>
      <c r="E106" s="127" t="str">
        <f t="shared" si="28"/>
        <v>54</v>
      </c>
      <c r="F106" s="121">
        <v>166</v>
      </c>
      <c r="G106" s="128">
        <f t="shared" ca="1" si="29"/>
        <v>0.66618022619481942</v>
      </c>
      <c r="H106" s="128">
        <f t="shared" ca="1" si="30"/>
        <v>1.1044921073509697</v>
      </c>
      <c r="I106" s="128">
        <f t="shared" ca="1" si="31"/>
        <v>0.90707399660667842</v>
      </c>
      <c r="J106"/>
      <c r="AE106" s="111"/>
    </row>
    <row r="107" spans="1:31" x14ac:dyDescent="0.2">
      <c r="A107" s="120">
        <v>41058</v>
      </c>
      <c r="B107" s="126">
        <f t="shared" si="25"/>
        <v>29</v>
      </c>
      <c r="C107" s="126">
        <f t="shared" si="26"/>
        <v>5</v>
      </c>
      <c r="D107" s="126">
        <f t="shared" si="27"/>
        <v>5</v>
      </c>
      <c r="E107" s="127" t="str">
        <f t="shared" si="28"/>
        <v>55</v>
      </c>
      <c r="F107" s="121">
        <v>271</v>
      </c>
      <c r="G107" s="128">
        <f t="shared" ca="1" si="29"/>
        <v>1.0875592849325064</v>
      </c>
      <c r="H107" s="128">
        <f t="shared" ca="1" si="30"/>
        <v>0.7123107645261002</v>
      </c>
      <c r="I107" s="128">
        <f t="shared" ca="1" si="31"/>
        <v>0.90707399660667842</v>
      </c>
      <c r="J107"/>
      <c r="AE107" s="111"/>
    </row>
    <row r="108" spans="1:31" x14ac:dyDescent="0.2">
      <c r="A108" s="120">
        <v>41059</v>
      </c>
      <c r="B108" s="126">
        <f t="shared" si="25"/>
        <v>30</v>
      </c>
      <c r="C108" s="126">
        <f t="shared" si="26"/>
        <v>5</v>
      </c>
      <c r="D108" s="126">
        <f t="shared" si="27"/>
        <v>5</v>
      </c>
      <c r="E108" s="127" t="str">
        <f t="shared" si="28"/>
        <v>55</v>
      </c>
      <c r="F108" s="121">
        <v>283</v>
      </c>
      <c r="G108" s="128">
        <f t="shared" ca="1" si="29"/>
        <v>1.1357168916453848</v>
      </c>
      <c r="H108" s="128">
        <f t="shared" ca="1" si="30"/>
        <v>0.7123107645261002</v>
      </c>
      <c r="I108" s="128">
        <f t="shared" ca="1" si="31"/>
        <v>0.90707399660667842</v>
      </c>
      <c r="J108"/>
      <c r="AE108" s="111"/>
    </row>
    <row r="109" spans="1:31" x14ac:dyDescent="0.2">
      <c r="A109" s="120">
        <v>41060</v>
      </c>
      <c r="B109" s="126">
        <f t="shared" si="25"/>
        <v>31</v>
      </c>
      <c r="C109" s="126">
        <f t="shared" si="26"/>
        <v>5</v>
      </c>
      <c r="D109" s="126">
        <f t="shared" si="27"/>
        <v>5</v>
      </c>
      <c r="E109" s="127" t="str">
        <f t="shared" si="28"/>
        <v>55</v>
      </c>
      <c r="F109" s="121">
        <v>227</v>
      </c>
      <c r="G109" s="128">
        <f t="shared" ca="1" si="29"/>
        <v>0.91098139365195185</v>
      </c>
      <c r="H109" s="128">
        <f t="shared" ca="1" si="30"/>
        <v>0.7123107645261002</v>
      </c>
      <c r="I109" s="128">
        <f t="shared" ca="1" si="31"/>
        <v>0.90707399660667842</v>
      </c>
      <c r="J109"/>
      <c r="AE109" s="111"/>
    </row>
    <row r="110" spans="1:31" x14ac:dyDescent="0.2">
      <c r="A110" s="120">
        <v>41061</v>
      </c>
      <c r="B110" s="126">
        <f t="shared" si="25"/>
        <v>1</v>
      </c>
      <c r="C110" s="126">
        <f t="shared" si="26"/>
        <v>1</v>
      </c>
      <c r="D110" s="126">
        <f t="shared" si="27"/>
        <v>6</v>
      </c>
      <c r="E110" s="127" t="str">
        <f t="shared" si="28"/>
        <v>61</v>
      </c>
      <c r="F110" s="121">
        <v>219</v>
      </c>
      <c r="G110" s="128">
        <f t="shared" ca="1" si="29"/>
        <v>0.90247252747252749</v>
      </c>
      <c r="H110" s="128">
        <f t="shared" ca="1" si="30"/>
        <v>0.21486341093363603</v>
      </c>
      <c r="I110" s="128">
        <f t="shared" ca="1" si="31"/>
        <v>0.84320486806049499</v>
      </c>
      <c r="J110"/>
      <c r="AE110" s="111"/>
    </row>
    <row r="111" spans="1:31" x14ac:dyDescent="0.2">
      <c r="A111" s="120">
        <v>41064</v>
      </c>
      <c r="B111" s="126">
        <f t="shared" si="25"/>
        <v>4</v>
      </c>
      <c r="C111" s="126">
        <f t="shared" si="26"/>
        <v>2</v>
      </c>
      <c r="D111" s="126">
        <f t="shared" si="27"/>
        <v>6</v>
      </c>
      <c r="E111" s="127" t="str">
        <f t="shared" si="28"/>
        <v>62</v>
      </c>
      <c r="F111" s="121">
        <v>263</v>
      </c>
      <c r="G111" s="128">
        <f t="shared" ca="1" si="29"/>
        <v>1.0837912087912089</v>
      </c>
      <c r="H111" s="128">
        <f t="shared" ca="1" si="30"/>
        <v>1.2008804337112808</v>
      </c>
      <c r="I111" s="128">
        <f t="shared" ca="1" si="31"/>
        <v>0.84320486806049499</v>
      </c>
      <c r="J111"/>
      <c r="AE111" s="111"/>
    </row>
    <row r="112" spans="1:31" x14ac:dyDescent="0.2">
      <c r="A112" s="120">
        <v>41065</v>
      </c>
      <c r="B112" s="126">
        <f t="shared" si="25"/>
        <v>5</v>
      </c>
      <c r="C112" s="126">
        <f t="shared" si="26"/>
        <v>2</v>
      </c>
      <c r="D112" s="126">
        <f t="shared" si="27"/>
        <v>6</v>
      </c>
      <c r="E112" s="127" t="str">
        <f t="shared" si="28"/>
        <v>62</v>
      </c>
      <c r="F112" s="121">
        <v>254</v>
      </c>
      <c r="G112" s="128">
        <f t="shared" ca="1" si="29"/>
        <v>1.0467032967032968</v>
      </c>
      <c r="H112" s="128">
        <f t="shared" ca="1" si="30"/>
        <v>1.2008804337112808</v>
      </c>
      <c r="I112" s="128">
        <f t="shared" ca="1" si="31"/>
        <v>0.84320486806049499</v>
      </c>
      <c r="J112"/>
      <c r="AE112" s="111"/>
    </row>
    <row r="113" spans="1:31" x14ac:dyDescent="0.2">
      <c r="A113" s="120">
        <v>41066</v>
      </c>
      <c r="B113" s="126">
        <f t="shared" si="25"/>
        <v>6</v>
      </c>
      <c r="C113" s="126">
        <f t="shared" si="26"/>
        <v>2</v>
      </c>
      <c r="D113" s="126">
        <f t="shared" si="27"/>
        <v>6</v>
      </c>
      <c r="E113" s="127" t="str">
        <f t="shared" si="28"/>
        <v>62</v>
      </c>
      <c r="F113" s="121">
        <v>254</v>
      </c>
      <c r="G113" s="128">
        <f t="shared" ca="1" si="29"/>
        <v>1.0467032967032968</v>
      </c>
      <c r="H113" s="128">
        <f t="shared" ca="1" si="30"/>
        <v>1.2008804337112808</v>
      </c>
      <c r="I113" s="128">
        <f t="shared" ca="1" si="31"/>
        <v>0.84320486806049499</v>
      </c>
      <c r="J113"/>
      <c r="AE113" s="111"/>
    </row>
    <row r="114" spans="1:31" x14ac:dyDescent="0.2">
      <c r="A114" s="120">
        <v>41067</v>
      </c>
      <c r="B114" s="126">
        <f t="shared" si="25"/>
        <v>7</v>
      </c>
      <c r="C114" s="126">
        <f t="shared" si="26"/>
        <v>2</v>
      </c>
      <c r="D114" s="126">
        <f t="shared" si="27"/>
        <v>6</v>
      </c>
      <c r="E114" s="127" t="str">
        <f t="shared" si="28"/>
        <v>62</v>
      </c>
      <c r="F114" s="121">
        <v>249</v>
      </c>
      <c r="G114" s="128">
        <f t="shared" ca="1" si="29"/>
        <v>1.0260989010989012</v>
      </c>
      <c r="H114" s="128">
        <f t="shared" ca="1" si="30"/>
        <v>1.2008804337112808</v>
      </c>
      <c r="I114" s="128">
        <f t="shared" ca="1" si="31"/>
        <v>0.84320486806049499</v>
      </c>
      <c r="J114"/>
      <c r="AE114" s="111"/>
    </row>
    <row r="115" spans="1:31" x14ac:dyDescent="0.2">
      <c r="A115" s="120">
        <v>41068</v>
      </c>
      <c r="B115" s="126">
        <f t="shared" si="25"/>
        <v>8</v>
      </c>
      <c r="C115" s="126">
        <f t="shared" si="26"/>
        <v>2</v>
      </c>
      <c r="D115" s="126">
        <f t="shared" si="27"/>
        <v>6</v>
      </c>
      <c r="E115" s="127" t="str">
        <f t="shared" si="28"/>
        <v>62</v>
      </c>
      <c r="F115" s="121">
        <v>204</v>
      </c>
      <c r="G115" s="128">
        <f t="shared" ca="1" si="29"/>
        <v>0.84065934065934067</v>
      </c>
      <c r="H115" s="128">
        <f t="shared" ca="1" si="30"/>
        <v>1.2008804337112808</v>
      </c>
      <c r="I115" s="128">
        <f t="shared" ca="1" si="31"/>
        <v>0.84320486806049499</v>
      </c>
      <c r="J115"/>
      <c r="AE115" s="111"/>
    </row>
    <row r="116" spans="1:31" x14ac:dyDescent="0.2">
      <c r="A116" s="120">
        <v>41071</v>
      </c>
      <c r="B116" s="126">
        <f t="shared" si="25"/>
        <v>11</v>
      </c>
      <c r="C116" s="126">
        <f t="shared" si="26"/>
        <v>3</v>
      </c>
      <c r="D116" s="126">
        <f t="shared" si="27"/>
        <v>6</v>
      </c>
      <c r="E116" s="127" t="str">
        <f t="shared" si="28"/>
        <v>63</v>
      </c>
      <c r="F116" s="121">
        <v>247</v>
      </c>
      <c r="G116" s="128">
        <f t="shared" ca="1" si="29"/>
        <v>1.0178571428571428</v>
      </c>
      <c r="H116" s="128">
        <f t="shared" ca="1" si="30"/>
        <v>1.1439759687151581</v>
      </c>
      <c r="I116" s="128">
        <f t="shared" ca="1" si="31"/>
        <v>0.84320486806049499</v>
      </c>
      <c r="J116"/>
      <c r="AE116" s="111"/>
    </row>
    <row r="117" spans="1:31" x14ac:dyDescent="0.2">
      <c r="A117" s="120">
        <v>41072</v>
      </c>
      <c r="B117" s="126">
        <f t="shared" si="25"/>
        <v>12</v>
      </c>
      <c r="C117" s="126">
        <f t="shared" si="26"/>
        <v>3</v>
      </c>
      <c r="D117" s="126">
        <f t="shared" si="27"/>
        <v>6</v>
      </c>
      <c r="E117" s="127" t="str">
        <f t="shared" si="28"/>
        <v>63</v>
      </c>
      <c r="F117" s="121">
        <v>229</v>
      </c>
      <c r="G117" s="128">
        <f t="shared" ca="1" si="29"/>
        <v>0.94368131868131877</v>
      </c>
      <c r="H117" s="128">
        <f t="shared" ca="1" si="30"/>
        <v>1.1439759687151581</v>
      </c>
      <c r="I117" s="128">
        <f t="shared" ca="1" si="31"/>
        <v>0.84320486806049499</v>
      </c>
      <c r="J117"/>
      <c r="AE117" s="111"/>
    </row>
    <row r="118" spans="1:31" x14ac:dyDescent="0.2">
      <c r="A118" s="120">
        <v>41073</v>
      </c>
      <c r="B118" s="126">
        <f t="shared" si="25"/>
        <v>13</v>
      </c>
      <c r="C118" s="126">
        <f t="shared" si="26"/>
        <v>3</v>
      </c>
      <c r="D118" s="126">
        <f t="shared" si="27"/>
        <v>6</v>
      </c>
      <c r="E118" s="127" t="str">
        <f t="shared" si="28"/>
        <v>63</v>
      </c>
      <c r="F118" s="121">
        <v>277</v>
      </c>
      <c r="G118" s="128">
        <f t="shared" ca="1" si="29"/>
        <v>1.1414835164835164</v>
      </c>
      <c r="H118" s="128">
        <f t="shared" ca="1" si="30"/>
        <v>1.1439759687151581</v>
      </c>
      <c r="I118" s="128">
        <f t="shared" ca="1" si="31"/>
        <v>0.84320486806049499</v>
      </c>
      <c r="J118"/>
      <c r="AE118" s="111"/>
    </row>
    <row r="119" spans="1:31" x14ac:dyDescent="0.2">
      <c r="A119" s="120">
        <v>41074</v>
      </c>
      <c r="B119" s="126">
        <f t="shared" si="25"/>
        <v>14</v>
      </c>
      <c r="C119" s="126">
        <f t="shared" si="26"/>
        <v>3</v>
      </c>
      <c r="D119" s="126">
        <f t="shared" si="27"/>
        <v>6</v>
      </c>
      <c r="E119" s="127" t="str">
        <f t="shared" si="28"/>
        <v>63</v>
      </c>
      <c r="F119" s="121">
        <v>234</v>
      </c>
      <c r="G119" s="128">
        <f t="shared" ca="1" si="29"/>
        <v>0.9642857142857143</v>
      </c>
      <c r="H119" s="128">
        <f t="shared" ca="1" si="30"/>
        <v>1.1439759687151581</v>
      </c>
      <c r="I119" s="128">
        <f t="shared" ca="1" si="31"/>
        <v>0.84320486806049499</v>
      </c>
      <c r="J119"/>
      <c r="AE119" s="111"/>
    </row>
    <row r="120" spans="1:31" x14ac:dyDescent="0.2">
      <c r="A120" s="120">
        <v>41075</v>
      </c>
      <c r="B120" s="126">
        <f t="shared" si="25"/>
        <v>15</v>
      </c>
      <c r="C120" s="126">
        <f t="shared" si="26"/>
        <v>3</v>
      </c>
      <c r="D120" s="126">
        <f t="shared" si="27"/>
        <v>6</v>
      </c>
      <c r="E120" s="127" t="str">
        <f t="shared" si="28"/>
        <v>63</v>
      </c>
      <c r="F120" s="121">
        <v>179</v>
      </c>
      <c r="G120" s="128">
        <f t="shared" ca="1" si="29"/>
        <v>0.73763736263736268</v>
      </c>
      <c r="H120" s="128">
        <f t="shared" ca="1" si="30"/>
        <v>1.1439759687151581</v>
      </c>
      <c r="I120" s="128">
        <f t="shared" ca="1" si="31"/>
        <v>0.84320486806049499</v>
      </c>
      <c r="J120"/>
      <c r="AE120" s="111"/>
    </row>
    <row r="121" spans="1:31" x14ac:dyDescent="0.2">
      <c r="A121" s="120">
        <v>41078</v>
      </c>
      <c r="B121" s="126">
        <f t="shared" si="25"/>
        <v>18</v>
      </c>
      <c r="C121" s="126">
        <f t="shared" si="26"/>
        <v>4</v>
      </c>
      <c r="D121" s="126">
        <f t="shared" si="27"/>
        <v>6</v>
      </c>
      <c r="E121" s="127" t="str">
        <f t="shared" si="28"/>
        <v>64</v>
      </c>
      <c r="F121" s="121">
        <v>256</v>
      </c>
      <c r="G121" s="128">
        <f t="shared" ca="1" si="29"/>
        <v>1.054945054945055</v>
      </c>
      <c r="H121" s="128">
        <f t="shared" ca="1" si="30"/>
        <v>1.2283515547438919</v>
      </c>
      <c r="I121" s="128">
        <f t="shared" ca="1" si="31"/>
        <v>0.84320486806049499</v>
      </c>
      <c r="J121"/>
      <c r="AE121" s="111"/>
    </row>
    <row r="122" spans="1:31" x14ac:dyDescent="0.2">
      <c r="A122" s="120">
        <v>41079</v>
      </c>
      <c r="B122" s="126">
        <f t="shared" si="25"/>
        <v>19</v>
      </c>
      <c r="C122" s="126">
        <f t="shared" si="26"/>
        <v>4</v>
      </c>
      <c r="D122" s="126">
        <f t="shared" si="27"/>
        <v>6</v>
      </c>
      <c r="E122" s="127" t="str">
        <f t="shared" si="28"/>
        <v>64</v>
      </c>
      <c r="F122" s="121">
        <v>290</v>
      </c>
      <c r="G122" s="128">
        <f t="shared" ca="1" si="29"/>
        <v>1.195054945054945</v>
      </c>
      <c r="H122" s="128">
        <f t="shared" ca="1" si="30"/>
        <v>1.2283515547438919</v>
      </c>
      <c r="I122" s="128">
        <f t="shared" ca="1" si="31"/>
        <v>0.84320486806049499</v>
      </c>
      <c r="J122"/>
      <c r="AE122" s="111"/>
    </row>
    <row r="123" spans="1:31" x14ac:dyDescent="0.2">
      <c r="A123" s="120">
        <v>41080</v>
      </c>
      <c r="B123" s="126">
        <f t="shared" si="25"/>
        <v>20</v>
      </c>
      <c r="C123" s="126">
        <f t="shared" si="26"/>
        <v>4</v>
      </c>
      <c r="D123" s="126">
        <f t="shared" si="27"/>
        <v>6</v>
      </c>
      <c r="E123" s="127" t="str">
        <f t="shared" si="28"/>
        <v>64</v>
      </c>
      <c r="F123" s="121">
        <v>286</v>
      </c>
      <c r="G123" s="128">
        <f t="shared" ca="1" si="29"/>
        <v>1.1785714285714286</v>
      </c>
      <c r="H123" s="128">
        <f t="shared" ca="1" si="30"/>
        <v>1.2283515547438919</v>
      </c>
      <c r="I123" s="128">
        <f t="shared" ca="1" si="31"/>
        <v>0.84320486806049499</v>
      </c>
      <c r="J123"/>
      <c r="AE123" s="111"/>
    </row>
    <row r="124" spans="1:31" x14ac:dyDescent="0.2">
      <c r="A124" s="120">
        <v>41081</v>
      </c>
      <c r="B124" s="126">
        <f t="shared" si="25"/>
        <v>21</v>
      </c>
      <c r="C124" s="126">
        <f t="shared" si="26"/>
        <v>4</v>
      </c>
      <c r="D124" s="126">
        <f t="shared" si="27"/>
        <v>6</v>
      </c>
      <c r="E124" s="127" t="str">
        <f t="shared" si="28"/>
        <v>64</v>
      </c>
      <c r="F124" s="121">
        <v>240</v>
      </c>
      <c r="G124" s="128">
        <f t="shared" ca="1" si="29"/>
        <v>0.98901098901098905</v>
      </c>
      <c r="H124" s="128">
        <f t="shared" ca="1" si="30"/>
        <v>1.2283515547438919</v>
      </c>
      <c r="I124" s="128">
        <f t="shared" ca="1" si="31"/>
        <v>0.84320486806049499</v>
      </c>
      <c r="J124"/>
      <c r="AE124" s="111"/>
    </row>
    <row r="125" spans="1:31" x14ac:dyDescent="0.2">
      <c r="A125" s="120">
        <v>41082</v>
      </c>
      <c r="B125" s="126">
        <f t="shared" si="25"/>
        <v>22</v>
      </c>
      <c r="C125" s="126">
        <f t="shared" si="26"/>
        <v>4</v>
      </c>
      <c r="D125" s="126">
        <f t="shared" si="27"/>
        <v>6</v>
      </c>
      <c r="E125" s="127" t="str">
        <f t="shared" si="28"/>
        <v>64</v>
      </c>
      <c r="F125" s="121">
        <v>180</v>
      </c>
      <c r="G125" s="128">
        <f t="shared" ca="1" si="29"/>
        <v>0.74175824175824179</v>
      </c>
      <c r="H125" s="128">
        <f t="shared" ca="1" si="30"/>
        <v>1.2283515547438919</v>
      </c>
      <c r="I125" s="128">
        <f t="shared" ca="1" si="31"/>
        <v>0.84320486806049499</v>
      </c>
      <c r="J125"/>
      <c r="AE125" s="111"/>
    </row>
    <row r="126" spans="1:31" x14ac:dyDescent="0.2">
      <c r="A126" s="120">
        <v>41085</v>
      </c>
      <c r="B126" s="126">
        <f t="shared" si="25"/>
        <v>25</v>
      </c>
      <c r="C126" s="126">
        <f t="shared" si="26"/>
        <v>5</v>
      </c>
      <c r="D126" s="126">
        <f t="shared" si="27"/>
        <v>6</v>
      </c>
      <c r="E126" s="127" t="str">
        <f t="shared" si="28"/>
        <v>65</v>
      </c>
      <c r="F126" s="121">
        <v>279</v>
      </c>
      <c r="G126" s="128">
        <f t="shared" ca="1" si="29"/>
        <v>1.1497252747252749</v>
      </c>
      <c r="H126" s="128">
        <f t="shared" ca="1" si="30"/>
        <v>1.2119286318960329</v>
      </c>
      <c r="I126" s="128">
        <f t="shared" ca="1" si="31"/>
        <v>0.84320486806049499</v>
      </c>
      <c r="J126"/>
      <c r="AE126" s="111"/>
    </row>
    <row r="127" spans="1:31" x14ac:dyDescent="0.2">
      <c r="A127" s="120">
        <v>41086</v>
      </c>
      <c r="B127" s="126">
        <f t="shared" si="25"/>
        <v>26</v>
      </c>
      <c r="C127" s="126">
        <f t="shared" si="26"/>
        <v>5</v>
      </c>
      <c r="D127" s="126">
        <f t="shared" si="27"/>
        <v>6</v>
      </c>
      <c r="E127" s="127" t="str">
        <f t="shared" si="28"/>
        <v>65</v>
      </c>
      <c r="F127" s="121">
        <v>279</v>
      </c>
      <c r="G127" s="128">
        <f t="shared" ca="1" si="29"/>
        <v>1.1497252747252749</v>
      </c>
      <c r="H127" s="128">
        <f t="shared" ca="1" si="30"/>
        <v>1.2119286318960329</v>
      </c>
      <c r="I127" s="128">
        <f t="shared" ca="1" si="31"/>
        <v>0.84320486806049499</v>
      </c>
      <c r="J127"/>
      <c r="AE127" s="111"/>
    </row>
    <row r="128" spans="1:31" x14ac:dyDescent="0.2">
      <c r="A128" s="120">
        <v>41087</v>
      </c>
      <c r="B128" s="126">
        <f t="shared" si="25"/>
        <v>27</v>
      </c>
      <c r="C128" s="126">
        <f t="shared" si="26"/>
        <v>5</v>
      </c>
      <c r="D128" s="126">
        <f t="shared" si="27"/>
        <v>6</v>
      </c>
      <c r="E128" s="127" t="str">
        <f t="shared" si="28"/>
        <v>65</v>
      </c>
      <c r="F128" s="121">
        <v>267</v>
      </c>
      <c r="G128" s="128">
        <f t="shared" ca="1" si="29"/>
        <v>1.1002747252747254</v>
      </c>
      <c r="H128" s="128">
        <f t="shared" ca="1" si="30"/>
        <v>1.2119286318960329</v>
      </c>
      <c r="I128" s="128">
        <f t="shared" ca="1" si="31"/>
        <v>0.84320486806049499</v>
      </c>
      <c r="J128"/>
      <c r="AE128" s="111"/>
    </row>
    <row r="129" spans="1:31" x14ac:dyDescent="0.2">
      <c r="A129" s="120">
        <v>41088</v>
      </c>
      <c r="B129" s="126">
        <f t="shared" si="25"/>
        <v>28</v>
      </c>
      <c r="C129" s="126">
        <f t="shared" si="26"/>
        <v>5</v>
      </c>
      <c r="D129" s="126">
        <f t="shared" si="27"/>
        <v>6</v>
      </c>
      <c r="E129" s="127" t="str">
        <f t="shared" si="28"/>
        <v>65</v>
      </c>
      <c r="F129" s="121">
        <v>243</v>
      </c>
      <c r="G129" s="128">
        <f t="shared" ca="1" si="29"/>
        <v>1.0013736263736264</v>
      </c>
      <c r="H129" s="128">
        <f t="shared" ca="1" si="30"/>
        <v>1.2119286318960329</v>
      </c>
      <c r="I129" s="128">
        <f t="shared" ca="1" si="31"/>
        <v>0.84320486806049499</v>
      </c>
      <c r="J129"/>
      <c r="AE129" s="111"/>
    </row>
    <row r="130" spans="1:31" x14ac:dyDescent="0.2">
      <c r="A130" s="120">
        <v>41089</v>
      </c>
      <c r="B130" s="126">
        <f t="shared" si="25"/>
        <v>29</v>
      </c>
      <c r="C130" s="126">
        <f t="shared" si="26"/>
        <v>5</v>
      </c>
      <c r="D130" s="126">
        <f t="shared" si="27"/>
        <v>6</v>
      </c>
      <c r="E130" s="127" t="str">
        <f t="shared" si="28"/>
        <v>65</v>
      </c>
      <c r="F130" s="121">
        <v>167</v>
      </c>
      <c r="G130" s="128">
        <f t="shared" ca="1" si="29"/>
        <v>0.68818681318681318</v>
      </c>
      <c r="H130" s="128">
        <f t="shared" ca="1" si="30"/>
        <v>1.2119286318960329</v>
      </c>
      <c r="I130" s="128">
        <f t="shared" ca="1" si="31"/>
        <v>0.84320486806049499</v>
      </c>
      <c r="J130"/>
      <c r="AE130" s="111"/>
    </row>
    <row r="131" spans="1:31" x14ac:dyDescent="0.2">
      <c r="A131" s="120">
        <v>41092</v>
      </c>
      <c r="B131" s="126">
        <f t="shared" si="25"/>
        <v>2</v>
      </c>
      <c r="C131" s="126">
        <f t="shared" si="26"/>
        <v>2</v>
      </c>
      <c r="D131" s="126">
        <f t="shared" si="27"/>
        <v>7</v>
      </c>
      <c r="E131" s="127" t="str">
        <f t="shared" si="28"/>
        <v>72</v>
      </c>
      <c r="F131" s="121">
        <v>278</v>
      </c>
      <c r="G131" s="128">
        <f t="shared" ca="1" si="29"/>
        <v>1.1207525436744097</v>
      </c>
      <c r="H131" s="128">
        <f t="shared" ca="1" si="30"/>
        <v>0.64119792666538689</v>
      </c>
      <c r="I131" s="128">
        <f t="shared" ca="1" si="31"/>
        <v>0.8619023072462948</v>
      </c>
      <c r="J131"/>
      <c r="AE131" s="111"/>
    </row>
    <row r="132" spans="1:31" x14ac:dyDescent="0.2">
      <c r="A132" s="120">
        <v>41093</v>
      </c>
      <c r="B132" s="126">
        <f t="shared" ref="B132:B195" si="32">DAY(A132)</f>
        <v>3</v>
      </c>
      <c r="C132" s="126">
        <f t="shared" ref="C132:C195" si="33">IF(ROUNDUP((DAY(A132)+WEEKDAY(DATE(YEAR(A132),MONTH(A132),0)))/7,0)=6,5,ROUNDUP((DAY(A132)+WEEKDAY(DATE(YEAR(A132),MONTH(A132),0)))/7,0))</f>
        <v>2</v>
      </c>
      <c r="D132" s="126">
        <f t="shared" ref="D132:D195" si="34">MONTH(A132)</f>
        <v>7</v>
      </c>
      <c r="E132" s="127" t="str">
        <f t="shared" ref="E132:E195" si="35">D132&amp;C132</f>
        <v>72</v>
      </c>
      <c r="F132" s="121">
        <v>156</v>
      </c>
      <c r="G132" s="128">
        <f t="shared" ref="G132:G195" ca="1" si="36">F132/VLOOKUP($D132,$Z:$AA,2,0)</f>
        <v>0.62891149932808599</v>
      </c>
      <c r="H132" s="128">
        <f t="shared" ref="H132:H195" ca="1" si="37">VLOOKUP(E132,AE:AH,4,0)</f>
        <v>0.64119792666538689</v>
      </c>
      <c r="I132" s="128">
        <f t="shared" ref="I132:I195" ca="1" si="38">VLOOKUP(D132,Z:AC,4,0)</f>
        <v>0.8619023072462948</v>
      </c>
      <c r="J132"/>
      <c r="AE132" s="111"/>
    </row>
    <row r="133" spans="1:31" x14ac:dyDescent="0.2">
      <c r="A133" s="120">
        <v>41095</v>
      </c>
      <c r="B133" s="126">
        <f t="shared" si="32"/>
        <v>5</v>
      </c>
      <c r="C133" s="126">
        <f t="shared" si="33"/>
        <v>2</v>
      </c>
      <c r="D133" s="126">
        <f t="shared" si="34"/>
        <v>7</v>
      </c>
      <c r="E133" s="127" t="str">
        <f t="shared" si="35"/>
        <v>72</v>
      </c>
      <c r="F133" s="121">
        <v>234</v>
      </c>
      <c r="G133" s="128">
        <f t="shared" ca="1" si="36"/>
        <v>0.94336724899212909</v>
      </c>
      <c r="H133" s="128">
        <f t="shared" ca="1" si="37"/>
        <v>0.64119792666538689</v>
      </c>
      <c r="I133" s="128">
        <f t="shared" ca="1" si="38"/>
        <v>0.8619023072462948</v>
      </c>
      <c r="J133"/>
      <c r="AE133" s="111"/>
    </row>
    <row r="134" spans="1:31" x14ac:dyDescent="0.2">
      <c r="A134" s="120">
        <v>41096</v>
      </c>
      <c r="B134" s="126">
        <f t="shared" si="32"/>
        <v>6</v>
      </c>
      <c r="C134" s="126">
        <f t="shared" si="33"/>
        <v>2</v>
      </c>
      <c r="D134" s="126">
        <f t="shared" si="34"/>
        <v>7</v>
      </c>
      <c r="E134" s="127" t="str">
        <f t="shared" si="35"/>
        <v>72</v>
      </c>
      <c r="F134" s="121">
        <v>167</v>
      </c>
      <c r="G134" s="128">
        <f t="shared" ca="1" si="36"/>
        <v>0.67325782299865622</v>
      </c>
      <c r="H134" s="128">
        <f t="shared" ca="1" si="37"/>
        <v>0.64119792666538689</v>
      </c>
      <c r="I134" s="128">
        <f t="shared" ca="1" si="38"/>
        <v>0.8619023072462948</v>
      </c>
      <c r="J134"/>
      <c r="AE134" s="111"/>
    </row>
    <row r="135" spans="1:31" x14ac:dyDescent="0.2">
      <c r="A135" s="120">
        <v>41099</v>
      </c>
      <c r="B135" s="126">
        <f t="shared" si="32"/>
        <v>9</v>
      </c>
      <c r="C135" s="126">
        <f t="shared" si="33"/>
        <v>3</v>
      </c>
      <c r="D135" s="126">
        <f t="shared" si="34"/>
        <v>7</v>
      </c>
      <c r="E135" s="127" t="str">
        <f t="shared" si="35"/>
        <v>73</v>
      </c>
      <c r="F135" s="121">
        <v>292</v>
      </c>
      <c r="G135" s="128">
        <f t="shared" ca="1" si="36"/>
        <v>1.1771933192551354</v>
      </c>
      <c r="H135" s="128">
        <f t="shared" ca="1" si="37"/>
        <v>1.0174697638702246</v>
      </c>
      <c r="I135" s="128">
        <f t="shared" ca="1" si="38"/>
        <v>0.8619023072462948</v>
      </c>
      <c r="J135"/>
      <c r="AE135" s="111"/>
    </row>
    <row r="136" spans="1:31" x14ac:dyDescent="0.2">
      <c r="A136" s="120">
        <v>41100</v>
      </c>
      <c r="B136" s="126">
        <f t="shared" si="32"/>
        <v>10</v>
      </c>
      <c r="C136" s="126">
        <f t="shared" si="33"/>
        <v>3</v>
      </c>
      <c r="D136" s="126">
        <f t="shared" si="34"/>
        <v>7</v>
      </c>
      <c r="E136" s="127" t="str">
        <f t="shared" si="35"/>
        <v>73</v>
      </c>
      <c r="F136" s="121">
        <v>298</v>
      </c>
      <c r="G136" s="128">
        <f t="shared" ca="1" si="36"/>
        <v>1.2013822230754463</v>
      </c>
      <c r="H136" s="128">
        <f t="shared" ca="1" si="37"/>
        <v>1.0174697638702246</v>
      </c>
      <c r="I136" s="128">
        <f t="shared" ca="1" si="38"/>
        <v>0.8619023072462948</v>
      </c>
      <c r="J136"/>
      <c r="AE136" s="111"/>
    </row>
    <row r="137" spans="1:31" x14ac:dyDescent="0.2">
      <c r="A137" s="120">
        <v>41101</v>
      </c>
      <c r="B137" s="126">
        <f t="shared" si="32"/>
        <v>11</v>
      </c>
      <c r="C137" s="126">
        <f t="shared" si="33"/>
        <v>3</v>
      </c>
      <c r="D137" s="126">
        <f t="shared" si="34"/>
        <v>7</v>
      </c>
      <c r="E137" s="127" t="str">
        <f t="shared" si="35"/>
        <v>73</v>
      </c>
      <c r="F137" s="121">
        <v>278</v>
      </c>
      <c r="G137" s="128">
        <f t="shared" ca="1" si="36"/>
        <v>1.1207525436744097</v>
      </c>
      <c r="H137" s="128">
        <f t="shared" ca="1" si="37"/>
        <v>1.0174697638702246</v>
      </c>
      <c r="I137" s="128">
        <f t="shared" ca="1" si="38"/>
        <v>0.8619023072462948</v>
      </c>
      <c r="J137"/>
      <c r="AE137" s="111"/>
    </row>
    <row r="138" spans="1:31" x14ac:dyDescent="0.2">
      <c r="A138" s="120">
        <v>41102</v>
      </c>
      <c r="B138" s="126">
        <f t="shared" si="32"/>
        <v>12</v>
      </c>
      <c r="C138" s="126">
        <f t="shared" si="33"/>
        <v>3</v>
      </c>
      <c r="D138" s="126">
        <f t="shared" si="34"/>
        <v>7</v>
      </c>
      <c r="E138" s="127" t="str">
        <f t="shared" si="35"/>
        <v>73</v>
      </c>
      <c r="F138" s="121">
        <v>266</v>
      </c>
      <c r="G138" s="128">
        <f t="shared" ca="1" si="36"/>
        <v>1.0723747360337876</v>
      </c>
      <c r="H138" s="128">
        <f t="shared" ca="1" si="37"/>
        <v>1.0174697638702246</v>
      </c>
      <c r="I138" s="128">
        <f t="shared" ca="1" si="38"/>
        <v>0.8619023072462948</v>
      </c>
      <c r="J138"/>
      <c r="AE138" s="111"/>
    </row>
    <row r="139" spans="1:31" x14ac:dyDescent="0.2">
      <c r="A139" s="120">
        <v>41103</v>
      </c>
      <c r="B139" s="126">
        <f t="shared" si="32"/>
        <v>13</v>
      </c>
      <c r="C139" s="126">
        <f t="shared" si="33"/>
        <v>3</v>
      </c>
      <c r="D139" s="126">
        <f t="shared" si="34"/>
        <v>7</v>
      </c>
      <c r="E139" s="127" t="str">
        <f t="shared" si="35"/>
        <v>73</v>
      </c>
      <c r="F139" s="121">
        <v>191</v>
      </c>
      <c r="G139" s="128">
        <f t="shared" ca="1" si="36"/>
        <v>0.77001343827990021</v>
      </c>
      <c r="H139" s="128">
        <f t="shared" ca="1" si="37"/>
        <v>1.0174697638702246</v>
      </c>
      <c r="I139" s="128">
        <f t="shared" ca="1" si="38"/>
        <v>0.8619023072462948</v>
      </c>
      <c r="J139"/>
      <c r="AE139" s="111"/>
    </row>
    <row r="140" spans="1:31" x14ac:dyDescent="0.2">
      <c r="A140" s="120">
        <v>41106</v>
      </c>
      <c r="B140" s="126">
        <f t="shared" si="32"/>
        <v>16</v>
      </c>
      <c r="C140" s="126">
        <f t="shared" si="33"/>
        <v>4</v>
      </c>
      <c r="D140" s="126">
        <f t="shared" si="34"/>
        <v>7</v>
      </c>
      <c r="E140" s="127" t="str">
        <f t="shared" si="35"/>
        <v>74</v>
      </c>
      <c r="F140" s="121">
        <v>278</v>
      </c>
      <c r="G140" s="128">
        <f t="shared" ca="1" si="36"/>
        <v>1.1207525436744097</v>
      </c>
      <c r="H140" s="128">
        <f t="shared" ca="1" si="37"/>
        <v>0.94912651180648877</v>
      </c>
      <c r="I140" s="128">
        <f t="shared" ca="1" si="38"/>
        <v>0.8619023072462948</v>
      </c>
      <c r="J140"/>
      <c r="AE140" s="111"/>
    </row>
    <row r="141" spans="1:31" x14ac:dyDescent="0.2">
      <c r="A141" s="120">
        <v>41107</v>
      </c>
      <c r="B141" s="126">
        <f t="shared" si="32"/>
        <v>17</v>
      </c>
      <c r="C141" s="126">
        <f t="shared" si="33"/>
        <v>4</v>
      </c>
      <c r="D141" s="126">
        <f t="shared" si="34"/>
        <v>7</v>
      </c>
      <c r="E141" s="127" t="str">
        <f t="shared" si="35"/>
        <v>74</v>
      </c>
      <c r="F141" s="121">
        <v>301</v>
      </c>
      <c r="G141" s="128">
        <f t="shared" ca="1" si="36"/>
        <v>1.2134766749856019</v>
      </c>
      <c r="H141" s="128">
        <f t="shared" ca="1" si="37"/>
        <v>0.94912651180648877</v>
      </c>
      <c r="I141" s="128">
        <f t="shared" ca="1" si="38"/>
        <v>0.8619023072462948</v>
      </c>
      <c r="J141"/>
      <c r="AE141" s="111"/>
    </row>
    <row r="142" spans="1:31" x14ac:dyDescent="0.2">
      <c r="A142" s="120">
        <v>41108</v>
      </c>
      <c r="B142" s="126">
        <f t="shared" si="32"/>
        <v>18</v>
      </c>
      <c r="C142" s="126">
        <f t="shared" si="33"/>
        <v>4</v>
      </c>
      <c r="D142" s="126">
        <f t="shared" si="34"/>
        <v>7</v>
      </c>
      <c r="E142" s="127" t="str">
        <f t="shared" si="35"/>
        <v>74</v>
      </c>
      <c r="F142" s="121">
        <v>255</v>
      </c>
      <c r="G142" s="128">
        <f t="shared" ca="1" si="36"/>
        <v>1.0280284123632175</v>
      </c>
      <c r="H142" s="128">
        <f t="shared" ca="1" si="37"/>
        <v>0.94912651180648877</v>
      </c>
      <c r="I142" s="128">
        <f t="shared" ca="1" si="38"/>
        <v>0.8619023072462948</v>
      </c>
      <c r="J142"/>
      <c r="AE142" s="111"/>
    </row>
    <row r="143" spans="1:31" x14ac:dyDescent="0.2">
      <c r="A143" s="120">
        <v>41109</v>
      </c>
      <c r="B143" s="126">
        <f t="shared" si="32"/>
        <v>19</v>
      </c>
      <c r="C143" s="126">
        <f t="shared" si="33"/>
        <v>4</v>
      </c>
      <c r="D143" s="126">
        <f t="shared" si="34"/>
        <v>7</v>
      </c>
      <c r="E143" s="127" t="str">
        <f t="shared" si="35"/>
        <v>74</v>
      </c>
      <c r="F143" s="121">
        <v>238</v>
      </c>
      <c r="G143" s="128">
        <f t="shared" ca="1" si="36"/>
        <v>0.95949318487233637</v>
      </c>
      <c r="H143" s="128">
        <f t="shared" ca="1" si="37"/>
        <v>0.94912651180648877</v>
      </c>
      <c r="I143" s="128">
        <f t="shared" ca="1" si="38"/>
        <v>0.8619023072462948</v>
      </c>
      <c r="J143"/>
      <c r="AE143" s="111"/>
    </row>
    <row r="144" spans="1:31" x14ac:dyDescent="0.2">
      <c r="A144" s="120">
        <v>41110</v>
      </c>
      <c r="B144" s="126">
        <f t="shared" si="32"/>
        <v>20</v>
      </c>
      <c r="C144" s="126">
        <f t="shared" si="33"/>
        <v>4</v>
      </c>
      <c r="D144" s="126">
        <f t="shared" si="34"/>
        <v>7</v>
      </c>
      <c r="E144" s="127" t="str">
        <f t="shared" si="35"/>
        <v>74</v>
      </c>
      <c r="F144" s="121">
        <v>164</v>
      </c>
      <c r="G144" s="128">
        <f t="shared" ca="1" si="36"/>
        <v>0.66116337108850065</v>
      </c>
      <c r="H144" s="128">
        <f t="shared" ca="1" si="37"/>
        <v>0.94912651180648877</v>
      </c>
      <c r="I144" s="128">
        <f t="shared" ca="1" si="38"/>
        <v>0.8619023072462948</v>
      </c>
      <c r="J144"/>
      <c r="AE144" s="111"/>
    </row>
    <row r="145" spans="1:31" x14ac:dyDescent="0.2">
      <c r="A145" s="120">
        <v>41113</v>
      </c>
      <c r="B145" s="126">
        <f t="shared" si="32"/>
        <v>23</v>
      </c>
      <c r="C145" s="126">
        <f t="shared" si="33"/>
        <v>5</v>
      </c>
      <c r="D145" s="126">
        <f t="shared" si="34"/>
        <v>7</v>
      </c>
      <c r="E145" s="127" t="str">
        <f t="shared" si="35"/>
        <v>75</v>
      </c>
      <c r="F145" s="121">
        <v>286</v>
      </c>
      <c r="G145" s="128">
        <f t="shared" ca="1" si="36"/>
        <v>1.1530044154348245</v>
      </c>
      <c r="H145" s="128">
        <f t="shared" ca="1" si="37"/>
        <v>1.3922057976578999</v>
      </c>
      <c r="I145" s="128">
        <f t="shared" ca="1" si="38"/>
        <v>0.8619023072462948</v>
      </c>
      <c r="J145"/>
      <c r="AE145" s="111"/>
    </row>
    <row r="146" spans="1:31" x14ac:dyDescent="0.2">
      <c r="A146" s="120">
        <v>41114</v>
      </c>
      <c r="B146" s="126">
        <f t="shared" si="32"/>
        <v>24</v>
      </c>
      <c r="C146" s="126">
        <f t="shared" si="33"/>
        <v>5</v>
      </c>
      <c r="D146" s="126">
        <f t="shared" si="34"/>
        <v>7</v>
      </c>
      <c r="E146" s="127" t="str">
        <f t="shared" si="35"/>
        <v>75</v>
      </c>
      <c r="F146" s="121">
        <v>257</v>
      </c>
      <c r="G146" s="128">
        <f t="shared" ca="1" si="36"/>
        <v>1.0360913803033212</v>
      </c>
      <c r="H146" s="128">
        <f t="shared" ca="1" si="37"/>
        <v>1.3922057976578999</v>
      </c>
      <c r="I146" s="128">
        <f t="shared" ca="1" si="38"/>
        <v>0.8619023072462948</v>
      </c>
      <c r="J146"/>
      <c r="AE146" s="111"/>
    </row>
    <row r="147" spans="1:31" x14ac:dyDescent="0.2">
      <c r="A147" s="120">
        <v>41115</v>
      </c>
      <c r="B147" s="126">
        <f t="shared" si="32"/>
        <v>25</v>
      </c>
      <c r="C147" s="126">
        <f t="shared" si="33"/>
        <v>5</v>
      </c>
      <c r="D147" s="126">
        <f t="shared" si="34"/>
        <v>7</v>
      </c>
      <c r="E147" s="127" t="str">
        <f t="shared" si="35"/>
        <v>75</v>
      </c>
      <c r="F147" s="121">
        <v>252</v>
      </c>
      <c r="G147" s="128">
        <f t="shared" ca="1" si="36"/>
        <v>1.0159339604530619</v>
      </c>
      <c r="H147" s="128">
        <f t="shared" ca="1" si="37"/>
        <v>1.3922057976578999</v>
      </c>
      <c r="I147" s="128">
        <f t="shared" ca="1" si="38"/>
        <v>0.8619023072462948</v>
      </c>
      <c r="J147"/>
      <c r="AE147" s="111"/>
    </row>
    <row r="148" spans="1:31" x14ac:dyDescent="0.2">
      <c r="A148" s="120">
        <v>41116</v>
      </c>
      <c r="B148" s="126">
        <f t="shared" si="32"/>
        <v>26</v>
      </c>
      <c r="C148" s="126">
        <f t="shared" si="33"/>
        <v>5</v>
      </c>
      <c r="D148" s="126">
        <f t="shared" si="34"/>
        <v>7</v>
      </c>
      <c r="E148" s="127" t="str">
        <f t="shared" si="35"/>
        <v>75</v>
      </c>
      <c r="F148" s="121">
        <v>236</v>
      </c>
      <c r="G148" s="128">
        <f t="shared" ca="1" si="36"/>
        <v>0.95143021693223273</v>
      </c>
      <c r="H148" s="128">
        <f t="shared" ca="1" si="37"/>
        <v>1.3922057976578999</v>
      </c>
      <c r="I148" s="128">
        <f t="shared" ca="1" si="38"/>
        <v>0.8619023072462948</v>
      </c>
      <c r="J148"/>
      <c r="AE148" s="111"/>
    </row>
    <row r="149" spans="1:31" x14ac:dyDescent="0.2">
      <c r="A149" s="120">
        <v>41117</v>
      </c>
      <c r="B149" s="126">
        <f t="shared" si="32"/>
        <v>27</v>
      </c>
      <c r="C149" s="126">
        <f t="shared" si="33"/>
        <v>5</v>
      </c>
      <c r="D149" s="126">
        <f t="shared" si="34"/>
        <v>7</v>
      </c>
      <c r="E149" s="127" t="str">
        <f t="shared" si="35"/>
        <v>75</v>
      </c>
      <c r="F149" s="121">
        <v>195</v>
      </c>
      <c r="G149" s="128">
        <f t="shared" ca="1" si="36"/>
        <v>0.7861393741601076</v>
      </c>
      <c r="H149" s="128">
        <f t="shared" ca="1" si="37"/>
        <v>1.3922057976578999</v>
      </c>
      <c r="I149" s="128">
        <f t="shared" ca="1" si="38"/>
        <v>0.8619023072462948</v>
      </c>
      <c r="J149"/>
      <c r="AE149" s="111"/>
    </row>
    <row r="150" spans="1:31" x14ac:dyDescent="0.2">
      <c r="A150" s="120">
        <v>41120</v>
      </c>
      <c r="B150" s="126">
        <f t="shared" si="32"/>
        <v>30</v>
      </c>
      <c r="C150" s="126">
        <f t="shared" si="33"/>
        <v>5</v>
      </c>
      <c r="D150" s="126">
        <f t="shared" si="34"/>
        <v>7</v>
      </c>
      <c r="E150" s="127" t="str">
        <f t="shared" si="35"/>
        <v>75</v>
      </c>
      <c r="F150" s="121">
        <v>285</v>
      </c>
      <c r="G150" s="128">
        <f t="shared" ca="1" si="36"/>
        <v>1.1489729314647725</v>
      </c>
      <c r="H150" s="128">
        <f t="shared" ca="1" si="37"/>
        <v>1.3922057976578999</v>
      </c>
      <c r="I150" s="128">
        <f t="shared" ca="1" si="38"/>
        <v>0.8619023072462948</v>
      </c>
      <c r="J150"/>
      <c r="AE150" s="111"/>
    </row>
    <row r="151" spans="1:31" x14ac:dyDescent="0.2">
      <c r="A151" s="120">
        <v>41121</v>
      </c>
      <c r="B151" s="126">
        <f t="shared" si="32"/>
        <v>31</v>
      </c>
      <c r="C151" s="126">
        <f t="shared" si="33"/>
        <v>5</v>
      </c>
      <c r="D151" s="126">
        <f t="shared" si="34"/>
        <v>7</v>
      </c>
      <c r="E151" s="127" t="str">
        <f t="shared" si="35"/>
        <v>75</v>
      </c>
      <c r="F151" s="121">
        <v>302</v>
      </c>
      <c r="G151" s="128">
        <f t="shared" ca="1" si="36"/>
        <v>1.2175081589556538</v>
      </c>
      <c r="H151" s="128">
        <f t="shared" ca="1" si="37"/>
        <v>1.3922057976578999</v>
      </c>
      <c r="I151" s="128">
        <f t="shared" ca="1" si="38"/>
        <v>0.8619023072462948</v>
      </c>
      <c r="J151"/>
      <c r="AE151" s="111"/>
    </row>
    <row r="152" spans="1:31" x14ac:dyDescent="0.2">
      <c r="A152" s="120">
        <v>41122</v>
      </c>
      <c r="B152" s="126">
        <f t="shared" si="32"/>
        <v>1</v>
      </c>
      <c r="C152" s="126">
        <f t="shared" si="33"/>
        <v>1</v>
      </c>
      <c r="D152" s="126">
        <f t="shared" si="34"/>
        <v>8</v>
      </c>
      <c r="E152" s="127" t="str">
        <f t="shared" si="35"/>
        <v>81</v>
      </c>
      <c r="F152" s="121">
        <v>238</v>
      </c>
      <c r="G152" s="128">
        <f t="shared" ca="1" si="36"/>
        <v>0.88906935195712189</v>
      </c>
      <c r="H152" s="128">
        <f t="shared" ca="1" si="37"/>
        <v>0.54325877817429991</v>
      </c>
      <c r="I152" s="128">
        <f t="shared" ca="1" si="38"/>
        <v>1.0187622395307039</v>
      </c>
      <c r="J152"/>
      <c r="AE152" s="111"/>
    </row>
    <row r="153" spans="1:31" x14ac:dyDescent="0.2">
      <c r="A153" s="120">
        <v>41123</v>
      </c>
      <c r="B153" s="126">
        <f t="shared" si="32"/>
        <v>2</v>
      </c>
      <c r="C153" s="126">
        <f t="shared" si="33"/>
        <v>1</v>
      </c>
      <c r="D153" s="126">
        <f t="shared" si="34"/>
        <v>8</v>
      </c>
      <c r="E153" s="127" t="str">
        <f t="shared" si="35"/>
        <v>81</v>
      </c>
      <c r="F153" s="121">
        <v>245</v>
      </c>
      <c r="G153" s="128">
        <f t="shared" ca="1" si="36"/>
        <v>0.91521845054409612</v>
      </c>
      <c r="H153" s="128">
        <f t="shared" ca="1" si="37"/>
        <v>0.54325877817429991</v>
      </c>
      <c r="I153" s="128">
        <f t="shared" ca="1" si="38"/>
        <v>1.0187622395307039</v>
      </c>
      <c r="J153"/>
      <c r="AE153" s="111"/>
    </row>
    <row r="154" spans="1:31" x14ac:dyDescent="0.2">
      <c r="A154" s="120">
        <v>41124</v>
      </c>
      <c r="B154" s="126">
        <f t="shared" si="32"/>
        <v>3</v>
      </c>
      <c r="C154" s="126">
        <f t="shared" si="33"/>
        <v>1</v>
      </c>
      <c r="D154" s="126">
        <f t="shared" si="34"/>
        <v>8</v>
      </c>
      <c r="E154" s="127" t="str">
        <f t="shared" si="35"/>
        <v>81</v>
      </c>
      <c r="F154" s="121">
        <v>186</v>
      </c>
      <c r="G154" s="128">
        <f t="shared" ca="1" si="36"/>
        <v>0.69481890531102808</v>
      </c>
      <c r="H154" s="128">
        <f t="shared" ca="1" si="37"/>
        <v>0.54325877817429991</v>
      </c>
      <c r="I154" s="128">
        <f t="shared" ca="1" si="38"/>
        <v>1.0187622395307039</v>
      </c>
      <c r="J154"/>
      <c r="AE154" s="111"/>
    </row>
    <row r="155" spans="1:31" x14ac:dyDescent="0.2">
      <c r="A155" s="120">
        <v>41127</v>
      </c>
      <c r="B155" s="126">
        <f t="shared" si="32"/>
        <v>6</v>
      </c>
      <c r="C155" s="126">
        <f t="shared" si="33"/>
        <v>2</v>
      </c>
      <c r="D155" s="126">
        <f t="shared" si="34"/>
        <v>8</v>
      </c>
      <c r="E155" s="127" t="str">
        <f t="shared" si="35"/>
        <v>82</v>
      </c>
      <c r="F155" s="121">
        <v>291</v>
      </c>
      <c r="G155" s="128">
        <f t="shared" ca="1" si="36"/>
        <v>1.0870553841156407</v>
      </c>
      <c r="H155" s="128">
        <f t="shared" ca="1" si="37"/>
        <v>1.0150575077995141</v>
      </c>
      <c r="I155" s="128">
        <f t="shared" ca="1" si="38"/>
        <v>1.0187622395307039</v>
      </c>
      <c r="J155"/>
      <c r="AE155" s="111"/>
    </row>
    <row r="156" spans="1:31" x14ac:dyDescent="0.2">
      <c r="A156" s="120">
        <v>41128</v>
      </c>
      <c r="B156" s="126">
        <f t="shared" si="32"/>
        <v>7</v>
      </c>
      <c r="C156" s="126">
        <f t="shared" si="33"/>
        <v>2</v>
      </c>
      <c r="D156" s="126">
        <f t="shared" si="34"/>
        <v>8</v>
      </c>
      <c r="E156" s="127" t="str">
        <f t="shared" si="35"/>
        <v>82</v>
      </c>
      <c r="F156" s="121">
        <v>236</v>
      </c>
      <c r="G156" s="128">
        <f t="shared" ca="1" si="36"/>
        <v>0.88159818093227216</v>
      </c>
      <c r="H156" s="128">
        <f t="shared" ca="1" si="37"/>
        <v>1.0150575077995141</v>
      </c>
      <c r="I156" s="128">
        <f t="shared" ca="1" si="38"/>
        <v>1.0187622395307039</v>
      </c>
      <c r="J156"/>
      <c r="AE156" s="111"/>
    </row>
    <row r="157" spans="1:31" x14ac:dyDescent="0.2">
      <c r="A157" s="120">
        <v>41129</v>
      </c>
      <c r="B157" s="126">
        <f t="shared" si="32"/>
        <v>8</v>
      </c>
      <c r="C157" s="126">
        <f t="shared" si="33"/>
        <v>2</v>
      </c>
      <c r="D157" s="126">
        <f t="shared" si="34"/>
        <v>8</v>
      </c>
      <c r="E157" s="127" t="str">
        <f t="shared" si="35"/>
        <v>82</v>
      </c>
      <c r="F157" s="121">
        <v>273</v>
      </c>
      <c r="G157" s="128">
        <f t="shared" ca="1" si="36"/>
        <v>1.0198148448919928</v>
      </c>
      <c r="H157" s="128">
        <f t="shared" ca="1" si="37"/>
        <v>1.0150575077995141</v>
      </c>
      <c r="I157" s="128">
        <f t="shared" ca="1" si="38"/>
        <v>1.0187622395307039</v>
      </c>
      <c r="J157"/>
      <c r="AE157" s="111"/>
    </row>
    <row r="158" spans="1:31" x14ac:dyDescent="0.2">
      <c r="A158" s="120">
        <v>41130</v>
      </c>
      <c r="B158" s="126">
        <f t="shared" si="32"/>
        <v>9</v>
      </c>
      <c r="C158" s="126">
        <f t="shared" si="33"/>
        <v>2</v>
      </c>
      <c r="D158" s="126">
        <f t="shared" si="34"/>
        <v>8</v>
      </c>
      <c r="E158" s="127" t="str">
        <f t="shared" si="35"/>
        <v>82</v>
      </c>
      <c r="F158" s="121">
        <v>262</v>
      </c>
      <c r="G158" s="128">
        <f t="shared" ca="1" si="36"/>
        <v>0.97872340425531912</v>
      </c>
      <c r="H158" s="128">
        <f t="shared" ca="1" si="37"/>
        <v>1.0150575077995141</v>
      </c>
      <c r="I158" s="128">
        <f t="shared" ca="1" si="38"/>
        <v>1.0187622395307039</v>
      </c>
      <c r="J158"/>
      <c r="AE158" s="111"/>
    </row>
    <row r="159" spans="1:31" x14ac:dyDescent="0.2">
      <c r="A159" s="120">
        <v>41131</v>
      </c>
      <c r="B159" s="126">
        <f t="shared" si="32"/>
        <v>10</v>
      </c>
      <c r="C159" s="126">
        <f t="shared" si="33"/>
        <v>2</v>
      </c>
      <c r="D159" s="126">
        <f t="shared" si="34"/>
        <v>8</v>
      </c>
      <c r="E159" s="127" t="str">
        <f t="shared" si="35"/>
        <v>82</v>
      </c>
      <c r="F159" s="121">
        <v>188</v>
      </c>
      <c r="G159" s="128">
        <f t="shared" ca="1" si="36"/>
        <v>0.70229007633587781</v>
      </c>
      <c r="H159" s="128">
        <f t="shared" ca="1" si="37"/>
        <v>1.0150575077995141</v>
      </c>
      <c r="I159" s="128">
        <f t="shared" ca="1" si="38"/>
        <v>1.0187622395307039</v>
      </c>
      <c r="J159"/>
      <c r="AE159" s="111"/>
    </row>
    <row r="160" spans="1:31" x14ac:dyDescent="0.2">
      <c r="A160" s="120">
        <v>41134</v>
      </c>
      <c r="B160" s="126">
        <f t="shared" si="32"/>
        <v>13</v>
      </c>
      <c r="C160" s="126">
        <f t="shared" si="33"/>
        <v>3</v>
      </c>
      <c r="D160" s="126">
        <f t="shared" si="34"/>
        <v>8</v>
      </c>
      <c r="E160" s="127" t="str">
        <f t="shared" si="35"/>
        <v>83</v>
      </c>
      <c r="F160" s="121">
        <v>295</v>
      </c>
      <c r="G160" s="128">
        <f t="shared" ca="1" si="36"/>
        <v>1.1019977261653402</v>
      </c>
      <c r="H160" s="128">
        <f t="shared" ca="1" si="37"/>
        <v>1.0459152560366194</v>
      </c>
      <c r="I160" s="128">
        <f t="shared" ca="1" si="38"/>
        <v>1.0187622395307039</v>
      </c>
      <c r="J160"/>
      <c r="AE160" s="111"/>
    </row>
    <row r="161" spans="1:31" x14ac:dyDescent="0.2">
      <c r="A161" s="120">
        <v>41135</v>
      </c>
      <c r="B161" s="126">
        <f t="shared" si="32"/>
        <v>14</v>
      </c>
      <c r="C161" s="126">
        <f t="shared" si="33"/>
        <v>3</v>
      </c>
      <c r="D161" s="126">
        <f t="shared" si="34"/>
        <v>8</v>
      </c>
      <c r="E161" s="127" t="str">
        <f t="shared" si="35"/>
        <v>83</v>
      </c>
      <c r="F161" s="121">
        <v>296</v>
      </c>
      <c r="G161" s="128">
        <f t="shared" ca="1" si="36"/>
        <v>1.105733311677765</v>
      </c>
      <c r="H161" s="128">
        <f t="shared" ca="1" si="37"/>
        <v>1.0459152560366194</v>
      </c>
      <c r="I161" s="128">
        <f t="shared" ca="1" si="38"/>
        <v>1.0187622395307039</v>
      </c>
      <c r="J161"/>
      <c r="AE161" s="111"/>
    </row>
    <row r="162" spans="1:31" x14ac:dyDescent="0.2">
      <c r="A162" s="120">
        <v>41136</v>
      </c>
      <c r="B162" s="126">
        <f t="shared" si="32"/>
        <v>15</v>
      </c>
      <c r="C162" s="126">
        <f t="shared" si="33"/>
        <v>3</v>
      </c>
      <c r="D162" s="126">
        <f t="shared" si="34"/>
        <v>8</v>
      </c>
      <c r="E162" s="127" t="str">
        <f t="shared" si="35"/>
        <v>83</v>
      </c>
      <c r="F162" s="121">
        <v>250</v>
      </c>
      <c r="G162" s="128">
        <f t="shared" ca="1" si="36"/>
        <v>0.9338963781062205</v>
      </c>
      <c r="H162" s="128">
        <f t="shared" ca="1" si="37"/>
        <v>1.0459152560366194</v>
      </c>
      <c r="I162" s="128">
        <f t="shared" ca="1" si="38"/>
        <v>1.0187622395307039</v>
      </c>
      <c r="J162"/>
      <c r="AE162" s="111"/>
    </row>
    <row r="163" spans="1:31" x14ac:dyDescent="0.2">
      <c r="A163" s="120">
        <v>41137</v>
      </c>
      <c r="B163" s="126">
        <f t="shared" si="32"/>
        <v>16</v>
      </c>
      <c r="C163" s="126">
        <f t="shared" si="33"/>
        <v>3</v>
      </c>
      <c r="D163" s="126">
        <f t="shared" si="34"/>
        <v>8</v>
      </c>
      <c r="E163" s="127" t="str">
        <f t="shared" si="35"/>
        <v>83</v>
      </c>
      <c r="F163" s="121">
        <v>237</v>
      </c>
      <c r="G163" s="128">
        <f t="shared" ca="1" si="36"/>
        <v>0.88533376644469708</v>
      </c>
      <c r="H163" s="128">
        <f t="shared" ca="1" si="37"/>
        <v>1.0459152560366194</v>
      </c>
      <c r="I163" s="128">
        <f t="shared" ca="1" si="38"/>
        <v>1.0187622395307039</v>
      </c>
      <c r="J163"/>
      <c r="AE163" s="111"/>
    </row>
    <row r="164" spans="1:31" x14ac:dyDescent="0.2">
      <c r="A164" s="120">
        <v>41138</v>
      </c>
      <c r="B164" s="126">
        <f t="shared" si="32"/>
        <v>17</v>
      </c>
      <c r="C164" s="126">
        <f t="shared" si="33"/>
        <v>3</v>
      </c>
      <c r="D164" s="126">
        <f t="shared" si="34"/>
        <v>8</v>
      </c>
      <c r="E164" s="127" t="str">
        <f t="shared" si="35"/>
        <v>83</v>
      </c>
      <c r="F164" s="121">
        <v>210</v>
      </c>
      <c r="G164" s="128">
        <f t="shared" ca="1" si="36"/>
        <v>0.7844729576092252</v>
      </c>
      <c r="H164" s="128">
        <f t="shared" ca="1" si="37"/>
        <v>1.0459152560366194</v>
      </c>
      <c r="I164" s="128">
        <f t="shared" ca="1" si="38"/>
        <v>1.0187622395307039</v>
      </c>
      <c r="J164"/>
      <c r="AE164" s="111"/>
    </row>
    <row r="165" spans="1:31" x14ac:dyDescent="0.2">
      <c r="A165" s="120">
        <v>41141</v>
      </c>
      <c r="B165" s="126">
        <f t="shared" si="32"/>
        <v>20</v>
      </c>
      <c r="C165" s="126">
        <f t="shared" si="33"/>
        <v>4</v>
      </c>
      <c r="D165" s="126">
        <f t="shared" si="34"/>
        <v>8</v>
      </c>
      <c r="E165" s="127" t="str">
        <f t="shared" si="35"/>
        <v>84</v>
      </c>
      <c r="F165" s="121">
        <v>334</v>
      </c>
      <c r="G165" s="128">
        <f t="shared" ca="1" si="36"/>
        <v>1.2476855611499107</v>
      </c>
      <c r="H165" s="128">
        <f t="shared" ca="1" si="37"/>
        <v>1.1206234886106636</v>
      </c>
      <c r="I165" s="128">
        <f t="shared" ca="1" si="38"/>
        <v>1.0187622395307039</v>
      </c>
      <c r="J165"/>
      <c r="AE165" s="111"/>
    </row>
    <row r="166" spans="1:31" x14ac:dyDescent="0.2">
      <c r="A166" s="120">
        <v>41142</v>
      </c>
      <c r="B166" s="126">
        <f t="shared" si="32"/>
        <v>21</v>
      </c>
      <c r="C166" s="126">
        <f t="shared" si="33"/>
        <v>4</v>
      </c>
      <c r="D166" s="126">
        <f t="shared" si="34"/>
        <v>8</v>
      </c>
      <c r="E166" s="127" t="str">
        <f t="shared" si="35"/>
        <v>84</v>
      </c>
      <c r="F166" s="121">
        <v>271</v>
      </c>
      <c r="G166" s="128">
        <f t="shared" ca="1" si="36"/>
        <v>1.012343673867143</v>
      </c>
      <c r="H166" s="128">
        <f t="shared" ca="1" si="37"/>
        <v>1.1206234886106636</v>
      </c>
      <c r="I166" s="128">
        <f t="shared" ca="1" si="38"/>
        <v>1.0187622395307039</v>
      </c>
      <c r="J166"/>
      <c r="AE166" s="111"/>
    </row>
    <row r="167" spans="1:31" x14ac:dyDescent="0.2">
      <c r="A167" s="120">
        <v>41143</v>
      </c>
      <c r="B167" s="126">
        <f t="shared" si="32"/>
        <v>22</v>
      </c>
      <c r="C167" s="126">
        <f t="shared" si="33"/>
        <v>4</v>
      </c>
      <c r="D167" s="126">
        <f t="shared" si="34"/>
        <v>8</v>
      </c>
      <c r="E167" s="127" t="str">
        <f t="shared" si="35"/>
        <v>84</v>
      </c>
      <c r="F167" s="121">
        <v>299</v>
      </c>
      <c r="G167" s="128">
        <f t="shared" ca="1" si="36"/>
        <v>1.1169400682150397</v>
      </c>
      <c r="H167" s="128">
        <f t="shared" ca="1" si="37"/>
        <v>1.1206234886106636</v>
      </c>
      <c r="I167" s="128">
        <f t="shared" ca="1" si="38"/>
        <v>1.0187622395307039</v>
      </c>
      <c r="J167"/>
      <c r="AE167" s="111"/>
    </row>
    <row r="168" spans="1:31" x14ac:dyDescent="0.2">
      <c r="A168" s="120">
        <v>41144</v>
      </c>
      <c r="B168" s="126">
        <f t="shared" si="32"/>
        <v>23</v>
      </c>
      <c r="C168" s="126">
        <f t="shared" si="33"/>
        <v>4</v>
      </c>
      <c r="D168" s="126">
        <f t="shared" si="34"/>
        <v>8</v>
      </c>
      <c r="E168" s="127" t="str">
        <f t="shared" si="35"/>
        <v>84</v>
      </c>
      <c r="F168" s="121">
        <v>262</v>
      </c>
      <c r="G168" s="128">
        <f t="shared" ca="1" si="36"/>
        <v>0.97872340425531912</v>
      </c>
      <c r="H168" s="128">
        <f t="shared" ca="1" si="37"/>
        <v>1.1206234886106636</v>
      </c>
      <c r="I168" s="128">
        <f t="shared" ca="1" si="38"/>
        <v>1.0187622395307039</v>
      </c>
      <c r="J168"/>
      <c r="AE168" s="111"/>
    </row>
    <row r="169" spans="1:31" x14ac:dyDescent="0.2">
      <c r="A169" s="120">
        <v>41145</v>
      </c>
      <c r="B169" s="126">
        <f t="shared" si="32"/>
        <v>24</v>
      </c>
      <c r="C169" s="126">
        <f t="shared" si="33"/>
        <v>4</v>
      </c>
      <c r="D169" s="126">
        <f t="shared" si="34"/>
        <v>8</v>
      </c>
      <c r="E169" s="127" t="str">
        <f t="shared" si="35"/>
        <v>84</v>
      </c>
      <c r="F169" s="121">
        <v>214</v>
      </c>
      <c r="G169" s="128">
        <f t="shared" ca="1" si="36"/>
        <v>0.79941529965892477</v>
      </c>
      <c r="H169" s="128">
        <f t="shared" ca="1" si="37"/>
        <v>1.1206234886106636</v>
      </c>
      <c r="I169" s="128">
        <f t="shared" ca="1" si="38"/>
        <v>1.0187622395307039</v>
      </c>
      <c r="J169"/>
      <c r="AE169" s="111"/>
    </row>
    <row r="170" spans="1:31" x14ac:dyDescent="0.2">
      <c r="A170" s="120">
        <v>41148</v>
      </c>
      <c r="B170" s="126">
        <f t="shared" si="32"/>
        <v>27</v>
      </c>
      <c r="C170" s="126">
        <f t="shared" si="33"/>
        <v>5</v>
      </c>
      <c r="D170" s="126">
        <f t="shared" si="34"/>
        <v>8</v>
      </c>
      <c r="E170" s="127" t="str">
        <f t="shared" si="35"/>
        <v>85</v>
      </c>
      <c r="F170" s="121">
        <v>347</v>
      </c>
      <c r="G170" s="128">
        <f t="shared" ca="1" si="36"/>
        <v>1.2962481728114341</v>
      </c>
      <c r="H170" s="128">
        <f t="shared" ca="1" si="37"/>
        <v>1.275144969378903</v>
      </c>
      <c r="I170" s="128">
        <f t="shared" ca="1" si="38"/>
        <v>1.0187622395307039</v>
      </c>
      <c r="J170"/>
      <c r="AE170" s="111"/>
    </row>
    <row r="171" spans="1:31" x14ac:dyDescent="0.2">
      <c r="A171" s="120">
        <v>41149</v>
      </c>
      <c r="B171" s="126">
        <f t="shared" si="32"/>
        <v>28</v>
      </c>
      <c r="C171" s="126">
        <f t="shared" si="33"/>
        <v>5</v>
      </c>
      <c r="D171" s="126">
        <f t="shared" si="34"/>
        <v>8</v>
      </c>
      <c r="E171" s="127" t="str">
        <f t="shared" si="35"/>
        <v>85</v>
      </c>
      <c r="F171" s="121">
        <v>334</v>
      </c>
      <c r="G171" s="128">
        <f t="shared" ca="1" si="36"/>
        <v>1.2476855611499107</v>
      </c>
      <c r="H171" s="128">
        <f t="shared" ca="1" si="37"/>
        <v>1.275144969378903</v>
      </c>
      <c r="I171" s="128">
        <f t="shared" ca="1" si="38"/>
        <v>1.0187622395307039</v>
      </c>
      <c r="J171"/>
      <c r="AE171" s="111"/>
    </row>
    <row r="172" spans="1:31" x14ac:dyDescent="0.2">
      <c r="A172" s="120">
        <v>41150</v>
      </c>
      <c r="B172" s="126">
        <f t="shared" si="32"/>
        <v>29</v>
      </c>
      <c r="C172" s="126">
        <f t="shared" si="33"/>
        <v>5</v>
      </c>
      <c r="D172" s="126">
        <f t="shared" si="34"/>
        <v>8</v>
      </c>
      <c r="E172" s="127" t="str">
        <f t="shared" si="35"/>
        <v>85</v>
      </c>
      <c r="F172" s="121">
        <v>316</v>
      </c>
      <c r="G172" s="128">
        <f t="shared" ca="1" si="36"/>
        <v>1.1804450219262628</v>
      </c>
      <c r="H172" s="128">
        <f t="shared" ca="1" si="37"/>
        <v>1.275144969378903</v>
      </c>
      <c r="I172" s="128">
        <f t="shared" ca="1" si="38"/>
        <v>1.0187622395307039</v>
      </c>
      <c r="J172"/>
      <c r="AE172" s="111"/>
    </row>
    <row r="173" spans="1:31" x14ac:dyDescent="0.2">
      <c r="A173" s="120">
        <v>41151</v>
      </c>
      <c r="B173" s="126">
        <f t="shared" si="32"/>
        <v>30</v>
      </c>
      <c r="C173" s="126">
        <f t="shared" si="33"/>
        <v>5</v>
      </c>
      <c r="D173" s="126">
        <f t="shared" si="34"/>
        <v>8</v>
      </c>
      <c r="E173" s="127" t="str">
        <f t="shared" si="35"/>
        <v>85</v>
      </c>
      <c r="F173" s="121">
        <v>298</v>
      </c>
      <c r="G173" s="128">
        <f t="shared" ca="1" si="36"/>
        <v>1.1132044827026149</v>
      </c>
      <c r="H173" s="128">
        <f t="shared" ca="1" si="37"/>
        <v>1.275144969378903</v>
      </c>
      <c r="I173" s="128">
        <f t="shared" ca="1" si="38"/>
        <v>1.0187622395307039</v>
      </c>
      <c r="J173"/>
      <c r="AE173" s="111"/>
    </row>
    <row r="174" spans="1:31" x14ac:dyDescent="0.2">
      <c r="A174" s="120">
        <v>41152</v>
      </c>
      <c r="B174" s="126">
        <f t="shared" si="32"/>
        <v>31</v>
      </c>
      <c r="C174" s="126">
        <f t="shared" si="33"/>
        <v>5</v>
      </c>
      <c r="D174" s="126">
        <f t="shared" si="34"/>
        <v>8</v>
      </c>
      <c r="E174" s="127" t="str">
        <f t="shared" si="35"/>
        <v>85</v>
      </c>
      <c r="F174" s="121">
        <v>275</v>
      </c>
      <c r="G174" s="128">
        <f t="shared" ca="1" si="36"/>
        <v>1.0272860159168427</v>
      </c>
      <c r="H174" s="128">
        <f t="shared" ca="1" si="37"/>
        <v>1.275144969378903</v>
      </c>
      <c r="I174" s="128">
        <f t="shared" ca="1" si="38"/>
        <v>1.0187622395307039</v>
      </c>
      <c r="J174"/>
      <c r="AE174" s="111"/>
    </row>
    <row r="175" spans="1:31" x14ac:dyDescent="0.2">
      <c r="A175" s="120">
        <v>41156</v>
      </c>
      <c r="B175" s="126">
        <f t="shared" si="32"/>
        <v>4</v>
      </c>
      <c r="C175" s="126">
        <f t="shared" si="33"/>
        <v>2</v>
      </c>
      <c r="D175" s="126">
        <f t="shared" si="34"/>
        <v>9</v>
      </c>
      <c r="E175" s="127" t="str">
        <f t="shared" si="35"/>
        <v>92</v>
      </c>
      <c r="F175" s="121">
        <v>399</v>
      </c>
      <c r="G175" s="128">
        <f t="shared" ca="1" si="36"/>
        <v>1.2976720301266691</v>
      </c>
      <c r="H175" s="128">
        <f t="shared" ca="1" si="37"/>
        <v>1.0407394727832935</v>
      </c>
      <c r="I175" s="128">
        <f t="shared" ca="1" si="38"/>
        <v>0.96664105949949208</v>
      </c>
      <c r="J175"/>
      <c r="AE175" s="111"/>
    </row>
    <row r="176" spans="1:31" x14ac:dyDescent="0.2">
      <c r="A176" s="120">
        <v>41157</v>
      </c>
      <c r="B176" s="126">
        <f t="shared" si="32"/>
        <v>5</v>
      </c>
      <c r="C176" s="126">
        <f t="shared" si="33"/>
        <v>2</v>
      </c>
      <c r="D176" s="126">
        <f t="shared" si="34"/>
        <v>9</v>
      </c>
      <c r="E176" s="127" t="str">
        <f t="shared" si="35"/>
        <v>92</v>
      </c>
      <c r="F176" s="121">
        <v>423</v>
      </c>
      <c r="G176" s="128">
        <f t="shared" ca="1" si="36"/>
        <v>1.375727490585416</v>
      </c>
      <c r="H176" s="128">
        <f t="shared" ca="1" si="37"/>
        <v>1.0407394727832935</v>
      </c>
      <c r="I176" s="128">
        <f t="shared" ca="1" si="38"/>
        <v>0.96664105949949208</v>
      </c>
      <c r="J176"/>
      <c r="AE176" s="111"/>
    </row>
    <row r="177" spans="1:31" x14ac:dyDescent="0.2">
      <c r="A177" s="120">
        <v>41158</v>
      </c>
      <c r="B177" s="126">
        <f t="shared" si="32"/>
        <v>6</v>
      </c>
      <c r="C177" s="126">
        <f t="shared" si="33"/>
        <v>2</v>
      </c>
      <c r="D177" s="126">
        <f t="shared" si="34"/>
        <v>9</v>
      </c>
      <c r="E177" s="127" t="str">
        <f t="shared" si="35"/>
        <v>92</v>
      </c>
      <c r="F177" s="121">
        <v>374</v>
      </c>
      <c r="G177" s="128">
        <f t="shared" ca="1" si="36"/>
        <v>1.2163642588154742</v>
      </c>
      <c r="H177" s="128">
        <f t="shared" ca="1" si="37"/>
        <v>1.0407394727832935</v>
      </c>
      <c r="I177" s="128">
        <f t="shared" ca="1" si="38"/>
        <v>0.96664105949949208</v>
      </c>
      <c r="J177"/>
      <c r="AE177" s="111"/>
    </row>
    <row r="178" spans="1:31" x14ac:dyDescent="0.2">
      <c r="A178" s="120">
        <v>41159</v>
      </c>
      <c r="B178" s="126">
        <f t="shared" si="32"/>
        <v>7</v>
      </c>
      <c r="C178" s="126">
        <f t="shared" si="33"/>
        <v>2</v>
      </c>
      <c r="D178" s="126">
        <f t="shared" si="34"/>
        <v>9</v>
      </c>
      <c r="E178" s="127" t="str">
        <f t="shared" si="35"/>
        <v>92</v>
      </c>
      <c r="F178" s="121">
        <v>324</v>
      </c>
      <c r="G178" s="128">
        <f t="shared" ca="1" si="36"/>
        <v>1.0537487161930845</v>
      </c>
      <c r="H178" s="128">
        <f t="shared" ca="1" si="37"/>
        <v>1.0407394727832935</v>
      </c>
      <c r="I178" s="128">
        <f t="shared" ca="1" si="38"/>
        <v>0.96664105949949208</v>
      </c>
      <c r="J178"/>
      <c r="AE178" s="111"/>
    </row>
    <row r="179" spans="1:31" x14ac:dyDescent="0.2">
      <c r="A179" s="120">
        <v>41162</v>
      </c>
      <c r="B179" s="126">
        <f t="shared" si="32"/>
        <v>10</v>
      </c>
      <c r="C179" s="126">
        <f t="shared" si="33"/>
        <v>3</v>
      </c>
      <c r="D179" s="126">
        <f t="shared" si="34"/>
        <v>9</v>
      </c>
      <c r="E179" s="127" t="str">
        <f t="shared" si="35"/>
        <v>93</v>
      </c>
      <c r="F179" s="121">
        <v>367</v>
      </c>
      <c r="G179" s="128">
        <f t="shared" ca="1" si="36"/>
        <v>1.1935980828483397</v>
      </c>
      <c r="H179" s="128">
        <f t="shared" ca="1" si="37"/>
        <v>1.1181102362204725</v>
      </c>
      <c r="I179" s="128">
        <f t="shared" ca="1" si="38"/>
        <v>0.96664105949949208</v>
      </c>
      <c r="J179"/>
      <c r="AE179" s="111"/>
    </row>
    <row r="180" spans="1:31" x14ac:dyDescent="0.2">
      <c r="A180" s="120">
        <v>41163</v>
      </c>
      <c r="B180" s="126">
        <f t="shared" si="32"/>
        <v>11</v>
      </c>
      <c r="C180" s="126">
        <f t="shared" si="33"/>
        <v>3</v>
      </c>
      <c r="D180" s="126">
        <f t="shared" si="34"/>
        <v>9</v>
      </c>
      <c r="E180" s="127" t="str">
        <f t="shared" si="35"/>
        <v>93</v>
      </c>
      <c r="F180" s="121">
        <v>363</v>
      </c>
      <c r="G180" s="128">
        <f t="shared" ca="1" si="36"/>
        <v>1.1805888394385484</v>
      </c>
      <c r="H180" s="128">
        <f t="shared" ca="1" si="37"/>
        <v>1.1181102362204725</v>
      </c>
      <c r="I180" s="128">
        <f t="shared" ca="1" si="38"/>
        <v>0.96664105949949208</v>
      </c>
      <c r="J180"/>
      <c r="AE180" s="111"/>
    </row>
    <row r="181" spans="1:31" x14ac:dyDescent="0.2">
      <c r="A181" s="120">
        <v>41164</v>
      </c>
      <c r="B181" s="126">
        <f t="shared" si="32"/>
        <v>12</v>
      </c>
      <c r="C181" s="126">
        <f t="shared" si="33"/>
        <v>3</v>
      </c>
      <c r="D181" s="126">
        <f t="shared" si="34"/>
        <v>9</v>
      </c>
      <c r="E181" s="127" t="str">
        <f t="shared" si="35"/>
        <v>93</v>
      </c>
      <c r="F181" s="121">
        <v>323</v>
      </c>
      <c r="G181" s="128">
        <f t="shared" ca="1" si="36"/>
        <v>1.0504964053406369</v>
      </c>
      <c r="H181" s="128">
        <f t="shared" ca="1" si="37"/>
        <v>1.1181102362204725</v>
      </c>
      <c r="I181" s="128">
        <f t="shared" ca="1" si="38"/>
        <v>0.96664105949949208</v>
      </c>
      <c r="J181"/>
      <c r="AE181" s="111"/>
    </row>
    <row r="182" spans="1:31" x14ac:dyDescent="0.2">
      <c r="A182" s="120">
        <v>41165</v>
      </c>
      <c r="B182" s="126">
        <f t="shared" si="32"/>
        <v>13</v>
      </c>
      <c r="C182" s="126">
        <f t="shared" si="33"/>
        <v>3</v>
      </c>
      <c r="D182" s="126">
        <f t="shared" si="34"/>
        <v>9</v>
      </c>
      <c r="E182" s="127" t="str">
        <f t="shared" si="35"/>
        <v>93</v>
      </c>
      <c r="F182" s="121">
        <v>312</v>
      </c>
      <c r="G182" s="128">
        <f t="shared" ca="1" si="36"/>
        <v>1.0147209859637112</v>
      </c>
      <c r="H182" s="128">
        <f t="shared" ca="1" si="37"/>
        <v>1.1181102362204725</v>
      </c>
      <c r="I182" s="128">
        <f t="shared" ca="1" si="38"/>
        <v>0.96664105949949208</v>
      </c>
      <c r="J182"/>
      <c r="AE182" s="111"/>
    </row>
    <row r="183" spans="1:31" x14ac:dyDescent="0.2">
      <c r="A183" s="120">
        <v>41166</v>
      </c>
      <c r="B183" s="126">
        <f t="shared" si="32"/>
        <v>14</v>
      </c>
      <c r="C183" s="126">
        <f t="shared" si="33"/>
        <v>3</v>
      </c>
      <c r="D183" s="126">
        <f t="shared" si="34"/>
        <v>9</v>
      </c>
      <c r="E183" s="127" t="str">
        <f t="shared" si="35"/>
        <v>93</v>
      </c>
      <c r="F183" s="121">
        <v>268</v>
      </c>
      <c r="G183" s="128">
        <f t="shared" ca="1" si="36"/>
        <v>0.87161930845600821</v>
      </c>
      <c r="H183" s="128">
        <f t="shared" ca="1" si="37"/>
        <v>1.1181102362204725</v>
      </c>
      <c r="I183" s="128">
        <f t="shared" ca="1" si="38"/>
        <v>0.96664105949949208</v>
      </c>
      <c r="J183"/>
      <c r="AE183" s="111"/>
    </row>
    <row r="184" spans="1:31" x14ac:dyDescent="0.2">
      <c r="A184" s="120">
        <v>41169</v>
      </c>
      <c r="B184" s="126">
        <f t="shared" si="32"/>
        <v>17</v>
      </c>
      <c r="C184" s="126">
        <f t="shared" si="33"/>
        <v>4</v>
      </c>
      <c r="D184" s="126">
        <f t="shared" si="34"/>
        <v>9</v>
      </c>
      <c r="E184" s="127" t="str">
        <f t="shared" si="35"/>
        <v>94</v>
      </c>
      <c r="F184" s="121">
        <v>351</v>
      </c>
      <c r="G184" s="128">
        <f t="shared" ca="1" si="36"/>
        <v>1.1415611092091751</v>
      </c>
      <c r="H184" s="128">
        <f t="shared" ca="1" si="37"/>
        <v>0.97637795275590555</v>
      </c>
      <c r="I184" s="128">
        <f t="shared" ca="1" si="38"/>
        <v>0.96664105949949208</v>
      </c>
      <c r="J184"/>
      <c r="AE184" s="111"/>
    </row>
    <row r="185" spans="1:31" x14ac:dyDescent="0.2">
      <c r="A185" s="120">
        <v>41170</v>
      </c>
      <c r="B185" s="126">
        <f t="shared" si="32"/>
        <v>18</v>
      </c>
      <c r="C185" s="126">
        <f t="shared" si="33"/>
        <v>4</v>
      </c>
      <c r="D185" s="126">
        <f t="shared" si="34"/>
        <v>9</v>
      </c>
      <c r="E185" s="127" t="str">
        <f t="shared" si="35"/>
        <v>94</v>
      </c>
      <c r="F185" s="121">
        <v>318</v>
      </c>
      <c r="G185" s="128">
        <f t="shared" ca="1" si="36"/>
        <v>1.0342348510783979</v>
      </c>
      <c r="H185" s="128">
        <f t="shared" ca="1" si="37"/>
        <v>0.97637795275590555</v>
      </c>
      <c r="I185" s="128">
        <f t="shared" ca="1" si="38"/>
        <v>0.96664105949949208</v>
      </c>
      <c r="J185"/>
      <c r="AE185" s="111"/>
    </row>
    <row r="186" spans="1:31" x14ac:dyDescent="0.2">
      <c r="A186" s="120">
        <v>41171</v>
      </c>
      <c r="B186" s="126">
        <f t="shared" si="32"/>
        <v>19</v>
      </c>
      <c r="C186" s="126">
        <f t="shared" si="33"/>
        <v>4</v>
      </c>
      <c r="D186" s="126">
        <f t="shared" si="34"/>
        <v>9</v>
      </c>
      <c r="E186" s="127" t="str">
        <f t="shared" si="35"/>
        <v>94</v>
      </c>
      <c r="F186" s="121">
        <v>270</v>
      </c>
      <c r="G186" s="128">
        <f t="shared" ca="1" si="36"/>
        <v>0.87812393016090384</v>
      </c>
      <c r="H186" s="128">
        <f t="shared" ca="1" si="37"/>
        <v>0.97637795275590555</v>
      </c>
      <c r="I186" s="128">
        <f t="shared" ca="1" si="38"/>
        <v>0.96664105949949208</v>
      </c>
      <c r="J186"/>
      <c r="AE186" s="111"/>
    </row>
    <row r="187" spans="1:31" x14ac:dyDescent="0.2">
      <c r="A187" s="120">
        <v>41172</v>
      </c>
      <c r="B187" s="126">
        <f t="shared" si="32"/>
        <v>20</v>
      </c>
      <c r="C187" s="126">
        <f t="shared" si="33"/>
        <v>4</v>
      </c>
      <c r="D187" s="126">
        <f t="shared" si="34"/>
        <v>9</v>
      </c>
      <c r="E187" s="127" t="str">
        <f t="shared" si="35"/>
        <v>94</v>
      </c>
      <c r="F187" s="121">
        <v>251</v>
      </c>
      <c r="G187" s="128">
        <f t="shared" ca="1" si="36"/>
        <v>0.8163300239643958</v>
      </c>
      <c r="H187" s="128">
        <f t="shared" ca="1" si="37"/>
        <v>0.97637795275590555</v>
      </c>
      <c r="I187" s="128">
        <f t="shared" ca="1" si="38"/>
        <v>0.96664105949949208</v>
      </c>
      <c r="J187"/>
      <c r="AE187" s="111"/>
    </row>
    <row r="188" spans="1:31" x14ac:dyDescent="0.2">
      <c r="A188" s="120">
        <v>41173</v>
      </c>
      <c r="B188" s="126">
        <f t="shared" si="32"/>
        <v>21</v>
      </c>
      <c r="C188" s="126">
        <f t="shared" si="33"/>
        <v>4</v>
      </c>
      <c r="D188" s="126">
        <f t="shared" si="34"/>
        <v>9</v>
      </c>
      <c r="E188" s="127" t="str">
        <f t="shared" si="35"/>
        <v>94</v>
      </c>
      <c r="F188" s="121">
        <v>236</v>
      </c>
      <c r="G188" s="128">
        <f t="shared" ca="1" si="36"/>
        <v>0.76754536117767891</v>
      </c>
      <c r="H188" s="128">
        <f t="shared" ca="1" si="37"/>
        <v>0.97637795275590555</v>
      </c>
      <c r="I188" s="128">
        <f t="shared" ca="1" si="38"/>
        <v>0.96664105949949208</v>
      </c>
      <c r="J188"/>
      <c r="AE188" s="111"/>
    </row>
    <row r="189" spans="1:31" x14ac:dyDescent="0.2">
      <c r="A189" s="120">
        <v>41176</v>
      </c>
      <c r="B189" s="126">
        <f t="shared" si="32"/>
        <v>24</v>
      </c>
      <c r="C189" s="126">
        <f t="shared" si="33"/>
        <v>5</v>
      </c>
      <c r="D189" s="126">
        <f t="shared" si="34"/>
        <v>9</v>
      </c>
      <c r="E189" s="127" t="str">
        <f t="shared" si="35"/>
        <v>95</v>
      </c>
      <c r="F189" s="121">
        <v>286</v>
      </c>
      <c r="G189" s="128">
        <f t="shared" ca="1" si="36"/>
        <v>0.93016090380006855</v>
      </c>
      <c r="H189" s="128">
        <f t="shared" ca="1" si="37"/>
        <v>0.86477233824032862</v>
      </c>
      <c r="I189" s="128">
        <f t="shared" ca="1" si="38"/>
        <v>0.96664105949949208</v>
      </c>
      <c r="J189"/>
      <c r="AE189" s="111"/>
    </row>
    <row r="190" spans="1:31" x14ac:dyDescent="0.2">
      <c r="A190" s="120">
        <v>41177</v>
      </c>
      <c r="B190" s="126">
        <f t="shared" si="32"/>
        <v>25</v>
      </c>
      <c r="C190" s="126">
        <f t="shared" si="33"/>
        <v>5</v>
      </c>
      <c r="D190" s="126">
        <f t="shared" si="34"/>
        <v>9</v>
      </c>
      <c r="E190" s="127" t="str">
        <f t="shared" si="35"/>
        <v>95</v>
      </c>
      <c r="F190" s="121">
        <v>264</v>
      </c>
      <c r="G190" s="128">
        <f t="shared" ca="1" si="36"/>
        <v>0.85861006504621706</v>
      </c>
      <c r="H190" s="128">
        <f t="shared" ca="1" si="37"/>
        <v>0.86477233824032862</v>
      </c>
      <c r="I190" s="128">
        <f t="shared" ca="1" si="38"/>
        <v>0.96664105949949208</v>
      </c>
      <c r="J190"/>
      <c r="AE190" s="111"/>
    </row>
    <row r="191" spans="1:31" x14ac:dyDescent="0.2">
      <c r="A191" s="120">
        <v>41178</v>
      </c>
      <c r="B191" s="126">
        <f t="shared" si="32"/>
        <v>26</v>
      </c>
      <c r="C191" s="126">
        <f t="shared" si="33"/>
        <v>5</v>
      </c>
      <c r="D191" s="126">
        <f t="shared" si="34"/>
        <v>9</v>
      </c>
      <c r="E191" s="127" t="str">
        <f t="shared" si="35"/>
        <v>95</v>
      </c>
      <c r="F191" s="121">
        <v>249</v>
      </c>
      <c r="G191" s="128">
        <f t="shared" ca="1" si="36"/>
        <v>0.80982540225950017</v>
      </c>
      <c r="H191" s="128">
        <f t="shared" ca="1" si="37"/>
        <v>0.86477233824032862</v>
      </c>
      <c r="I191" s="128">
        <f t="shared" ca="1" si="38"/>
        <v>0.96664105949949208</v>
      </c>
      <c r="J191"/>
      <c r="AE191" s="111"/>
    </row>
    <row r="192" spans="1:31" x14ac:dyDescent="0.2">
      <c r="A192" s="120">
        <v>41179</v>
      </c>
      <c r="B192" s="126">
        <f t="shared" si="32"/>
        <v>27</v>
      </c>
      <c r="C192" s="126">
        <f t="shared" si="33"/>
        <v>5</v>
      </c>
      <c r="D192" s="126">
        <f t="shared" si="34"/>
        <v>9</v>
      </c>
      <c r="E192" s="127" t="str">
        <f t="shared" si="35"/>
        <v>95</v>
      </c>
      <c r="F192" s="121">
        <v>260</v>
      </c>
      <c r="G192" s="128">
        <f t="shared" ca="1" si="36"/>
        <v>0.84560082163642591</v>
      </c>
      <c r="H192" s="128">
        <f t="shared" ca="1" si="37"/>
        <v>0.86477233824032862</v>
      </c>
      <c r="I192" s="128">
        <f t="shared" ca="1" si="38"/>
        <v>0.96664105949949208</v>
      </c>
      <c r="J192"/>
      <c r="AE192" s="111"/>
    </row>
    <row r="193" spans="1:31" x14ac:dyDescent="0.2">
      <c r="A193" s="120">
        <v>41180</v>
      </c>
      <c r="B193" s="126">
        <f t="shared" si="32"/>
        <v>28</v>
      </c>
      <c r="C193" s="126">
        <f t="shared" si="33"/>
        <v>5</v>
      </c>
      <c r="D193" s="126">
        <f t="shared" si="34"/>
        <v>9</v>
      </c>
      <c r="E193" s="127" t="str">
        <f t="shared" si="35"/>
        <v>95</v>
      </c>
      <c r="F193" s="121">
        <v>204</v>
      </c>
      <c r="G193" s="128">
        <f t="shared" ca="1" si="36"/>
        <v>0.6634714138993496</v>
      </c>
      <c r="H193" s="128">
        <f t="shared" ca="1" si="37"/>
        <v>0.86477233824032862</v>
      </c>
      <c r="I193" s="128">
        <f t="shared" ca="1" si="38"/>
        <v>0.96664105949949208</v>
      </c>
      <c r="J193"/>
      <c r="AE193" s="111"/>
    </row>
    <row r="194" spans="1:31" x14ac:dyDescent="0.2">
      <c r="A194" s="120">
        <v>41183</v>
      </c>
      <c r="B194" s="126">
        <f t="shared" si="32"/>
        <v>1</v>
      </c>
      <c r="C194" s="126">
        <f t="shared" si="33"/>
        <v>1</v>
      </c>
      <c r="D194" s="126">
        <f t="shared" si="34"/>
        <v>10</v>
      </c>
      <c r="E194" s="127" t="str">
        <f t="shared" si="35"/>
        <v>101</v>
      </c>
      <c r="F194" s="121">
        <v>320</v>
      </c>
      <c r="G194" s="128">
        <f t="shared" ca="1" si="36"/>
        <v>1.2687467677986555</v>
      </c>
      <c r="H194" s="128">
        <f t="shared" ca="1" si="37"/>
        <v>1.1075676607481468</v>
      </c>
      <c r="I194" s="128">
        <f t="shared" ca="1" si="38"/>
        <v>0.95985703289225499</v>
      </c>
      <c r="J194"/>
      <c r="AE194" s="111"/>
    </row>
    <row r="195" spans="1:31" x14ac:dyDescent="0.2">
      <c r="A195" s="120">
        <v>41184</v>
      </c>
      <c r="B195" s="126">
        <f t="shared" si="32"/>
        <v>2</v>
      </c>
      <c r="C195" s="126">
        <f t="shared" si="33"/>
        <v>1</v>
      </c>
      <c r="D195" s="126">
        <f t="shared" si="34"/>
        <v>10</v>
      </c>
      <c r="E195" s="127" t="str">
        <f t="shared" si="35"/>
        <v>101</v>
      </c>
      <c r="F195" s="121">
        <v>295</v>
      </c>
      <c r="G195" s="128">
        <f t="shared" ca="1" si="36"/>
        <v>1.1696259265643856</v>
      </c>
      <c r="H195" s="128">
        <f t="shared" ca="1" si="37"/>
        <v>1.1075676607481468</v>
      </c>
      <c r="I195" s="128">
        <f t="shared" ca="1" si="38"/>
        <v>0.95985703289225499</v>
      </c>
      <c r="J195"/>
      <c r="AE195" s="111"/>
    </row>
    <row r="196" spans="1:31" x14ac:dyDescent="0.2">
      <c r="A196" s="120">
        <v>41185</v>
      </c>
      <c r="B196" s="126">
        <f t="shared" ref="B196:B257" si="39">DAY(A196)</f>
        <v>3</v>
      </c>
      <c r="C196" s="126">
        <f t="shared" ref="C196:C257" si="40">IF(ROUNDUP((DAY(A196)+WEEKDAY(DATE(YEAR(A196),MONTH(A196),0)))/7,0)=6,5,ROUNDUP((DAY(A196)+WEEKDAY(DATE(YEAR(A196),MONTH(A196),0)))/7,0))</f>
        <v>1</v>
      </c>
      <c r="D196" s="126">
        <f t="shared" ref="D196:D257" si="41">MONTH(A196)</f>
        <v>10</v>
      </c>
      <c r="E196" s="127" t="str">
        <f t="shared" ref="E196:E257" si="42">D196&amp;C196</f>
        <v>101</v>
      </c>
      <c r="F196" s="121">
        <v>252</v>
      </c>
      <c r="G196" s="128">
        <f t="shared" ref="G196:G257" ca="1" si="43">F196/VLOOKUP($D196,$Z:$AA,2,0)</f>
        <v>0.99913807964144119</v>
      </c>
      <c r="H196" s="128">
        <f t="shared" ref="H196:H257" ca="1" si="44">VLOOKUP(E196,AE:AH,4,0)</f>
        <v>1.1075676607481468</v>
      </c>
      <c r="I196" s="128">
        <f t="shared" ref="I196:I257" ca="1" si="45">VLOOKUP(D196,Z:AC,4,0)</f>
        <v>0.95985703289225499</v>
      </c>
      <c r="J196"/>
      <c r="AE196" s="111"/>
    </row>
    <row r="197" spans="1:31" x14ac:dyDescent="0.2">
      <c r="A197" s="120">
        <v>41186</v>
      </c>
      <c r="B197" s="126">
        <f t="shared" si="39"/>
        <v>4</v>
      </c>
      <c r="C197" s="126">
        <f t="shared" si="40"/>
        <v>1</v>
      </c>
      <c r="D197" s="126">
        <f t="shared" si="41"/>
        <v>10</v>
      </c>
      <c r="E197" s="127" t="str">
        <f t="shared" si="42"/>
        <v>101</v>
      </c>
      <c r="F197" s="121">
        <v>208</v>
      </c>
      <c r="G197" s="128">
        <f t="shared" ca="1" si="43"/>
        <v>0.82468539906912608</v>
      </c>
      <c r="H197" s="128">
        <f t="shared" ca="1" si="44"/>
        <v>1.1075676607481468</v>
      </c>
      <c r="I197" s="128">
        <f t="shared" ca="1" si="45"/>
        <v>0.95985703289225499</v>
      </c>
      <c r="J197"/>
      <c r="AE197" s="111"/>
    </row>
    <row r="198" spans="1:31" x14ac:dyDescent="0.2">
      <c r="A198" s="120">
        <v>41187</v>
      </c>
      <c r="B198" s="126">
        <f t="shared" si="39"/>
        <v>5</v>
      </c>
      <c r="C198" s="126">
        <f t="shared" si="40"/>
        <v>1</v>
      </c>
      <c r="D198" s="126">
        <f t="shared" si="41"/>
        <v>10</v>
      </c>
      <c r="E198" s="127" t="str">
        <f t="shared" si="42"/>
        <v>101</v>
      </c>
      <c r="F198" s="121">
        <v>210</v>
      </c>
      <c r="G198" s="128">
        <f t="shared" ca="1" si="43"/>
        <v>0.83261506636786764</v>
      </c>
      <c r="H198" s="128">
        <f t="shared" ca="1" si="44"/>
        <v>1.1075676607481468</v>
      </c>
      <c r="I198" s="128">
        <f t="shared" ca="1" si="45"/>
        <v>0.95985703289225499</v>
      </c>
      <c r="J198"/>
      <c r="AE198" s="111"/>
    </row>
    <row r="199" spans="1:31" x14ac:dyDescent="0.2">
      <c r="A199" s="120">
        <v>41190</v>
      </c>
      <c r="B199" s="126">
        <f t="shared" si="39"/>
        <v>8</v>
      </c>
      <c r="C199" s="126">
        <f t="shared" si="40"/>
        <v>2</v>
      </c>
      <c r="D199" s="126">
        <f t="shared" si="41"/>
        <v>10</v>
      </c>
      <c r="E199" s="127" t="str">
        <f t="shared" si="42"/>
        <v>102</v>
      </c>
      <c r="F199" s="121">
        <v>269</v>
      </c>
      <c r="G199" s="128">
        <f t="shared" ca="1" si="43"/>
        <v>1.0665402516807447</v>
      </c>
      <c r="H199" s="128">
        <f t="shared" ca="1" si="44"/>
        <v>1.146354076883296</v>
      </c>
      <c r="I199" s="128">
        <f t="shared" ca="1" si="45"/>
        <v>0.95985703289225499</v>
      </c>
      <c r="J199"/>
      <c r="AE199" s="111"/>
    </row>
    <row r="200" spans="1:31" x14ac:dyDescent="0.2">
      <c r="A200" s="120">
        <v>41191</v>
      </c>
      <c r="B200" s="126">
        <f t="shared" si="39"/>
        <v>9</v>
      </c>
      <c r="C200" s="126">
        <f t="shared" si="40"/>
        <v>2</v>
      </c>
      <c r="D200" s="126">
        <f t="shared" si="41"/>
        <v>10</v>
      </c>
      <c r="E200" s="127" t="str">
        <f t="shared" si="42"/>
        <v>102</v>
      </c>
      <c r="F200" s="121">
        <v>310</v>
      </c>
      <c r="G200" s="128">
        <f t="shared" ca="1" si="43"/>
        <v>1.2290984313049476</v>
      </c>
      <c r="H200" s="128">
        <f t="shared" ca="1" si="44"/>
        <v>1.146354076883296</v>
      </c>
      <c r="I200" s="128">
        <f t="shared" ca="1" si="45"/>
        <v>0.95985703289225499</v>
      </c>
      <c r="J200"/>
      <c r="AE200" s="111"/>
    </row>
    <row r="201" spans="1:31" x14ac:dyDescent="0.2">
      <c r="A201" s="120">
        <v>41192</v>
      </c>
      <c r="B201" s="126">
        <f t="shared" si="39"/>
        <v>10</v>
      </c>
      <c r="C201" s="126">
        <f t="shared" si="40"/>
        <v>2</v>
      </c>
      <c r="D201" s="126">
        <f t="shared" si="41"/>
        <v>10</v>
      </c>
      <c r="E201" s="127" t="str">
        <f t="shared" si="42"/>
        <v>102</v>
      </c>
      <c r="F201" s="121">
        <v>287</v>
      </c>
      <c r="G201" s="128">
        <f t="shared" ca="1" si="43"/>
        <v>1.1379072573694191</v>
      </c>
      <c r="H201" s="128">
        <f t="shared" ca="1" si="44"/>
        <v>1.146354076883296</v>
      </c>
      <c r="I201" s="128">
        <f t="shared" ca="1" si="45"/>
        <v>0.95985703289225499</v>
      </c>
      <c r="J201"/>
      <c r="AE201" s="111"/>
    </row>
    <row r="202" spans="1:31" x14ac:dyDescent="0.2">
      <c r="A202" s="120">
        <v>41193</v>
      </c>
      <c r="B202" s="126">
        <f t="shared" si="39"/>
        <v>11</v>
      </c>
      <c r="C202" s="126">
        <f t="shared" si="40"/>
        <v>2</v>
      </c>
      <c r="D202" s="126">
        <f t="shared" si="41"/>
        <v>10</v>
      </c>
      <c r="E202" s="127" t="str">
        <f t="shared" si="42"/>
        <v>102</v>
      </c>
      <c r="F202" s="121">
        <v>265</v>
      </c>
      <c r="G202" s="128">
        <f t="shared" ca="1" si="43"/>
        <v>1.0506809170832616</v>
      </c>
      <c r="H202" s="128">
        <f t="shared" ca="1" si="44"/>
        <v>1.146354076883296</v>
      </c>
      <c r="I202" s="128">
        <f t="shared" ca="1" si="45"/>
        <v>0.95985703289225499</v>
      </c>
      <c r="J202"/>
      <c r="AE202" s="111"/>
    </row>
    <row r="203" spans="1:31" x14ac:dyDescent="0.2">
      <c r="A203" s="120">
        <v>41194</v>
      </c>
      <c r="B203" s="126">
        <f t="shared" si="39"/>
        <v>12</v>
      </c>
      <c r="C203" s="126">
        <f t="shared" si="40"/>
        <v>2</v>
      </c>
      <c r="D203" s="126">
        <f t="shared" si="41"/>
        <v>10</v>
      </c>
      <c r="E203" s="127" t="str">
        <f t="shared" si="42"/>
        <v>102</v>
      </c>
      <c r="F203" s="121">
        <v>199</v>
      </c>
      <c r="G203" s="128">
        <f t="shared" ca="1" si="43"/>
        <v>0.78900189622478889</v>
      </c>
      <c r="H203" s="128">
        <f t="shared" ca="1" si="44"/>
        <v>1.146354076883296</v>
      </c>
      <c r="I203" s="128">
        <f t="shared" ca="1" si="45"/>
        <v>0.95985703289225499</v>
      </c>
      <c r="J203"/>
      <c r="AE203" s="111"/>
    </row>
    <row r="204" spans="1:31" x14ac:dyDescent="0.2">
      <c r="A204" s="120">
        <v>41197</v>
      </c>
      <c r="B204" s="126">
        <f t="shared" si="39"/>
        <v>15</v>
      </c>
      <c r="C204" s="126">
        <f t="shared" si="40"/>
        <v>3</v>
      </c>
      <c r="D204" s="126">
        <f t="shared" si="41"/>
        <v>10</v>
      </c>
      <c r="E204" s="127" t="str">
        <f t="shared" si="42"/>
        <v>103</v>
      </c>
      <c r="F204" s="121">
        <v>297</v>
      </c>
      <c r="G204" s="128">
        <f t="shared" ca="1" si="43"/>
        <v>1.177555593863127</v>
      </c>
      <c r="H204" s="128">
        <f t="shared" ca="1" si="44"/>
        <v>1.1420444750905017</v>
      </c>
      <c r="I204" s="128">
        <f t="shared" ca="1" si="45"/>
        <v>0.95985703289225499</v>
      </c>
      <c r="J204"/>
      <c r="AE204" s="111"/>
    </row>
    <row r="205" spans="1:31" x14ac:dyDescent="0.2">
      <c r="A205" s="120">
        <v>41198</v>
      </c>
      <c r="B205" s="126">
        <f t="shared" si="39"/>
        <v>16</v>
      </c>
      <c r="C205" s="126">
        <f t="shared" si="40"/>
        <v>3</v>
      </c>
      <c r="D205" s="126">
        <f t="shared" si="41"/>
        <v>10</v>
      </c>
      <c r="E205" s="127" t="str">
        <f t="shared" si="42"/>
        <v>103</v>
      </c>
      <c r="F205" s="121">
        <v>311</v>
      </c>
      <c r="G205" s="128">
        <f t="shared" ca="1" si="43"/>
        <v>1.2330632649543183</v>
      </c>
      <c r="H205" s="128">
        <f t="shared" ca="1" si="44"/>
        <v>1.1420444750905017</v>
      </c>
      <c r="I205" s="128">
        <f t="shared" ca="1" si="45"/>
        <v>0.95985703289225499</v>
      </c>
      <c r="J205"/>
      <c r="AE205" s="111"/>
    </row>
    <row r="206" spans="1:31" x14ac:dyDescent="0.2">
      <c r="A206" s="120">
        <v>41199</v>
      </c>
      <c r="B206" s="126">
        <f t="shared" si="39"/>
        <v>17</v>
      </c>
      <c r="C206" s="126">
        <f t="shared" si="40"/>
        <v>3</v>
      </c>
      <c r="D206" s="126">
        <f t="shared" si="41"/>
        <v>10</v>
      </c>
      <c r="E206" s="127" t="str">
        <f t="shared" si="42"/>
        <v>103</v>
      </c>
      <c r="F206" s="121">
        <v>244</v>
      </c>
      <c r="G206" s="128">
        <f t="shared" ca="1" si="43"/>
        <v>0.96741941044647484</v>
      </c>
      <c r="H206" s="128">
        <f t="shared" ca="1" si="44"/>
        <v>1.1420444750905017</v>
      </c>
      <c r="I206" s="128">
        <f t="shared" ca="1" si="45"/>
        <v>0.95985703289225499</v>
      </c>
      <c r="J206"/>
      <c r="AE206" s="111"/>
    </row>
    <row r="207" spans="1:31" x14ac:dyDescent="0.2">
      <c r="A207" s="120">
        <v>41200</v>
      </c>
      <c r="B207" s="126">
        <f t="shared" si="39"/>
        <v>18</v>
      </c>
      <c r="C207" s="126">
        <f t="shared" si="40"/>
        <v>3</v>
      </c>
      <c r="D207" s="126">
        <f t="shared" si="41"/>
        <v>10</v>
      </c>
      <c r="E207" s="127" t="str">
        <f t="shared" si="42"/>
        <v>103</v>
      </c>
      <c r="F207" s="121">
        <v>250</v>
      </c>
      <c r="G207" s="128">
        <f t="shared" ca="1" si="43"/>
        <v>0.99120841234269963</v>
      </c>
      <c r="H207" s="128">
        <f t="shared" ca="1" si="44"/>
        <v>1.1420444750905017</v>
      </c>
      <c r="I207" s="128">
        <f t="shared" ca="1" si="45"/>
        <v>0.95985703289225499</v>
      </c>
      <c r="J207"/>
      <c r="AE207" s="111"/>
    </row>
    <row r="208" spans="1:31" x14ac:dyDescent="0.2">
      <c r="A208" s="120">
        <v>41201</v>
      </c>
      <c r="B208" s="126">
        <f t="shared" si="39"/>
        <v>19</v>
      </c>
      <c r="C208" s="126">
        <f t="shared" si="40"/>
        <v>3</v>
      </c>
      <c r="D208" s="126">
        <f t="shared" si="41"/>
        <v>10</v>
      </c>
      <c r="E208" s="127" t="str">
        <f t="shared" si="42"/>
        <v>103</v>
      </c>
      <c r="F208" s="121">
        <v>223</v>
      </c>
      <c r="G208" s="128">
        <f t="shared" ca="1" si="43"/>
        <v>0.88415790380968806</v>
      </c>
      <c r="H208" s="128">
        <f t="shared" ca="1" si="44"/>
        <v>1.1420444750905017</v>
      </c>
      <c r="I208" s="128">
        <f t="shared" ca="1" si="45"/>
        <v>0.95985703289225499</v>
      </c>
      <c r="J208"/>
      <c r="AE208" s="111"/>
    </row>
    <row r="209" spans="1:31" x14ac:dyDescent="0.2">
      <c r="A209" s="120">
        <v>41204</v>
      </c>
      <c r="B209" s="126">
        <f t="shared" si="39"/>
        <v>22</v>
      </c>
      <c r="C209" s="126">
        <f t="shared" si="40"/>
        <v>4</v>
      </c>
      <c r="D209" s="126">
        <f t="shared" si="41"/>
        <v>10</v>
      </c>
      <c r="E209" s="127" t="str">
        <f t="shared" si="42"/>
        <v>104</v>
      </c>
      <c r="F209" s="121">
        <v>261</v>
      </c>
      <c r="G209" s="128">
        <f t="shared" ca="1" si="43"/>
        <v>1.0348215824857783</v>
      </c>
      <c r="H209" s="128">
        <f t="shared" ca="1" si="44"/>
        <v>1.0558524392346147</v>
      </c>
      <c r="I209" s="128">
        <f t="shared" ca="1" si="45"/>
        <v>0.95985703289225499</v>
      </c>
      <c r="J209"/>
      <c r="AE209" s="111"/>
    </row>
    <row r="210" spans="1:31" x14ac:dyDescent="0.2">
      <c r="A210" s="120">
        <v>41205</v>
      </c>
      <c r="B210" s="126">
        <f t="shared" si="39"/>
        <v>23</v>
      </c>
      <c r="C210" s="126">
        <f t="shared" si="40"/>
        <v>4</v>
      </c>
      <c r="D210" s="126">
        <f t="shared" si="41"/>
        <v>10</v>
      </c>
      <c r="E210" s="127" t="str">
        <f t="shared" si="42"/>
        <v>104</v>
      </c>
      <c r="F210" s="121">
        <v>288</v>
      </c>
      <c r="G210" s="128">
        <f t="shared" ca="1" si="43"/>
        <v>1.1418720910187898</v>
      </c>
      <c r="H210" s="128">
        <f t="shared" ca="1" si="44"/>
        <v>1.0558524392346147</v>
      </c>
      <c r="I210" s="128">
        <f t="shared" ca="1" si="45"/>
        <v>0.95985703289225499</v>
      </c>
      <c r="J210"/>
      <c r="AE210" s="111"/>
    </row>
    <row r="211" spans="1:31" x14ac:dyDescent="0.2">
      <c r="A211" s="120">
        <v>41206</v>
      </c>
      <c r="B211" s="126">
        <f t="shared" si="39"/>
        <v>24</v>
      </c>
      <c r="C211" s="126">
        <f t="shared" si="40"/>
        <v>4</v>
      </c>
      <c r="D211" s="126">
        <f t="shared" si="41"/>
        <v>10</v>
      </c>
      <c r="E211" s="127" t="str">
        <f t="shared" si="42"/>
        <v>104</v>
      </c>
      <c r="F211" s="121">
        <v>239</v>
      </c>
      <c r="G211" s="128">
        <f t="shared" ca="1" si="43"/>
        <v>0.94759524219962077</v>
      </c>
      <c r="H211" s="128">
        <f t="shared" ca="1" si="44"/>
        <v>1.0558524392346147</v>
      </c>
      <c r="I211" s="128">
        <f t="shared" ca="1" si="45"/>
        <v>0.95985703289225499</v>
      </c>
      <c r="J211"/>
      <c r="AE211" s="111"/>
    </row>
    <row r="212" spans="1:31" x14ac:dyDescent="0.2">
      <c r="A212" s="120">
        <v>41207</v>
      </c>
      <c r="B212" s="126">
        <f t="shared" si="39"/>
        <v>25</v>
      </c>
      <c r="C212" s="126">
        <f t="shared" si="40"/>
        <v>4</v>
      </c>
      <c r="D212" s="126">
        <f t="shared" si="41"/>
        <v>10</v>
      </c>
      <c r="E212" s="127" t="str">
        <f t="shared" si="42"/>
        <v>104</v>
      </c>
      <c r="F212" s="121">
        <v>241</v>
      </c>
      <c r="G212" s="128">
        <f t="shared" ca="1" si="43"/>
        <v>0.95552490949836244</v>
      </c>
      <c r="H212" s="128">
        <f t="shared" ca="1" si="44"/>
        <v>1.0558524392346147</v>
      </c>
      <c r="I212" s="128">
        <f t="shared" ca="1" si="45"/>
        <v>0.95985703289225499</v>
      </c>
      <c r="J212"/>
      <c r="AE212" s="111"/>
    </row>
    <row r="213" spans="1:31" x14ac:dyDescent="0.2">
      <c r="A213" s="120">
        <v>41208</v>
      </c>
      <c r="B213" s="126">
        <f t="shared" si="39"/>
        <v>26</v>
      </c>
      <c r="C213" s="126">
        <f t="shared" si="40"/>
        <v>4</v>
      </c>
      <c r="D213" s="126">
        <f t="shared" si="41"/>
        <v>10</v>
      </c>
      <c r="E213" s="127" t="str">
        <f t="shared" si="42"/>
        <v>104</v>
      </c>
      <c r="F213" s="121">
        <v>196</v>
      </c>
      <c r="G213" s="128">
        <f t="shared" ca="1" si="43"/>
        <v>0.77710739527667649</v>
      </c>
      <c r="H213" s="128">
        <f t="shared" ca="1" si="44"/>
        <v>1.0558524392346147</v>
      </c>
      <c r="I213" s="128">
        <f t="shared" ca="1" si="45"/>
        <v>0.95985703289225499</v>
      </c>
      <c r="J213"/>
      <c r="AE213" s="111"/>
    </row>
    <row r="214" spans="1:31" x14ac:dyDescent="0.2">
      <c r="A214" s="120">
        <v>41211</v>
      </c>
      <c r="B214" s="126">
        <f t="shared" si="39"/>
        <v>29</v>
      </c>
      <c r="C214" s="126">
        <f t="shared" si="40"/>
        <v>5</v>
      </c>
      <c r="D214" s="126">
        <f t="shared" si="41"/>
        <v>10</v>
      </c>
      <c r="E214" s="127" t="str">
        <f t="shared" si="42"/>
        <v>105</v>
      </c>
      <c r="F214" s="121">
        <v>176</v>
      </c>
      <c r="G214" s="128">
        <f t="shared" ca="1" si="43"/>
        <v>0.69781072228926055</v>
      </c>
      <c r="H214" s="128">
        <f t="shared" ca="1" si="44"/>
        <v>0.54818134804344076</v>
      </c>
      <c r="I214" s="128">
        <f t="shared" ca="1" si="45"/>
        <v>0.95985703289225499</v>
      </c>
      <c r="J214"/>
      <c r="AE214" s="111"/>
    </row>
    <row r="215" spans="1:31" x14ac:dyDescent="0.2">
      <c r="A215" s="120">
        <v>41212</v>
      </c>
      <c r="B215" s="126">
        <f t="shared" si="39"/>
        <v>30</v>
      </c>
      <c r="C215" s="126">
        <f t="shared" si="40"/>
        <v>5</v>
      </c>
      <c r="D215" s="126">
        <f t="shared" si="41"/>
        <v>10</v>
      </c>
      <c r="E215" s="127" t="str">
        <f t="shared" si="42"/>
        <v>105</v>
      </c>
      <c r="F215" s="121">
        <v>196</v>
      </c>
      <c r="G215" s="128">
        <f t="shared" ca="1" si="43"/>
        <v>0.77710739527667649</v>
      </c>
      <c r="H215" s="128">
        <f t="shared" ca="1" si="44"/>
        <v>0.54818134804344076</v>
      </c>
      <c r="I215" s="128">
        <f t="shared" ca="1" si="45"/>
        <v>0.95985703289225499</v>
      </c>
      <c r="J215"/>
      <c r="AE215" s="111"/>
    </row>
    <row r="216" spans="1:31" x14ac:dyDescent="0.2">
      <c r="A216" s="120">
        <v>41213</v>
      </c>
      <c r="B216" s="126">
        <f t="shared" si="39"/>
        <v>31</v>
      </c>
      <c r="C216" s="126">
        <f t="shared" si="40"/>
        <v>5</v>
      </c>
      <c r="D216" s="126">
        <f t="shared" si="41"/>
        <v>10</v>
      </c>
      <c r="E216" s="127" t="str">
        <f t="shared" si="42"/>
        <v>105</v>
      </c>
      <c r="F216" s="121">
        <v>264</v>
      </c>
      <c r="G216" s="128">
        <f t="shared" ca="1" si="43"/>
        <v>1.0467160834338907</v>
      </c>
      <c r="H216" s="128">
        <f t="shared" ca="1" si="44"/>
        <v>0.54818134804344076</v>
      </c>
      <c r="I216" s="128">
        <f t="shared" ca="1" si="45"/>
        <v>0.95985703289225499</v>
      </c>
      <c r="J216"/>
      <c r="AE216" s="111"/>
    </row>
    <row r="217" spans="1:31" x14ac:dyDescent="0.2">
      <c r="A217" s="120">
        <v>41214</v>
      </c>
      <c r="B217" s="126">
        <f t="shared" si="39"/>
        <v>1</v>
      </c>
      <c r="C217" s="126">
        <f t="shared" si="40"/>
        <v>1</v>
      </c>
      <c r="D217" s="126">
        <f t="shared" si="41"/>
        <v>11</v>
      </c>
      <c r="E217" s="127" t="str">
        <f t="shared" si="42"/>
        <v>111</v>
      </c>
      <c r="F217" s="121">
        <v>263</v>
      </c>
      <c r="G217" s="128">
        <f t="shared" ca="1" si="43"/>
        <v>1.0130227439471755</v>
      </c>
      <c r="H217" s="128">
        <f t="shared" ca="1" si="44"/>
        <v>0.41999440670145793</v>
      </c>
      <c r="I217" s="128">
        <f t="shared" ca="1" si="45"/>
        <v>0.902110074698944</v>
      </c>
      <c r="J217"/>
      <c r="AE217" s="111"/>
    </row>
    <row r="218" spans="1:31" x14ac:dyDescent="0.2">
      <c r="A218" s="120">
        <v>41215</v>
      </c>
      <c r="B218" s="126">
        <f t="shared" si="39"/>
        <v>2</v>
      </c>
      <c r="C218" s="126">
        <f t="shared" si="40"/>
        <v>1</v>
      </c>
      <c r="D218" s="126">
        <f t="shared" si="41"/>
        <v>11</v>
      </c>
      <c r="E218" s="127" t="str">
        <f t="shared" si="42"/>
        <v>111</v>
      </c>
      <c r="F218" s="121">
        <v>195</v>
      </c>
      <c r="G218" s="128">
        <f t="shared" ca="1" si="43"/>
        <v>0.75110051357300078</v>
      </c>
      <c r="H218" s="128">
        <f t="shared" ca="1" si="44"/>
        <v>0.41999440670145793</v>
      </c>
      <c r="I218" s="128">
        <f t="shared" ca="1" si="45"/>
        <v>0.902110074698944</v>
      </c>
      <c r="J218"/>
      <c r="AE218" s="111"/>
    </row>
    <row r="219" spans="1:31" x14ac:dyDescent="0.2">
      <c r="A219" s="120">
        <v>41218</v>
      </c>
      <c r="B219" s="126">
        <f t="shared" si="39"/>
        <v>5</v>
      </c>
      <c r="C219" s="126">
        <f t="shared" si="40"/>
        <v>2</v>
      </c>
      <c r="D219" s="126">
        <f t="shared" si="41"/>
        <v>11</v>
      </c>
      <c r="E219" s="127" t="str">
        <f t="shared" si="42"/>
        <v>112</v>
      </c>
      <c r="F219" s="121">
        <v>267</v>
      </c>
      <c r="G219" s="128">
        <f t="shared" ca="1" si="43"/>
        <v>1.0284299339691858</v>
      </c>
      <c r="H219" s="128">
        <f t="shared" ca="1" si="44"/>
        <v>1.1325176687255469</v>
      </c>
      <c r="I219" s="128">
        <f t="shared" ca="1" si="45"/>
        <v>0.902110074698944</v>
      </c>
      <c r="J219"/>
      <c r="AE219" s="111"/>
    </row>
    <row r="220" spans="1:31" x14ac:dyDescent="0.2">
      <c r="A220" s="120">
        <v>41219</v>
      </c>
      <c r="B220" s="126">
        <f t="shared" si="39"/>
        <v>6</v>
      </c>
      <c r="C220" s="126">
        <f t="shared" si="40"/>
        <v>2</v>
      </c>
      <c r="D220" s="126">
        <f t="shared" si="41"/>
        <v>11</v>
      </c>
      <c r="E220" s="127" t="str">
        <f t="shared" si="42"/>
        <v>112</v>
      </c>
      <c r="F220" s="121">
        <v>242</v>
      </c>
      <c r="G220" s="128">
        <f t="shared" ca="1" si="43"/>
        <v>0.93213499633162156</v>
      </c>
      <c r="H220" s="128">
        <f t="shared" ca="1" si="44"/>
        <v>1.1325176687255469</v>
      </c>
      <c r="I220" s="128">
        <f t="shared" ca="1" si="45"/>
        <v>0.902110074698944</v>
      </c>
      <c r="J220"/>
      <c r="AE220" s="111"/>
    </row>
    <row r="221" spans="1:31" x14ac:dyDescent="0.2">
      <c r="A221" s="120">
        <v>41220</v>
      </c>
      <c r="B221" s="126">
        <f t="shared" si="39"/>
        <v>7</v>
      </c>
      <c r="C221" s="126">
        <f t="shared" si="40"/>
        <v>2</v>
      </c>
      <c r="D221" s="126">
        <f t="shared" si="41"/>
        <v>11</v>
      </c>
      <c r="E221" s="127" t="str">
        <f t="shared" si="42"/>
        <v>112</v>
      </c>
      <c r="F221" s="121">
        <v>279</v>
      </c>
      <c r="G221" s="128">
        <f t="shared" ca="1" si="43"/>
        <v>1.0746515040352165</v>
      </c>
      <c r="H221" s="128">
        <f t="shared" ca="1" si="44"/>
        <v>1.1325176687255469</v>
      </c>
      <c r="I221" s="128">
        <f t="shared" ca="1" si="45"/>
        <v>0.902110074698944</v>
      </c>
      <c r="J221"/>
      <c r="AE221" s="111"/>
    </row>
    <row r="222" spans="1:31" x14ac:dyDescent="0.2">
      <c r="A222" s="120">
        <v>41221</v>
      </c>
      <c r="B222" s="126">
        <f t="shared" si="39"/>
        <v>8</v>
      </c>
      <c r="C222" s="126">
        <f t="shared" si="40"/>
        <v>2</v>
      </c>
      <c r="D222" s="126">
        <f t="shared" si="41"/>
        <v>11</v>
      </c>
      <c r="E222" s="127" t="str">
        <f t="shared" si="42"/>
        <v>112</v>
      </c>
      <c r="F222" s="121">
        <v>256</v>
      </c>
      <c r="G222" s="128">
        <f t="shared" ca="1" si="43"/>
        <v>0.98606016140865749</v>
      </c>
      <c r="H222" s="128">
        <f t="shared" ca="1" si="44"/>
        <v>1.1325176687255469</v>
      </c>
      <c r="I222" s="128">
        <f t="shared" ca="1" si="45"/>
        <v>0.902110074698944</v>
      </c>
      <c r="J222"/>
      <c r="AE222" s="111"/>
    </row>
    <row r="223" spans="1:31" x14ac:dyDescent="0.2">
      <c r="A223" s="120">
        <v>41222</v>
      </c>
      <c r="B223" s="126">
        <f t="shared" si="39"/>
        <v>9</v>
      </c>
      <c r="C223" s="126">
        <f t="shared" si="40"/>
        <v>2</v>
      </c>
      <c r="D223" s="126">
        <f t="shared" si="41"/>
        <v>11</v>
      </c>
      <c r="E223" s="127" t="str">
        <f t="shared" si="42"/>
        <v>112</v>
      </c>
      <c r="F223" s="121">
        <v>191</v>
      </c>
      <c r="G223" s="128">
        <f t="shared" ca="1" si="43"/>
        <v>0.73569332355099049</v>
      </c>
      <c r="H223" s="128">
        <f t="shared" ca="1" si="44"/>
        <v>1.1325176687255469</v>
      </c>
      <c r="I223" s="128">
        <f t="shared" ca="1" si="45"/>
        <v>0.902110074698944</v>
      </c>
      <c r="J223"/>
      <c r="AE223" s="111"/>
    </row>
    <row r="224" spans="1:31" x14ac:dyDescent="0.2">
      <c r="A224" s="120">
        <v>41225</v>
      </c>
      <c r="B224" s="126">
        <f t="shared" si="39"/>
        <v>12</v>
      </c>
      <c r="C224" s="126">
        <f t="shared" si="40"/>
        <v>3</v>
      </c>
      <c r="D224" s="126">
        <f t="shared" si="41"/>
        <v>11</v>
      </c>
      <c r="E224" s="127" t="str">
        <f t="shared" si="42"/>
        <v>113</v>
      </c>
      <c r="F224" s="121">
        <v>243</v>
      </c>
      <c r="G224" s="128">
        <f t="shared" ca="1" si="43"/>
        <v>0.93598679383712413</v>
      </c>
      <c r="H224" s="128">
        <f t="shared" ca="1" si="44"/>
        <v>1.1842866238323884</v>
      </c>
      <c r="I224" s="128">
        <f t="shared" ca="1" si="45"/>
        <v>0.902110074698944</v>
      </c>
      <c r="J224"/>
      <c r="AE224" s="111"/>
    </row>
    <row r="225" spans="1:31" x14ac:dyDescent="0.2">
      <c r="A225" s="120">
        <v>41226</v>
      </c>
      <c r="B225" s="126">
        <f t="shared" si="39"/>
        <v>13</v>
      </c>
      <c r="C225" s="126">
        <f t="shared" si="40"/>
        <v>3</v>
      </c>
      <c r="D225" s="126">
        <f t="shared" si="41"/>
        <v>11</v>
      </c>
      <c r="E225" s="127" t="str">
        <f t="shared" si="42"/>
        <v>113</v>
      </c>
      <c r="F225" s="121">
        <v>250</v>
      </c>
      <c r="G225" s="128">
        <f t="shared" ca="1" si="43"/>
        <v>0.96294937637564204</v>
      </c>
      <c r="H225" s="128">
        <f t="shared" ca="1" si="44"/>
        <v>1.1842866238323884</v>
      </c>
      <c r="I225" s="128">
        <f t="shared" ca="1" si="45"/>
        <v>0.902110074698944</v>
      </c>
      <c r="J225"/>
      <c r="AE225" s="111"/>
    </row>
    <row r="226" spans="1:31" x14ac:dyDescent="0.2">
      <c r="A226" s="120">
        <v>41227</v>
      </c>
      <c r="B226" s="126">
        <f t="shared" si="39"/>
        <v>14</v>
      </c>
      <c r="C226" s="126">
        <f t="shared" si="40"/>
        <v>3</v>
      </c>
      <c r="D226" s="126">
        <f t="shared" si="41"/>
        <v>11</v>
      </c>
      <c r="E226" s="127" t="str">
        <f t="shared" si="42"/>
        <v>113</v>
      </c>
      <c r="F226" s="121">
        <v>297</v>
      </c>
      <c r="G226" s="128">
        <f t="shared" ca="1" si="43"/>
        <v>1.1439838591342628</v>
      </c>
      <c r="H226" s="128">
        <f t="shared" ca="1" si="44"/>
        <v>1.1842866238323884</v>
      </c>
      <c r="I226" s="128">
        <f t="shared" ca="1" si="45"/>
        <v>0.902110074698944</v>
      </c>
      <c r="J226"/>
      <c r="AE226" s="111"/>
    </row>
    <row r="227" spans="1:31" x14ac:dyDescent="0.2">
      <c r="A227" s="120">
        <v>41228</v>
      </c>
      <c r="B227" s="126">
        <f t="shared" si="39"/>
        <v>15</v>
      </c>
      <c r="C227" s="126">
        <f t="shared" si="40"/>
        <v>3</v>
      </c>
      <c r="D227" s="126">
        <f t="shared" si="41"/>
        <v>11</v>
      </c>
      <c r="E227" s="127" t="str">
        <f t="shared" si="42"/>
        <v>113</v>
      </c>
      <c r="F227" s="121">
        <v>275</v>
      </c>
      <c r="G227" s="128">
        <f t="shared" ca="1" si="43"/>
        <v>1.0592443140132062</v>
      </c>
      <c r="H227" s="128">
        <f t="shared" ca="1" si="44"/>
        <v>1.1842866238323884</v>
      </c>
      <c r="I227" s="128">
        <f t="shared" ca="1" si="45"/>
        <v>0.902110074698944</v>
      </c>
      <c r="J227"/>
      <c r="AE227" s="111"/>
    </row>
    <row r="228" spans="1:31" x14ac:dyDescent="0.2">
      <c r="A228" s="120">
        <v>41229</v>
      </c>
      <c r="B228" s="126">
        <f t="shared" si="39"/>
        <v>16</v>
      </c>
      <c r="C228" s="126">
        <f t="shared" si="40"/>
        <v>3</v>
      </c>
      <c r="D228" s="126">
        <f t="shared" si="41"/>
        <v>11</v>
      </c>
      <c r="E228" s="127" t="str">
        <f t="shared" si="42"/>
        <v>113</v>
      </c>
      <c r="F228" s="121">
        <v>226</v>
      </c>
      <c r="G228" s="128">
        <f t="shared" ca="1" si="43"/>
        <v>0.87050623624358048</v>
      </c>
      <c r="H228" s="128">
        <f t="shared" ca="1" si="44"/>
        <v>1.1842866238323884</v>
      </c>
      <c r="I228" s="128">
        <f t="shared" ca="1" si="45"/>
        <v>0.902110074698944</v>
      </c>
      <c r="J228"/>
      <c r="AE228" s="111"/>
    </row>
    <row r="229" spans="1:31" x14ac:dyDescent="0.2">
      <c r="A229" s="120">
        <v>41232</v>
      </c>
      <c r="B229" s="126">
        <f t="shared" si="39"/>
        <v>19</v>
      </c>
      <c r="C229" s="126">
        <f t="shared" si="40"/>
        <v>4</v>
      </c>
      <c r="D229" s="126">
        <f t="shared" si="41"/>
        <v>11</v>
      </c>
      <c r="E229" s="127" t="str">
        <f t="shared" si="42"/>
        <v>114</v>
      </c>
      <c r="F229" s="121">
        <v>255</v>
      </c>
      <c r="G229" s="128">
        <f t="shared" ca="1" si="43"/>
        <v>0.98220836390315491</v>
      </c>
      <c r="H229" s="128">
        <f t="shared" ca="1" si="44"/>
        <v>0.68042761959057152</v>
      </c>
      <c r="I229" s="128">
        <f t="shared" ca="1" si="45"/>
        <v>0.902110074698944</v>
      </c>
      <c r="J229"/>
      <c r="AE229" s="111"/>
    </row>
    <row r="230" spans="1:31" x14ac:dyDescent="0.2">
      <c r="A230" s="120">
        <v>41233</v>
      </c>
      <c r="B230" s="126">
        <f t="shared" si="39"/>
        <v>20</v>
      </c>
      <c r="C230" s="126">
        <f t="shared" si="40"/>
        <v>4</v>
      </c>
      <c r="D230" s="126">
        <f t="shared" si="41"/>
        <v>11</v>
      </c>
      <c r="E230" s="127" t="str">
        <f t="shared" si="42"/>
        <v>114</v>
      </c>
      <c r="F230" s="121">
        <v>256</v>
      </c>
      <c r="G230" s="128">
        <f t="shared" ca="1" si="43"/>
        <v>0.98606016140865749</v>
      </c>
      <c r="H230" s="128">
        <f t="shared" ca="1" si="44"/>
        <v>0.68042761959057152</v>
      </c>
      <c r="I230" s="128">
        <f t="shared" ca="1" si="45"/>
        <v>0.902110074698944</v>
      </c>
      <c r="J230"/>
      <c r="AE230" s="111"/>
    </row>
    <row r="231" spans="1:31" x14ac:dyDescent="0.2">
      <c r="A231" s="120">
        <v>41234</v>
      </c>
      <c r="B231" s="126">
        <f t="shared" si="39"/>
        <v>21</v>
      </c>
      <c r="C231" s="126">
        <f t="shared" si="40"/>
        <v>4</v>
      </c>
      <c r="D231" s="126">
        <f t="shared" si="41"/>
        <v>11</v>
      </c>
      <c r="E231" s="127" t="str">
        <f t="shared" si="42"/>
        <v>114</v>
      </c>
      <c r="F231" s="121">
        <v>184</v>
      </c>
      <c r="G231" s="128">
        <f t="shared" ca="1" si="43"/>
        <v>0.70873074101247258</v>
      </c>
      <c r="H231" s="128">
        <f t="shared" ca="1" si="44"/>
        <v>0.68042761959057152</v>
      </c>
      <c r="I231" s="128">
        <f t="shared" ca="1" si="45"/>
        <v>0.902110074698944</v>
      </c>
      <c r="J231"/>
      <c r="AE231" s="111"/>
    </row>
    <row r="232" spans="1:31" x14ac:dyDescent="0.2">
      <c r="A232" s="120">
        <v>41236</v>
      </c>
      <c r="B232" s="126">
        <f t="shared" si="39"/>
        <v>23</v>
      </c>
      <c r="C232" s="126">
        <f t="shared" si="40"/>
        <v>4</v>
      </c>
      <c r="D232" s="126">
        <f t="shared" si="41"/>
        <v>11</v>
      </c>
      <c r="E232" s="127" t="str">
        <f t="shared" si="42"/>
        <v>114</v>
      </c>
      <c r="F232" s="121">
        <v>47</v>
      </c>
      <c r="G232" s="128">
        <f t="shared" ca="1" si="43"/>
        <v>0.18103448275862072</v>
      </c>
      <c r="H232" s="128">
        <f t="shared" ca="1" si="44"/>
        <v>0.68042761959057152</v>
      </c>
      <c r="I232" s="128">
        <f t="shared" ca="1" si="45"/>
        <v>0.902110074698944</v>
      </c>
      <c r="J232"/>
      <c r="AE232" s="111"/>
    </row>
    <row r="233" spans="1:31" x14ac:dyDescent="0.2">
      <c r="A233" s="120">
        <v>41239</v>
      </c>
      <c r="B233" s="126">
        <f t="shared" si="39"/>
        <v>26</v>
      </c>
      <c r="C233" s="126">
        <f t="shared" si="40"/>
        <v>5</v>
      </c>
      <c r="D233" s="126">
        <f t="shared" si="41"/>
        <v>11</v>
      </c>
      <c r="E233" s="127" t="str">
        <f t="shared" si="42"/>
        <v>115</v>
      </c>
      <c r="F233" s="121">
        <v>405</v>
      </c>
      <c r="G233" s="128">
        <f t="shared" ca="1" si="43"/>
        <v>1.5599779897285402</v>
      </c>
      <c r="H233" s="128">
        <f t="shared" ca="1" si="44"/>
        <v>1.5827736811500357</v>
      </c>
      <c r="I233" s="128">
        <f t="shared" ca="1" si="45"/>
        <v>0.902110074698944</v>
      </c>
      <c r="J233"/>
      <c r="AE233" s="111"/>
    </row>
    <row r="234" spans="1:31" x14ac:dyDescent="0.2">
      <c r="A234" s="120">
        <v>41240</v>
      </c>
      <c r="B234" s="126">
        <f t="shared" si="39"/>
        <v>27</v>
      </c>
      <c r="C234" s="126">
        <f t="shared" si="40"/>
        <v>5</v>
      </c>
      <c r="D234" s="126">
        <f t="shared" si="41"/>
        <v>11</v>
      </c>
      <c r="E234" s="127" t="str">
        <f t="shared" si="42"/>
        <v>115</v>
      </c>
      <c r="F234" s="121">
        <v>364</v>
      </c>
      <c r="G234" s="128">
        <f t="shared" ca="1" si="43"/>
        <v>1.4020542920029349</v>
      </c>
      <c r="H234" s="128">
        <f t="shared" ca="1" si="44"/>
        <v>1.5827736811500357</v>
      </c>
      <c r="I234" s="128">
        <f t="shared" ca="1" si="45"/>
        <v>0.902110074698944</v>
      </c>
      <c r="J234"/>
      <c r="AE234" s="111"/>
    </row>
    <row r="235" spans="1:31" x14ac:dyDescent="0.2">
      <c r="A235" s="120">
        <v>41241</v>
      </c>
      <c r="B235" s="126">
        <f t="shared" si="39"/>
        <v>28</v>
      </c>
      <c r="C235" s="126">
        <f t="shared" si="40"/>
        <v>5</v>
      </c>
      <c r="D235" s="126">
        <f t="shared" si="41"/>
        <v>11</v>
      </c>
      <c r="E235" s="127" t="str">
        <f t="shared" si="42"/>
        <v>115</v>
      </c>
      <c r="F235" s="121">
        <v>344</v>
      </c>
      <c r="G235" s="128">
        <f t="shared" ca="1" si="43"/>
        <v>1.3250183418928836</v>
      </c>
      <c r="H235" s="128">
        <f t="shared" ca="1" si="44"/>
        <v>1.5827736811500357</v>
      </c>
      <c r="I235" s="128">
        <f t="shared" ca="1" si="45"/>
        <v>0.902110074698944</v>
      </c>
      <c r="J235"/>
      <c r="AE235" s="111"/>
    </row>
    <row r="236" spans="1:31" x14ac:dyDescent="0.2">
      <c r="A236" s="120">
        <v>41242</v>
      </c>
      <c r="B236" s="126">
        <f t="shared" si="39"/>
        <v>29</v>
      </c>
      <c r="C236" s="126">
        <f t="shared" si="40"/>
        <v>5</v>
      </c>
      <c r="D236" s="126">
        <f t="shared" si="41"/>
        <v>11</v>
      </c>
      <c r="E236" s="127" t="str">
        <f t="shared" si="42"/>
        <v>115</v>
      </c>
      <c r="F236" s="121">
        <v>323</v>
      </c>
      <c r="G236" s="128">
        <f t="shared" ca="1" si="43"/>
        <v>1.2441305942773295</v>
      </c>
      <c r="H236" s="128">
        <f t="shared" ca="1" si="44"/>
        <v>1.5827736811500357</v>
      </c>
      <c r="I236" s="128">
        <f t="shared" ca="1" si="45"/>
        <v>0.902110074698944</v>
      </c>
      <c r="J236"/>
      <c r="AE236" s="111"/>
    </row>
    <row r="237" spans="1:31" x14ac:dyDescent="0.2">
      <c r="A237" s="120">
        <v>41243</v>
      </c>
      <c r="B237" s="126">
        <f t="shared" si="39"/>
        <v>30</v>
      </c>
      <c r="C237" s="126">
        <f t="shared" si="40"/>
        <v>5</v>
      </c>
      <c r="D237" s="126">
        <f t="shared" si="41"/>
        <v>11</v>
      </c>
      <c r="E237" s="127" t="str">
        <f t="shared" si="42"/>
        <v>115</v>
      </c>
      <c r="F237" s="121">
        <v>290</v>
      </c>
      <c r="G237" s="128">
        <f t="shared" ca="1" si="43"/>
        <v>1.1170212765957448</v>
      </c>
      <c r="H237" s="128">
        <f t="shared" ca="1" si="44"/>
        <v>1.5827736811500357</v>
      </c>
      <c r="I237" s="128">
        <f t="shared" ca="1" si="45"/>
        <v>0.902110074698944</v>
      </c>
      <c r="J237"/>
      <c r="AE237" s="111"/>
    </row>
    <row r="238" spans="1:31" x14ac:dyDescent="0.2">
      <c r="A238" s="120">
        <v>41246</v>
      </c>
      <c r="B238" s="126">
        <f t="shared" si="39"/>
        <v>3</v>
      </c>
      <c r="C238" s="126">
        <f t="shared" si="40"/>
        <v>2</v>
      </c>
      <c r="D238" s="126">
        <f t="shared" si="41"/>
        <v>12</v>
      </c>
      <c r="E238" s="127" t="str">
        <f t="shared" si="42"/>
        <v>122</v>
      </c>
      <c r="F238" s="121">
        <v>327</v>
      </c>
      <c r="G238" s="128">
        <f t="shared" ca="1" si="43"/>
        <v>1.3125281202685606</v>
      </c>
      <c r="H238" s="128">
        <f t="shared" ca="1" si="44"/>
        <v>1.1621757322175732</v>
      </c>
      <c r="I238" s="128">
        <f t="shared" ca="1" si="45"/>
        <v>0.98935935239058637</v>
      </c>
      <c r="J238"/>
      <c r="AE238" s="111"/>
    </row>
    <row r="239" spans="1:31" x14ac:dyDescent="0.2">
      <c r="A239" s="120">
        <v>41247</v>
      </c>
      <c r="B239" s="126">
        <f t="shared" si="39"/>
        <v>4</v>
      </c>
      <c r="C239" s="126">
        <f t="shared" si="40"/>
        <v>2</v>
      </c>
      <c r="D239" s="126">
        <f t="shared" si="41"/>
        <v>12</v>
      </c>
      <c r="E239" s="127" t="str">
        <f t="shared" si="42"/>
        <v>122</v>
      </c>
      <c r="F239" s="121">
        <v>409</v>
      </c>
      <c r="G239" s="128">
        <f t="shared" ca="1" si="43"/>
        <v>1.6416636122013495</v>
      </c>
      <c r="H239" s="128">
        <f t="shared" ca="1" si="44"/>
        <v>1.1621757322175732</v>
      </c>
      <c r="I239" s="128">
        <f t="shared" ca="1" si="45"/>
        <v>0.98935935239058637</v>
      </c>
      <c r="J239"/>
      <c r="AE239" s="111"/>
    </row>
    <row r="240" spans="1:31" x14ac:dyDescent="0.2">
      <c r="A240" s="120">
        <v>41248</v>
      </c>
      <c r="B240" s="126">
        <f t="shared" si="39"/>
        <v>5</v>
      </c>
      <c r="C240" s="126">
        <f t="shared" si="40"/>
        <v>2</v>
      </c>
      <c r="D240" s="126">
        <f t="shared" si="41"/>
        <v>12</v>
      </c>
      <c r="E240" s="127" t="str">
        <f t="shared" si="42"/>
        <v>122</v>
      </c>
      <c r="F240" s="121">
        <v>350</v>
      </c>
      <c r="G240" s="128">
        <f t="shared" ca="1" si="43"/>
        <v>1.4048466119082452</v>
      </c>
      <c r="H240" s="128">
        <f t="shared" ca="1" si="44"/>
        <v>1.1621757322175732</v>
      </c>
      <c r="I240" s="128">
        <f t="shared" ca="1" si="45"/>
        <v>0.98935935239058637</v>
      </c>
      <c r="J240"/>
      <c r="AE240" s="111"/>
    </row>
    <row r="241" spans="1:31" x14ac:dyDescent="0.2">
      <c r="A241" s="120">
        <v>41249</v>
      </c>
      <c r="B241" s="126">
        <f t="shared" si="39"/>
        <v>6</v>
      </c>
      <c r="C241" s="126">
        <f t="shared" si="40"/>
        <v>2</v>
      </c>
      <c r="D241" s="126">
        <f t="shared" si="41"/>
        <v>12</v>
      </c>
      <c r="E241" s="127" t="str">
        <f t="shared" si="42"/>
        <v>122</v>
      </c>
      <c r="F241" s="121">
        <v>375</v>
      </c>
      <c r="G241" s="128">
        <f t="shared" ca="1" si="43"/>
        <v>1.5051927984731199</v>
      </c>
      <c r="H241" s="128">
        <f t="shared" ca="1" si="44"/>
        <v>1.1621757322175732</v>
      </c>
      <c r="I241" s="128">
        <f t="shared" ca="1" si="45"/>
        <v>0.98935935239058637</v>
      </c>
      <c r="J241"/>
      <c r="AE241" s="111"/>
    </row>
    <row r="242" spans="1:31" x14ac:dyDescent="0.2">
      <c r="A242" s="120">
        <v>41250</v>
      </c>
      <c r="B242" s="126">
        <f t="shared" si="39"/>
        <v>7</v>
      </c>
      <c r="C242" s="126">
        <f t="shared" si="40"/>
        <v>2</v>
      </c>
      <c r="D242" s="126">
        <f t="shared" si="41"/>
        <v>12</v>
      </c>
      <c r="E242" s="127" t="str">
        <f t="shared" si="42"/>
        <v>122</v>
      </c>
      <c r="F242" s="121">
        <v>275</v>
      </c>
      <c r="G242" s="128">
        <f t="shared" ca="1" si="43"/>
        <v>1.1038080522136213</v>
      </c>
      <c r="H242" s="128">
        <f t="shared" ca="1" si="44"/>
        <v>1.1621757322175732</v>
      </c>
      <c r="I242" s="128">
        <f t="shared" ca="1" si="45"/>
        <v>0.98935935239058637</v>
      </c>
      <c r="J242"/>
      <c r="AE242" s="111"/>
    </row>
    <row r="243" spans="1:31" x14ac:dyDescent="0.2">
      <c r="A243" s="120">
        <v>41253</v>
      </c>
      <c r="B243" s="126">
        <f t="shared" si="39"/>
        <v>10</v>
      </c>
      <c r="C243" s="126">
        <f t="shared" si="40"/>
        <v>3</v>
      </c>
      <c r="D243" s="126">
        <f t="shared" si="41"/>
        <v>12</v>
      </c>
      <c r="E243" s="127" t="str">
        <f t="shared" si="42"/>
        <v>123</v>
      </c>
      <c r="F243" s="121">
        <v>385</v>
      </c>
      <c r="G243" s="128">
        <f t="shared" ca="1" si="43"/>
        <v>1.5453312730990698</v>
      </c>
      <c r="H243" s="128">
        <f t="shared" ca="1" si="44"/>
        <v>1.1668619246861924</v>
      </c>
      <c r="I243" s="128">
        <f t="shared" ca="1" si="45"/>
        <v>0.98935935239058637</v>
      </c>
      <c r="J243"/>
      <c r="AE243" s="111"/>
    </row>
    <row r="244" spans="1:31" x14ac:dyDescent="0.2">
      <c r="A244" s="120">
        <v>41254</v>
      </c>
      <c r="B244" s="126">
        <f t="shared" si="39"/>
        <v>11</v>
      </c>
      <c r="C244" s="126">
        <f t="shared" si="40"/>
        <v>3</v>
      </c>
      <c r="D244" s="126">
        <f t="shared" si="41"/>
        <v>12</v>
      </c>
      <c r="E244" s="127" t="str">
        <f t="shared" si="42"/>
        <v>123</v>
      </c>
      <c r="F244" s="121">
        <v>397</v>
      </c>
      <c r="G244" s="128">
        <f t="shared" ca="1" si="43"/>
        <v>1.5934974426502095</v>
      </c>
      <c r="H244" s="128">
        <f t="shared" ca="1" si="44"/>
        <v>1.1668619246861924</v>
      </c>
      <c r="I244" s="128">
        <f t="shared" ca="1" si="45"/>
        <v>0.98935935239058637</v>
      </c>
      <c r="J244"/>
      <c r="AE244" s="111"/>
    </row>
    <row r="245" spans="1:31" x14ac:dyDescent="0.2">
      <c r="A245" s="120">
        <v>41255</v>
      </c>
      <c r="B245" s="126">
        <f t="shared" si="39"/>
        <v>12</v>
      </c>
      <c r="C245" s="126">
        <f t="shared" si="40"/>
        <v>3</v>
      </c>
      <c r="D245" s="126">
        <f t="shared" si="41"/>
        <v>12</v>
      </c>
      <c r="E245" s="127" t="str">
        <f t="shared" si="42"/>
        <v>123</v>
      </c>
      <c r="F245" s="121">
        <v>369</v>
      </c>
      <c r="G245" s="128">
        <f t="shared" ca="1" si="43"/>
        <v>1.48110971369755</v>
      </c>
      <c r="H245" s="128">
        <f t="shared" ca="1" si="44"/>
        <v>1.1668619246861924</v>
      </c>
      <c r="I245" s="128">
        <f t="shared" ca="1" si="45"/>
        <v>0.98935935239058637</v>
      </c>
      <c r="J245"/>
      <c r="AE245" s="111"/>
    </row>
    <row r="246" spans="1:31" x14ac:dyDescent="0.2">
      <c r="A246" s="120">
        <v>41256</v>
      </c>
      <c r="B246" s="126">
        <f t="shared" si="39"/>
        <v>13</v>
      </c>
      <c r="C246" s="126">
        <f t="shared" si="40"/>
        <v>3</v>
      </c>
      <c r="D246" s="126">
        <f t="shared" si="41"/>
        <v>12</v>
      </c>
      <c r="E246" s="127" t="str">
        <f t="shared" si="42"/>
        <v>123</v>
      </c>
      <c r="F246" s="121">
        <v>351</v>
      </c>
      <c r="G246" s="128">
        <f t="shared" ca="1" si="43"/>
        <v>1.4088604593708403</v>
      </c>
      <c r="H246" s="128">
        <f t="shared" ca="1" si="44"/>
        <v>1.1668619246861924</v>
      </c>
      <c r="I246" s="128">
        <f t="shared" ca="1" si="45"/>
        <v>0.98935935239058637</v>
      </c>
      <c r="J246"/>
      <c r="AE246" s="111"/>
    </row>
    <row r="247" spans="1:31" x14ac:dyDescent="0.2">
      <c r="A247" s="120">
        <v>41257</v>
      </c>
      <c r="B247" s="126">
        <f t="shared" si="39"/>
        <v>14</v>
      </c>
      <c r="C247" s="126">
        <f t="shared" si="40"/>
        <v>3</v>
      </c>
      <c r="D247" s="126">
        <f t="shared" si="41"/>
        <v>12</v>
      </c>
      <c r="E247" s="127" t="str">
        <f t="shared" si="42"/>
        <v>123</v>
      </c>
      <c r="F247" s="121">
        <v>241</v>
      </c>
      <c r="G247" s="128">
        <f t="shared" ca="1" si="43"/>
        <v>0.96733723848539177</v>
      </c>
      <c r="H247" s="128">
        <f t="shared" ca="1" si="44"/>
        <v>1.1668619246861924</v>
      </c>
      <c r="I247" s="128">
        <f t="shared" ca="1" si="45"/>
        <v>0.98935935239058637</v>
      </c>
      <c r="J247"/>
      <c r="AE247" s="111"/>
    </row>
    <row r="248" spans="1:31" x14ac:dyDescent="0.2">
      <c r="A248" s="120">
        <v>41260</v>
      </c>
      <c r="B248" s="126">
        <f t="shared" si="39"/>
        <v>17</v>
      </c>
      <c r="C248" s="126">
        <f t="shared" si="40"/>
        <v>4</v>
      </c>
      <c r="D248" s="126">
        <f t="shared" si="41"/>
        <v>12</v>
      </c>
      <c r="E248" s="127" t="str">
        <f t="shared" si="42"/>
        <v>124</v>
      </c>
      <c r="F248" s="121">
        <v>370</v>
      </c>
      <c r="G248" s="128">
        <f t="shared" ca="1" si="43"/>
        <v>1.485123561160145</v>
      </c>
      <c r="H248" s="128">
        <f t="shared" ca="1" si="44"/>
        <v>1.0584100418410043</v>
      </c>
      <c r="I248" s="128">
        <f t="shared" ca="1" si="45"/>
        <v>0.98935935239058637</v>
      </c>
      <c r="J248"/>
      <c r="AE248" s="111"/>
    </row>
    <row r="249" spans="1:31" x14ac:dyDescent="0.2">
      <c r="A249" s="120">
        <v>41261</v>
      </c>
      <c r="B249" s="126">
        <f t="shared" si="39"/>
        <v>18</v>
      </c>
      <c r="C249" s="126">
        <f t="shared" si="40"/>
        <v>4</v>
      </c>
      <c r="D249" s="126">
        <f t="shared" si="41"/>
        <v>12</v>
      </c>
      <c r="E249" s="127" t="str">
        <f t="shared" si="42"/>
        <v>124</v>
      </c>
      <c r="F249" s="121">
        <v>386</v>
      </c>
      <c r="G249" s="128">
        <f t="shared" ca="1" si="43"/>
        <v>1.5493451205616648</v>
      </c>
      <c r="H249" s="128">
        <f t="shared" ca="1" si="44"/>
        <v>1.0584100418410043</v>
      </c>
      <c r="I249" s="128">
        <f t="shared" ca="1" si="45"/>
        <v>0.98935935239058637</v>
      </c>
      <c r="J249"/>
      <c r="AE249" s="111"/>
    </row>
    <row r="250" spans="1:31" x14ac:dyDescent="0.2">
      <c r="A250" s="120">
        <v>41262</v>
      </c>
      <c r="B250" s="126">
        <f t="shared" si="39"/>
        <v>19</v>
      </c>
      <c r="C250" s="126">
        <f t="shared" si="40"/>
        <v>4</v>
      </c>
      <c r="D250" s="126">
        <f t="shared" si="41"/>
        <v>12</v>
      </c>
      <c r="E250" s="127" t="str">
        <f t="shared" si="42"/>
        <v>124</v>
      </c>
      <c r="F250" s="121">
        <v>326</v>
      </c>
      <c r="G250" s="128">
        <f t="shared" ca="1" si="43"/>
        <v>1.3085142728059656</v>
      </c>
      <c r="H250" s="128">
        <f t="shared" ca="1" si="44"/>
        <v>1.0584100418410043</v>
      </c>
      <c r="I250" s="128">
        <f t="shared" ca="1" si="45"/>
        <v>0.98935935239058637</v>
      </c>
      <c r="J250"/>
      <c r="AE250" s="111"/>
    </row>
    <row r="251" spans="1:31" x14ac:dyDescent="0.2">
      <c r="A251" s="120">
        <v>41263</v>
      </c>
      <c r="B251" s="126">
        <f t="shared" si="39"/>
        <v>20</v>
      </c>
      <c r="C251" s="126">
        <f t="shared" si="40"/>
        <v>4</v>
      </c>
      <c r="D251" s="126">
        <f t="shared" si="41"/>
        <v>12</v>
      </c>
      <c r="E251" s="127" t="str">
        <f t="shared" si="42"/>
        <v>124</v>
      </c>
      <c r="F251" s="121">
        <v>287</v>
      </c>
      <c r="G251" s="128">
        <f t="shared" ca="1" si="43"/>
        <v>1.1519742217647611</v>
      </c>
      <c r="H251" s="128">
        <f t="shared" ca="1" si="44"/>
        <v>1.0584100418410043</v>
      </c>
      <c r="I251" s="128">
        <f t="shared" ca="1" si="45"/>
        <v>0.98935935239058637</v>
      </c>
      <c r="J251"/>
      <c r="AE251" s="111"/>
    </row>
    <row r="252" spans="1:31" x14ac:dyDescent="0.2">
      <c r="A252" s="120">
        <v>41264</v>
      </c>
      <c r="B252" s="126">
        <f t="shared" si="39"/>
        <v>21</v>
      </c>
      <c r="C252" s="126">
        <f t="shared" si="40"/>
        <v>4</v>
      </c>
      <c r="D252" s="126">
        <f t="shared" si="41"/>
        <v>12</v>
      </c>
      <c r="E252" s="127" t="str">
        <f t="shared" si="42"/>
        <v>124</v>
      </c>
      <c r="F252" s="121">
        <v>212</v>
      </c>
      <c r="G252" s="128">
        <f t="shared" ca="1" si="43"/>
        <v>0.85093566207013716</v>
      </c>
      <c r="H252" s="128">
        <f t="shared" ca="1" si="44"/>
        <v>1.0584100418410043</v>
      </c>
      <c r="I252" s="128">
        <f t="shared" ca="1" si="45"/>
        <v>0.98935935239058637</v>
      </c>
      <c r="J252"/>
      <c r="AE252" s="111"/>
    </row>
    <row r="253" spans="1:31" x14ac:dyDescent="0.2">
      <c r="A253" s="120">
        <v>41267</v>
      </c>
      <c r="B253" s="126">
        <f t="shared" si="39"/>
        <v>24</v>
      </c>
      <c r="C253" s="126">
        <f t="shared" si="40"/>
        <v>5</v>
      </c>
      <c r="D253" s="126">
        <f t="shared" si="41"/>
        <v>12</v>
      </c>
      <c r="E253" s="127" t="str">
        <f t="shared" si="42"/>
        <v>125</v>
      </c>
      <c r="F253" s="121">
        <v>65</v>
      </c>
      <c r="G253" s="128">
        <f t="shared" ca="1" si="43"/>
        <v>0.26090008506867413</v>
      </c>
      <c r="H253" s="128">
        <f t="shared" ca="1" si="44"/>
        <v>0.61255230125523008</v>
      </c>
      <c r="I253" s="128">
        <f t="shared" ca="1" si="45"/>
        <v>0.98935935239058637</v>
      </c>
      <c r="J253"/>
      <c r="AE253" s="111"/>
    </row>
    <row r="254" spans="1:31" x14ac:dyDescent="0.2">
      <c r="A254" s="120">
        <v>41269</v>
      </c>
      <c r="B254" s="126">
        <f t="shared" si="39"/>
        <v>26</v>
      </c>
      <c r="C254" s="126">
        <f t="shared" si="40"/>
        <v>5</v>
      </c>
      <c r="D254" s="126">
        <f t="shared" si="41"/>
        <v>12</v>
      </c>
      <c r="E254" s="127" t="str">
        <f t="shared" si="42"/>
        <v>125</v>
      </c>
      <c r="F254" s="121">
        <v>228</v>
      </c>
      <c r="G254" s="128">
        <f t="shared" ca="1" si="43"/>
        <v>0.9151572214716569</v>
      </c>
      <c r="H254" s="128">
        <f t="shared" ca="1" si="44"/>
        <v>0.61255230125523008</v>
      </c>
      <c r="I254" s="128">
        <f t="shared" ca="1" si="45"/>
        <v>0.98935935239058637</v>
      </c>
      <c r="J254"/>
      <c r="AE254" s="111"/>
    </row>
    <row r="255" spans="1:31" x14ac:dyDescent="0.2">
      <c r="A255" s="120">
        <v>41270</v>
      </c>
      <c r="B255" s="126">
        <f t="shared" si="39"/>
        <v>27</v>
      </c>
      <c r="C255" s="126">
        <f t="shared" si="40"/>
        <v>5</v>
      </c>
      <c r="D255" s="126">
        <f t="shared" si="41"/>
        <v>12</v>
      </c>
      <c r="E255" s="127" t="str">
        <f t="shared" si="42"/>
        <v>125</v>
      </c>
      <c r="F255" s="121">
        <v>303</v>
      </c>
      <c r="G255" s="128">
        <f t="shared" ca="1" si="43"/>
        <v>1.2161957811662809</v>
      </c>
      <c r="H255" s="128">
        <f t="shared" ca="1" si="44"/>
        <v>0.61255230125523008</v>
      </c>
      <c r="I255" s="128">
        <f t="shared" ca="1" si="45"/>
        <v>0.98935935239058637</v>
      </c>
      <c r="J255"/>
      <c r="AE255" s="111"/>
    </row>
    <row r="256" spans="1:31" x14ac:dyDescent="0.2">
      <c r="A256" s="120">
        <v>41271</v>
      </c>
      <c r="B256" s="126">
        <f t="shared" si="39"/>
        <v>28</v>
      </c>
      <c r="C256" s="126">
        <f t="shared" si="40"/>
        <v>5</v>
      </c>
      <c r="D256" s="126">
        <f t="shared" si="41"/>
        <v>12</v>
      </c>
      <c r="E256" s="127" t="str">
        <f t="shared" si="42"/>
        <v>125</v>
      </c>
      <c r="F256" s="121">
        <v>206</v>
      </c>
      <c r="G256" s="128">
        <f t="shared" ca="1" si="43"/>
        <v>0.82685257729456718</v>
      </c>
      <c r="H256" s="128">
        <f t="shared" ca="1" si="44"/>
        <v>0.61255230125523008</v>
      </c>
      <c r="I256" s="128">
        <f t="shared" ca="1" si="45"/>
        <v>0.98935935239058637</v>
      </c>
      <c r="J256"/>
      <c r="AE256" s="111"/>
    </row>
    <row r="257" spans="1:31" x14ac:dyDescent="0.2">
      <c r="A257" s="120">
        <v>41274</v>
      </c>
      <c r="B257" s="126">
        <f t="shared" si="39"/>
        <v>31</v>
      </c>
      <c r="C257" s="126">
        <f t="shared" si="40"/>
        <v>5</v>
      </c>
      <c r="D257" s="126">
        <f t="shared" si="41"/>
        <v>12</v>
      </c>
      <c r="E257" s="127" t="str">
        <f t="shared" si="42"/>
        <v>125</v>
      </c>
      <c r="F257" s="121">
        <v>113</v>
      </c>
      <c r="G257" s="128">
        <f t="shared" ca="1" si="43"/>
        <v>0.45356476327323347</v>
      </c>
      <c r="H257" s="128">
        <f t="shared" ca="1" si="44"/>
        <v>0.61255230125523008</v>
      </c>
      <c r="I257" s="128">
        <f t="shared" ca="1" si="45"/>
        <v>0.98935935239058637</v>
      </c>
      <c r="J257"/>
      <c r="AE257" s="111"/>
    </row>
    <row r="258" spans="1:31" x14ac:dyDescent="0.2">
      <c r="A258" s="176"/>
      <c r="B258" s="129"/>
      <c r="C258" s="129"/>
      <c r="D258" s="129"/>
      <c r="E258" s="130"/>
      <c r="F258" s="177"/>
      <c r="G258" s="131"/>
      <c r="H258" s="131"/>
      <c r="I258" s="131"/>
    </row>
    <row r="259" spans="1:31" x14ac:dyDescent="0.2">
      <c r="A259" s="176"/>
      <c r="B259" s="129"/>
      <c r="C259" s="129"/>
      <c r="D259" s="129"/>
      <c r="E259" s="130"/>
      <c r="F259" s="177"/>
      <c r="G259" s="131"/>
      <c r="H259" s="131"/>
      <c r="I259" s="131"/>
    </row>
    <row r="260" spans="1:31" x14ac:dyDescent="0.2">
      <c r="A260" s="176"/>
      <c r="B260" s="129"/>
      <c r="C260" s="129"/>
      <c r="D260" s="129"/>
      <c r="E260" s="130"/>
      <c r="F260" s="177"/>
      <c r="G260" s="131"/>
      <c r="H260" s="131"/>
      <c r="I260" s="131"/>
    </row>
    <row r="261" spans="1:31" x14ac:dyDescent="0.2">
      <c r="A261" s="176"/>
      <c r="B261" s="129"/>
      <c r="C261" s="129"/>
      <c r="D261" s="129"/>
      <c r="E261" s="130"/>
      <c r="F261" s="177"/>
      <c r="G261" s="131"/>
      <c r="H261" s="131"/>
      <c r="I261" s="131"/>
    </row>
    <row r="262" spans="1:31" x14ac:dyDescent="0.2">
      <c r="A262" s="176"/>
      <c r="B262" s="129"/>
      <c r="C262" s="129"/>
      <c r="D262" s="129"/>
      <c r="E262" s="130"/>
      <c r="F262" s="177"/>
      <c r="G262" s="131"/>
      <c r="H262" s="131"/>
      <c r="I262" s="131"/>
    </row>
    <row r="263" spans="1:31" x14ac:dyDescent="0.2">
      <c r="A263" s="176"/>
      <c r="B263" s="129"/>
      <c r="C263" s="129"/>
      <c r="D263" s="129"/>
      <c r="E263" s="130"/>
      <c r="F263" s="177"/>
      <c r="G263" s="131"/>
      <c r="H263" s="131"/>
      <c r="I263" s="131"/>
    </row>
    <row r="264" spans="1:31" x14ac:dyDescent="0.2">
      <c r="A264" s="176"/>
      <c r="B264" s="129"/>
      <c r="C264" s="129"/>
      <c r="D264" s="129"/>
      <c r="E264" s="130"/>
      <c r="F264" s="177"/>
      <c r="G264" s="131"/>
      <c r="H264" s="131"/>
      <c r="I264" s="131"/>
    </row>
    <row r="265" spans="1:31" x14ac:dyDescent="0.2">
      <c r="A265" s="176"/>
      <c r="B265" s="129"/>
      <c r="C265" s="129"/>
      <c r="D265" s="129"/>
      <c r="E265" s="130"/>
      <c r="F265" s="177"/>
      <c r="G265" s="131"/>
      <c r="H265" s="131"/>
      <c r="I265" s="131"/>
    </row>
    <row r="266" spans="1:31" x14ac:dyDescent="0.2">
      <c r="A266" s="176"/>
      <c r="B266" s="129"/>
      <c r="C266" s="129"/>
      <c r="D266" s="129"/>
      <c r="E266" s="130"/>
      <c r="F266" s="177"/>
      <c r="G266" s="131"/>
      <c r="H266" s="131"/>
      <c r="I266" s="131"/>
    </row>
    <row r="267" spans="1:31" x14ac:dyDescent="0.2">
      <c r="A267" s="176"/>
      <c r="B267" s="129"/>
      <c r="C267" s="129"/>
      <c r="D267" s="129"/>
      <c r="E267" s="130"/>
      <c r="F267" s="177"/>
      <c r="G267" s="131"/>
      <c r="H267" s="131"/>
      <c r="I267" s="131"/>
    </row>
    <row r="268" spans="1:31" x14ac:dyDescent="0.2">
      <c r="A268" s="176"/>
      <c r="B268" s="129"/>
      <c r="C268" s="129"/>
      <c r="D268" s="129"/>
      <c r="E268" s="130"/>
      <c r="F268" s="177"/>
      <c r="G268" s="131"/>
      <c r="H268" s="131"/>
      <c r="I268" s="131"/>
    </row>
    <row r="269" spans="1:31" x14ac:dyDescent="0.2">
      <c r="A269" s="176"/>
      <c r="B269" s="129"/>
      <c r="C269" s="129"/>
      <c r="D269" s="129"/>
      <c r="E269" s="130"/>
      <c r="F269" s="177"/>
      <c r="G269" s="131"/>
      <c r="H269" s="131"/>
      <c r="I269" s="131"/>
    </row>
    <row r="270" spans="1:31" x14ac:dyDescent="0.2">
      <c r="A270" s="176"/>
      <c r="B270" s="129"/>
      <c r="C270" s="129"/>
      <c r="D270" s="129"/>
      <c r="E270" s="130"/>
      <c r="F270" s="177"/>
      <c r="G270" s="131"/>
      <c r="H270" s="131"/>
      <c r="I270" s="131"/>
    </row>
    <row r="271" spans="1:31" x14ac:dyDescent="0.2">
      <c r="A271" s="176"/>
      <c r="B271" s="129"/>
      <c r="C271" s="129"/>
      <c r="D271" s="129"/>
      <c r="E271" s="130"/>
      <c r="F271" s="177"/>
      <c r="G271" s="131"/>
      <c r="H271" s="131"/>
      <c r="I271" s="131"/>
    </row>
    <row r="272" spans="1:31" x14ac:dyDescent="0.2">
      <c r="A272" s="176"/>
      <c r="B272" s="129"/>
      <c r="C272" s="129"/>
      <c r="D272" s="129"/>
      <c r="E272" s="130"/>
      <c r="F272" s="177"/>
      <c r="G272" s="131"/>
      <c r="H272" s="131"/>
      <c r="I272" s="131"/>
    </row>
    <row r="273" spans="1:9" x14ac:dyDescent="0.2">
      <c r="A273" s="176"/>
      <c r="B273" s="129"/>
      <c r="C273" s="129"/>
      <c r="D273" s="129"/>
      <c r="E273" s="130"/>
      <c r="F273" s="177"/>
      <c r="G273" s="131"/>
      <c r="H273" s="131"/>
      <c r="I273" s="131"/>
    </row>
    <row r="274" spans="1:9" x14ac:dyDescent="0.2">
      <c r="A274" s="176"/>
      <c r="B274" s="129"/>
      <c r="C274" s="129"/>
      <c r="D274" s="129"/>
      <c r="E274" s="130"/>
      <c r="F274" s="177"/>
      <c r="G274" s="131"/>
      <c r="H274" s="131"/>
      <c r="I274" s="131"/>
    </row>
    <row r="275" spans="1:9" x14ac:dyDescent="0.2">
      <c r="A275" s="176"/>
      <c r="B275" s="129"/>
      <c r="C275" s="129"/>
      <c r="D275" s="129"/>
      <c r="E275" s="130"/>
      <c r="F275" s="177"/>
      <c r="G275" s="131"/>
      <c r="H275" s="131"/>
      <c r="I275" s="131"/>
    </row>
    <row r="276" spans="1:9" x14ac:dyDescent="0.2">
      <c r="A276" s="176"/>
      <c r="B276" s="129"/>
      <c r="C276" s="129"/>
      <c r="D276" s="129"/>
      <c r="E276" s="130"/>
      <c r="F276" s="177"/>
      <c r="G276" s="131"/>
      <c r="H276" s="131"/>
      <c r="I276" s="131"/>
    </row>
    <row r="277" spans="1:9" x14ac:dyDescent="0.2">
      <c r="A277" s="176"/>
      <c r="B277" s="129"/>
      <c r="C277" s="129"/>
      <c r="D277" s="129"/>
      <c r="E277" s="130"/>
      <c r="F277" s="177"/>
      <c r="G277" s="131"/>
      <c r="H277" s="131"/>
      <c r="I277" s="131"/>
    </row>
    <row r="278" spans="1:9" x14ac:dyDescent="0.2">
      <c r="A278" s="176"/>
      <c r="B278" s="129"/>
      <c r="C278" s="129"/>
      <c r="D278" s="129"/>
      <c r="E278" s="130"/>
      <c r="F278" s="177"/>
      <c r="G278" s="131"/>
      <c r="H278" s="131"/>
      <c r="I278" s="131"/>
    </row>
    <row r="279" spans="1:9" x14ac:dyDescent="0.2">
      <c r="A279" s="176"/>
      <c r="B279" s="129"/>
      <c r="C279" s="129"/>
      <c r="D279" s="129"/>
      <c r="E279" s="130"/>
      <c r="F279" s="177"/>
      <c r="G279" s="131"/>
      <c r="H279" s="131"/>
      <c r="I279" s="131"/>
    </row>
    <row r="280" spans="1:9" x14ac:dyDescent="0.2">
      <c r="A280" s="176"/>
      <c r="B280" s="129"/>
      <c r="C280" s="129"/>
      <c r="D280" s="129"/>
      <c r="E280" s="130"/>
      <c r="F280" s="177"/>
      <c r="G280" s="131"/>
      <c r="H280" s="131"/>
      <c r="I280" s="131"/>
    </row>
    <row r="281" spans="1:9" x14ac:dyDescent="0.2">
      <c r="A281" s="176"/>
      <c r="B281" s="129"/>
      <c r="C281" s="129"/>
      <c r="D281" s="129"/>
      <c r="E281" s="130"/>
      <c r="F281" s="177"/>
      <c r="G281" s="131"/>
      <c r="H281" s="131"/>
      <c r="I281" s="131"/>
    </row>
    <row r="282" spans="1:9" x14ac:dyDescent="0.2">
      <c r="A282" s="176"/>
      <c r="B282" s="129"/>
      <c r="C282" s="129"/>
      <c r="D282" s="129"/>
      <c r="E282" s="130"/>
      <c r="F282" s="177"/>
      <c r="G282" s="131"/>
      <c r="H282" s="131"/>
      <c r="I282" s="131"/>
    </row>
    <row r="283" spans="1:9" x14ac:dyDescent="0.2">
      <c r="A283" s="176"/>
      <c r="B283" s="129"/>
      <c r="C283" s="129"/>
      <c r="D283" s="129"/>
      <c r="E283" s="130"/>
      <c r="F283" s="177"/>
      <c r="G283" s="131"/>
      <c r="H283" s="131"/>
      <c r="I283" s="131"/>
    </row>
    <row r="284" spans="1:9" x14ac:dyDescent="0.2">
      <c r="A284" s="176"/>
      <c r="B284" s="129"/>
      <c r="C284" s="129"/>
      <c r="D284" s="129"/>
      <c r="E284" s="130"/>
      <c r="F284" s="177"/>
      <c r="G284" s="131"/>
      <c r="H284" s="131"/>
      <c r="I284" s="131"/>
    </row>
    <row r="285" spans="1:9" x14ac:dyDescent="0.2">
      <c r="A285" s="176"/>
      <c r="B285" s="129"/>
      <c r="C285" s="129"/>
      <c r="D285" s="129"/>
      <c r="E285" s="130"/>
      <c r="F285" s="177"/>
      <c r="G285" s="131"/>
      <c r="H285" s="131"/>
      <c r="I285" s="131"/>
    </row>
    <row r="286" spans="1:9" x14ac:dyDescent="0.2">
      <c r="A286" s="176"/>
      <c r="B286" s="129"/>
      <c r="C286" s="129"/>
      <c r="D286" s="129"/>
      <c r="E286" s="130"/>
      <c r="F286" s="177"/>
      <c r="G286" s="131"/>
      <c r="H286" s="131"/>
      <c r="I286" s="131"/>
    </row>
    <row r="287" spans="1:9" x14ac:dyDescent="0.2">
      <c r="A287" s="176"/>
      <c r="B287" s="129"/>
      <c r="C287" s="129"/>
      <c r="D287" s="129"/>
      <c r="E287" s="130"/>
      <c r="F287" s="177"/>
      <c r="G287" s="131"/>
      <c r="H287" s="131"/>
      <c r="I287" s="131"/>
    </row>
    <row r="288" spans="1:9" x14ac:dyDescent="0.2">
      <c r="A288" s="176"/>
      <c r="B288" s="129"/>
      <c r="C288" s="129"/>
      <c r="D288" s="129"/>
      <c r="E288" s="130"/>
      <c r="F288" s="177"/>
      <c r="G288" s="131"/>
      <c r="H288" s="131"/>
      <c r="I288" s="131"/>
    </row>
    <row r="289" spans="1:9" x14ac:dyDescent="0.2">
      <c r="A289" s="176"/>
      <c r="B289" s="129"/>
      <c r="C289" s="129"/>
      <c r="D289" s="129"/>
      <c r="E289" s="130"/>
      <c r="F289" s="177"/>
      <c r="G289" s="131"/>
      <c r="H289" s="131"/>
      <c r="I289" s="131"/>
    </row>
    <row r="290" spans="1:9" x14ac:dyDescent="0.2">
      <c r="A290" s="176"/>
      <c r="B290" s="129"/>
      <c r="C290" s="129"/>
      <c r="D290" s="129"/>
      <c r="E290" s="130"/>
      <c r="F290" s="177"/>
      <c r="G290" s="131"/>
      <c r="H290" s="131"/>
      <c r="I290" s="131"/>
    </row>
    <row r="291" spans="1:9" x14ac:dyDescent="0.2">
      <c r="A291" s="176"/>
      <c r="B291" s="129"/>
      <c r="C291" s="129"/>
      <c r="D291" s="129"/>
      <c r="E291" s="130"/>
      <c r="F291" s="177"/>
      <c r="G291" s="131"/>
      <c r="H291" s="131"/>
      <c r="I291" s="131"/>
    </row>
    <row r="292" spans="1:9" x14ac:dyDescent="0.2">
      <c r="A292" s="176"/>
      <c r="B292" s="129"/>
      <c r="C292" s="129"/>
      <c r="D292" s="129"/>
      <c r="E292" s="130"/>
      <c r="F292" s="177"/>
      <c r="G292" s="131"/>
      <c r="H292" s="131"/>
      <c r="I292" s="131"/>
    </row>
    <row r="293" spans="1:9" x14ac:dyDescent="0.2">
      <c r="A293" s="176"/>
      <c r="B293" s="129"/>
      <c r="C293" s="129"/>
      <c r="D293" s="129"/>
      <c r="E293" s="130"/>
      <c r="F293" s="177"/>
      <c r="G293" s="131"/>
      <c r="H293" s="131"/>
      <c r="I293" s="131"/>
    </row>
    <row r="294" spans="1:9" x14ac:dyDescent="0.2">
      <c r="A294" s="176"/>
      <c r="B294" s="129"/>
      <c r="C294" s="129"/>
      <c r="D294" s="129"/>
      <c r="E294" s="130"/>
      <c r="F294" s="177"/>
      <c r="G294" s="131"/>
      <c r="H294" s="131"/>
      <c r="I294" s="131"/>
    </row>
    <row r="295" spans="1:9" x14ac:dyDescent="0.2">
      <c r="A295" s="176"/>
      <c r="B295" s="129"/>
      <c r="C295" s="129"/>
      <c r="D295" s="129"/>
      <c r="E295" s="130"/>
      <c r="F295" s="177"/>
      <c r="G295" s="131"/>
      <c r="H295" s="131"/>
      <c r="I295" s="131"/>
    </row>
    <row r="296" spans="1:9" x14ac:dyDescent="0.2">
      <c r="A296" s="176"/>
      <c r="B296" s="129"/>
      <c r="C296" s="129"/>
      <c r="D296" s="129"/>
      <c r="E296" s="130"/>
      <c r="F296" s="177"/>
      <c r="G296" s="131"/>
      <c r="H296" s="131"/>
      <c r="I296" s="131"/>
    </row>
    <row r="297" spans="1:9" x14ac:dyDescent="0.2">
      <c r="A297" s="176"/>
      <c r="B297" s="129"/>
      <c r="C297" s="129"/>
      <c r="D297" s="129"/>
      <c r="E297" s="130"/>
      <c r="F297" s="177"/>
      <c r="G297" s="131"/>
      <c r="H297" s="131"/>
      <c r="I297" s="131"/>
    </row>
    <row r="298" spans="1:9" x14ac:dyDescent="0.2">
      <c r="A298" s="176"/>
      <c r="B298" s="129"/>
      <c r="C298" s="129"/>
      <c r="D298" s="129"/>
      <c r="E298" s="130"/>
      <c r="F298" s="177"/>
      <c r="G298" s="131"/>
      <c r="H298" s="131"/>
      <c r="I298" s="131"/>
    </row>
    <row r="299" spans="1:9" x14ac:dyDescent="0.2">
      <c r="A299" s="176"/>
      <c r="B299" s="129"/>
      <c r="C299" s="129"/>
      <c r="D299" s="129"/>
      <c r="E299" s="130"/>
      <c r="F299" s="177"/>
      <c r="G299" s="131"/>
      <c r="H299" s="131"/>
      <c r="I299" s="131"/>
    </row>
    <row r="300" spans="1:9" x14ac:dyDescent="0.2">
      <c r="A300" s="176"/>
      <c r="B300" s="129"/>
      <c r="C300" s="129"/>
      <c r="D300" s="129"/>
      <c r="E300" s="130"/>
      <c r="F300" s="177"/>
      <c r="G300" s="131"/>
      <c r="H300" s="131"/>
      <c r="I300" s="131"/>
    </row>
    <row r="301" spans="1:9" x14ac:dyDescent="0.2">
      <c r="A301" s="176"/>
      <c r="B301" s="129"/>
      <c r="C301" s="129"/>
      <c r="D301" s="129"/>
      <c r="E301" s="130"/>
      <c r="F301" s="177"/>
      <c r="G301" s="131"/>
      <c r="H301" s="131"/>
      <c r="I301" s="131"/>
    </row>
    <row r="302" spans="1:9" x14ac:dyDescent="0.2">
      <c r="A302" s="176"/>
      <c r="B302" s="129"/>
      <c r="C302" s="129"/>
      <c r="D302" s="129"/>
      <c r="E302" s="130"/>
      <c r="F302" s="177"/>
      <c r="G302" s="131"/>
      <c r="H302" s="131"/>
      <c r="I302" s="131"/>
    </row>
    <row r="303" spans="1:9" x14ac:dyDescent="0.2">
      <c r="A303" s="176"/>
      <c r="B303" s="129"/>
      <c r="C303" s="129"/>
      <c r="D303" s="129"/>
      <c r="E303" s="130"/>
      <c r="F303" s="177"/>
      <c r="G303" s="131"/>
      <c r="H303" s="131"/>
      <c r="I303" s="131"/>
    </row>
    <row r="304" spans="1:9" x14ac:dyDescent="0.2">
      <c r="A304" s="176"/>
      <c r="B304" s="129"/>
      <c r="C304" s="129"/>
      <c r="D304" s="129"/>
      <c r="E304" s="130"/>
      <c r="F304" s="177"/>
      <c r="G304" s="131"/>
      <c r="H304" s="131"/>
      <c r="I304" s="131"/>
    </row>
    <row r="305" spans="1:9" x14ac:dyDescent="0.2">
      <c r="A305" s="176"/>
      <c r="B305" s="129"/>
      <c r="C305" s="129"/>
      <c r="D305" s="129"/>
      <c r="E305" s="130"/>
      <c r="F305" s="177"/>
      <c r="G305" s="131"/>
      <c r="H305" s="131"/>
      <c r="I305" s="131"/>
    </row>
    <row r="306" spans="1:9" x14ac:dyDescent="0.2">
      <c r="A306" s="176"/>
      <c r="B306" s="129"/>
      <c r="C306" s="129"/>
      <c r="D306" s="129"/>
      <c r="E306" s="130"/>
      <c r="F306" s="177"/>
      <c r="G306" s="131"/>
      <c r="H306" s="131"/>
      <c r="I306" s="131"/>
    </row>
    <row r="307" spans="1:9" x14ac:dyDescent="0.2">
      <c r="A307" s="176"/>
      <c r="B307" s="129"/>
      <c r="C307" s="129"/>
      <c r="D307" s="129"/>
      <c r="E307" s="130"/>
      <c r="F307" s="177"/>
      <c r="G307" s="131"/>
      <c r="H307" s="131"/>
      <c r="I307" s="131"/>
    </row>
    <row r="308" spans="1:9" x14ac:dyDescent="0.2">
      <c r="A308" s="176"/>
      <c r="B308" s="129"/>
      <c r="C308" s="129"/>
      <c r="D308" s="129"/>
      <c r="E308" s="130"/>
      <c r="F308" s="177"/>
      <c r="G308" s="131"/>
      <c r="H308" s="131"/>
      <c r="I308" s="131"/>
    </row>
    <row r="309" spans="1:9" x14ac:dyDescent="0.2">
      <c r="A309" s="176"/>
      <c r="B309" s="129"/>
      <c r="C309" s="129"/>
      <c r="D309" s="129"/>
      <c r="E309" s="130"/>
      <c r="F309" s="177"/>
      <c r="G309" s="131"/>
      <c r="H309" s="131"/>
      <c r="I309" s="131"/>
    </row>
    <row r="310" spans="1:9" x14ac:dyDescent="0.2">
      <c r="A310" s="176"/>
      <c r="B310" s="129"/>
      <c r="C310" s="129"/>
      <c r="D310" s="129"/>
      <c r="E310" s="130"/>
      <c r="F310" s="177"/>
      <c r="G310" s="131"/>
      <c r="H310" s="131"/>
      <c r="I310" s="131"/>
    </row>
    <row r="311" spans="1:9" x14ac:dyDescent="0.2">
      <c r="A311" s="176"/>
      <c r="B311" s="129"/>
      <c r="C311" s="129"/>
      <c r="D311" s="129"/>
      <c r="E311" s="130"/>
      <c r="F311" s="177"/>
      <c r="G311" s="131"/>
      <c r="H311" s="131"/>
      <c r="I311" s="131"/>
    </row>
    <row r="312" spans="1:9" x14ac:dyDescent="0.2">
      <c r="A312" s="176"/>
      <c r="B312" s="129"/>
      <c r="C312" s="129"/>
      <c r="D312" s="129"/>
      <c r="E312" s="130"/>
      <c r="F312" s="177"/>
      <c r="G312" s="131"/>
      <c r="H312" s="131"/>
      <c r="I312" s="131"/>
    </row>
    <row r="313" spans="1:9" x14ac:dyDescent="0.2">
      <c r="A313" s="176"/>
      <c r="B313" s="129"/>
      <c r="C313" s="129"/>
      <c r="D313" s="129"/>
      <c r="E313" s="130"/>
      <c r="F313" s="177"/>
      <c r="G313" s="131"/>
      <c r="H313" s="131"/>
      <c r="I313" s="131"/>
    </row>
    <row r="314" spans="1:9" x14ac:dyDescent="0.2">
      <c r="A314" s="176"/>
      <c r="B314" s="129"/>
      <c r="C314" s="129"/>
      <c r="D314" s="129"/>
      <c r="E314" s="130"/>
      <c r="F314" s="177"/>
      <c r="G314" s="131"/>
      <c r="H314" s="131"/>
      <c r="I314" s="131"/>
    </row>
    <row r="315" spans="1:9" x14ac:dyDescent="0.2">
      <c r="A315" s="176"/>
      <c r="B315" s="129"/>
      <c r="C315" s="129"/>
      <c r="D315" s="129"/>
      <c r="E315" s="130"/>
      <c r="F315" s="177"/>
      <c r="G315" s="131"/>
      <c r="H315" s="131"/>
      <c r="I315" s="131"/>
    </row>
    <row r="316" spans="1:9" x14ac:dyDescent="0.2">
      <c r="A316" s="176"/>
      <c r="B316" s="129"/>
      <c r="C316" s="129"/>
      <c r="D316" s="129"/>
      <c r="E316" s="130"/>
      <c r="F316" s="177"/>
      <c r="G316" s="131"/>
      <c r="H316" s="131"/>
      <c r="I316" s="131"/>
    </row>
    <row r="317" spans="1:9" x14ac:dyDescent="0.2">
      <c r="A317" s="176"/>
      <c r="B317" s="129"/>
      <c r="C317" s="129"/>
      <c r="D317" s="129"/>
      <c r="E317" s="130"/>
      <c r="F317" s="177"/>
      <c r="G317" s="131"/>
      <c r="H317" s="131"/>
      <c r="I317" s="131"/>
    </row>
    <row r="318" spans="1:9" x14ac:dyDescent="0.2">
      <c r="A318" s="176"/>
      <c r="B318" s="129"/>
      <c r="C318" s="129"/>
      <c r="D318" s="129"/>
      <c r="E318" s="130"/>
      <c r="F318" s="177"/>
      <c r="G318" s="131"/>
      <c r="H318" s="131"/>
      <c r="I318" s="131"/>
    </row>
    <row r="319" spans="1:9" x14ac:dyDescent="0.2">
      <c r="A319" s="176"/>
      <c r="B319" s="129"/>
      <c r="C319" s="129"/>
      <c r="D319" s="129"/>
      <c r="E319" s="130"/>
      <c r="F319" s="177"/>
      <c r="G319" s="131"/>
      <c r="H319" s="131"/>
      <c r="I319" s="131"/>
    </row>
    <row r="320" spans="1:9" x14ac:dyDescent="0.2">
      <c r="A320" s="176"/>
      <c r="B320" s="129"/>
      <c r="C320" s="129"/>
      <c r="D320" s="129"/>
      <c r="E320" s="130"/>
      <c r="F320" s="177"/>
      <c r="G320" s="131"/>
      <c r="H320" s="131"/>
      <c r="I320" s="131"/>
    </row>
    <row r="321" spans="1:9" x14ac:dyDescent="0.2">
      <c r="A321" s="176"/>
      <c r="B321" s="129"/>
      <c r="C321" s="129"/>
      <c r="D321" s="129"/>
      <c r="E321" s="130"/>
      <c r="F321" s="177"/>
      <c r="G321" s="131"/>
      <c r="H321" s="131"/>
      <c r="I321" s="131"/>
    </row>
    <row r="322" spans="1:9" x14ac:dyDescent="0.2">
      <c r="A322" s="176"/>
      <c r="B322" s="129"/>
      <c r="C322" s="129"/>
      <c r="D322" s="129"/>
      <c r="E322" s="130"/>
      <c r="F322" s="177"/>
      <c r="G322" s="131"/>
      <c r="H322" s="131"/>
      <c r="I322" s="131"/>
    </row>
    <row r="323" spans="1:9" x14ac:dyDescent="0.2">
      <c r="A323" s="176"/>
      <c r="B323" s="129"/>
      <c r="C323" s="129"/>
      <c r="D323" s="129"/>
      <c r="E323" s="130"/>
      <c r="F323" s="177"/>
      <c r="G323" s="131"/>
      <c r="H323" s="131"/>
      <c r="I323" s="131"/>
    </row>
    <row r="324" spans="1:9" x14ac:dyDescent="0.2">
      <c r="A324" s="176"/>
      <c r="B324" s="129"/>
      <c r="C324" s="129"/>
      <c r="D324" s="129"/>
      <c r="E324" s="130"/>
      <c r="F324" s="177"/>
      <c r="G324" s="131"/>
      <c r="H324" s="131"/>
      <c r="I324" s="131"/>
    </row>
    <row r="325" spans="1:9" x14ac:dyDescent="0.2">
      <c r="A325" s="176"/>
      <c r="B325" s="129"/>
      <c r="C325" s="129"/>
      <c r="D325" s="129"/>
      <c r="E325" s="130"/>
      <c r="F325" s="177"/>
      <c r="G325" s="131"/>
      <c r="H325" s="131"/>
      <c r="I325" s="131"/>
    </row>
    <row r="326" spans="1:9" x14ac:dyDescent="0.2">
      <c r="A326" s="176"/>
      <c r="B326" s="129"/>
      <c r="C326" s="129"/>
      <c r="D326" s="129"/>
      <c r="E326" s="130"/>
      <c r="F326" s="177"/>
      <c r="G326" s="131"/>
      <c r="H326" s="131"/>
      <c r="I326" s="131"/>
    </row>
    <row r="327" spans="1:9" x14ac:dyDescent="0.2">
      <c r="A327" s="176"/>
      <c r="B327" s="129"/>
      <c r="C327" s="129"/>
      <c r="D327" s="129"/>
      <c r="E327" s="130"/>
      <c r="F327" s="177"/>
      <c r="G327" s="131"/>
      <c r="H327" s="131"/>
      <c r="I327" s="131"/>
    </row>
    <row r="328" spans="1:9" x14ac:dyDescent="0.2">
      <c r="A328" s="176"/>
      <c r="B328" s="129"/>
      <c r="C328" s="129"/>
      <c r="D328" s="129"/>
      <c r="E328" s="130"/>
      <c r="F328" s="177"/>
      <c r="G328" s="131"/>
      <c r="H328" s="131"/>
      <c r="I328" s="131"/>
    </row>
    <row r="329" spans="1:9" x14ac:dyDescent="0.2">
      <c r="A329" s="176"/>
      <c r="B329" s="129"/>
      <c r="C329" s="129"/>
      <c r="D329" s="129"/>
      <c r="E329" s="130"/>
      <c r="F329" s="177"/>
      <c r="G329" s="131"/>
      <c r="H329" s="131"/>
      <c r="I329" s="131"/>
    </row>
    <row r="330" spans="1:9" x14ac:dyDescent="0.2">
      <c r="A330" s="176"/>
      <c r="B330" s="129"/>
      <c r="C330" s="129"/>
      <c r="D330" s="129"/>
      <c r="E330" s="130"/>
      <c r="F330" s="177"/>
      <c r="G330" s="131"/>
      <c r="H330" s="131"/>
      <c r="I330" s="131"/>
    </row>
    <row r="331" spans="1:9" x14ac:dyDescent="0.2">
      <c r="A331" s="176"/>
      <c r="B331" s="129"/>
      <c r="C331" s="129"/>
      <c r="D331" s="129"/>
      <c r="E331" s="130"/>
      <c r="F331" s="177"/>
      <c r="G331" s="131"/>
      <c r="H331" s="131"/>
      <c r="I331" s="131"/>
    </row>
    <row r="332" spans="1:9" x14ac:dyDescent="0.2">
      <c r="A332" s="176"/>
      <c r="B332" s="129"/>
      <c r="C332" s="129"/>
      <c r="D332" s="129"/>
      <c r="E332" s="130"/>
      <c r="F332" s="177"/>
      <c r="G332" s="131"/>
      <c r="H332" s="131"/>
      <c r="I332" s="131"/>
    </row>
    <row r="333" spans="1:9" x14ac:dyDescent="0.2">
      <c r="A333" s="176"/>
      <c r="B333" s="129"/>
      <c r="C333" s="129"/>
      <c r="D333" s="129"/>
      <c r="E333" s="130"/>
      <c r="F333" s="177"/>
      <c r="G333" s="131"/>
      <c r="H333" s="131"/>
      <c r="I333" s="131"/>
    </row>
    <row r="334" spans="1:9" x14ac:dyDescent="0.2">
      <c r="A334" s="176"/>
      <c r="B334" s="129"/>
      <c r="C334" s="129"/>
      <c r="D334" s="129"/>
      <c r="E334" s="130"/>
      <c r="F334" s="177"/>
      <c r="G334" s="131"/>
      <c r="H334" s="131"/>
      <c r="I334" s="131"/>
    </row>
    <row r="335" spans="1:9" x14ac:dyDescent="0.2">
      <c r="A335" s="176"/>
      <c r="B335" s="129"/>
      <c r="C335" s="129"/>
      <c r="D335" s="129"/>
      <c r="E335" s="130"/>
      <c r="F335" s="177"/>
      <c r="G335" s="131"/>
      <c r="H335" s="131"/>
      <c r="I335" s="131"/>
    </row>
    <row r="336" spans="1:9" x14ac:dyDescent="0.2">
      <c r="A336" s="176"/>
      <c r="B336" s="129"/>
      <c r="C336" s="129"/>
      <c r="D336" s="129"/>
      <c r="E336" s="130"/>
      <c r="F336" s="177"/>
      <c r="G336" s="131"/>
      <c r="H336" s="131"/>
      <c r="I336" s="131"/>
    </row>
    <row r="337" spans="1:9" x14ac:dyDescent="0.2">
      <c r="A337" s="176"/>
      <c r="B337" s="129"/>
      <c r="C337" s="129"/>
      <c r="D337" s="129"/>
      <c r="E337" s="130"/>
      <c r="F337" s="177"/>
      <c r="G337" s="131"/>
      <c r="H337" s="131"/>
      <c r="I337" s="131"/>
    </row>
    <row r="338" spans="1:9" x14ac:dyDescent="0.2">
      <c r="A338" s="176"/>
      <c r="B338" s="129"/>
      <c r="C338" s="129"/>
      <c r="D338" s="129"/>
      <c r="E338" s="130"/>
      <c r="F338" s="177"/>
      <c r="G338" s="131"/>
      <c r="H338" s="131"/>
      <c r="I338" s="131"/>
    </row>
    <row r="339" spans="1:9" x14ac:dyDescent="0.2">
      <c r="A339" s="176"/>
      <c r="B339" s="129"/>
      <c r="C339" s="129"/>
      <c r="D339" s="129"/>
      <c r="E339" s="130"/>
      <c r="F339" s="177"/>
      <c r="G339" s="131"/>
      <c r="H339" s="131"/>
      <c r="I339" s="131"/>
    </row>
    <row r="340" spans="1:9" x14ac:dyDescent="0.2">
      <c r="A340" s="176"/>
      <c r="B340" s="129"/>
      <c r="C340" s="129"/>
      <c r="D340" s="129"/>
      <c r="E340" s="130"/>
      <c r="F340" s="177"/>
      <c r="G340" s="131"/>
      <c r="H340" s="131"/>
      <c r="I340" s="131"/>
    </row>
    <row r="341" spans="1:9" x14ac:dyDescent="0.2">
      <c r="A341" s="176"/>
      <c r="B341" s="129"/>
      <c r="C341" s="129"/>
      <c r="D341" s="129"/>
      <c r="E341" s="130"/>
      <c r="F341" s="177"/>
      <c r="G341" s="131"/>
      <c r="H341" s="131"/>
      <c r="I341" s="131"/>
    </row>
    <row r="342" spans="1:9" x14ac:dyDescent="0.2">
      <c r="A342" s="176"/>
      <c r="B342" s="129"/>
      <c r="C342" s="129"/>
      <c r="D342" s="129"/>
      <c r="E342" s="130"/>
      <c r="F342" s="177"/>
      <c r="G342" s="131"/>
      <c r="H342" s="131"/>
      <c r="I342" s="131"/>
    </row>
    <row r="343" spans="1:9" x14ac:dyDescent="0.2">
      <c r="A343" s="176"/>
      <c r="B343" s="129"/>
      <c r="C343" s="129"/>
      <c r="D343" s="129"/>
      <c r="E343" s="130"/>
      <c r="F343" s="177"/>
      <c r="G343" s="131"/>
      <c r="H343" s="131"/>
      <c r="I343" s="131"/>
    </row>
    <row r="344" spans="1:9" x14ac:dyDescent="0.2">
      <c r="A344" s="176"/>
      <c r="B344" s="129"/>
      <c r="C344" s="129"/>
      <c r="D344" s="129"/>
      <c r="E344" s="130"/>
      <c r="F344" s="177"/>
      <c r="G344" s="131"/>
      <c r="H344" s="131"/>
      <c r="I344" s="131"/>
    </row>
    <row r="345" spans="1:9" x14ac:dyDescent="0.2">
      <c r="A345" s="176"/>
      <c r="B345" s="129"/>
      <c r="C345" s="129"/>
      <c r="D345" s="129"/>
      <c r="E345" s="130"/>
      <c r="F345" s="177"/>
      <c r="G345" s="131"/>
      <c r="H345" s="131"/>
      <c r="I345" s="131"/>
    </row>
    <row r="346" spans="1:9" x14ac:dyDescent="0.2">
      <c r="A346" s="176"/>
      <c r="B346" s="129"/>
      <c r="C346" s="129"/>
      <c r="D346" s="129"/>
      <c r="E346" s="130"/>
      <c r="F346" s="177"/>
      <c r="G346" s="131"/>
      <c r="H346" s="131"/>
      <c r="I346" s="131"/>
    </row>
    <row r="347" spans="1:9" x14ac:dyDescent="0.2">
      <c r="A347" s="176"/>
      <c r="B347" s="129"/>
      <c r="C347" s="129"/>
      <c r="D347" s="129"/>
      <c r="E347" s="130"/>
      <c r="F347" s="177"/>
      <c r="G347" s="131"/>
      <c r="H347" s="131"/>
      <c r="I347" s="131"/>
    </row>
    <row r="348" spans="1:9" x14ac:dyDescent="0.2">
      <c r="A348" s="176"/>
      <c r="B348" s="129"/>
      <c r="C348" s="129"/>
      <c r="D348" s="129"/>
      <c r="E348" s="130"/>
      <c r="F348" s="177"/>
      <c r="G348" s="131"/>
      <c r="H348" s="131"/>
      <c r="I348" s="131"/>
    </row>
    <row r="349" spans="1:9" x14ac:dyDescent="0.2">
      <c r="A349" s="176"/>
      <c r="B349" s="129"/>
      <c r="C349" s="129"/>
      <c r="D349" s="129"/>
      <c r="E349" s="130"/>
      <c r="F349" s="177"/>
      <c r="G349" s="131"/>
      <c r="H349" s="131"/>
      <c r="I349" s="131"/>
    </row>
    <row r="350" spans="1:9" x14ac:dyDescent="0.2">
      <c r="A350" s="176"/>
      <c r="B350" s="129"/>
      <c r="C350" s="129"/>
      <c r="D350" s="129"/>
      <c r="E350" s="130"/>
      <c r="F350" s="177"/>
      <c r="G350" s="131"/>
      <c r="H350" s="131"/>
      <c r="I350" s="131"/>
    </row>
    <row r="351" spans="1:9" x14ac:dyDescent="0.2">
      <c r="A351" s="176"/>
      <c r="B351" s="129"/>
      <c r="C351" s="129"/>
      <c r="D351" s="129"/>
      <c r="E351" s="130"/>
      <c r="F351" s="177"/>
      <c r="G351" s="131"/>
      <c r="H351" s="131"/>
      <c r="I351" s="131"/>
    </row>
    <row r="352" spans="1:9" x14ac:dyDescent="0.2">
      <c r="A352" s="176"/>
      <c r="B352" s="129"/>
      <c r="C352" s="129"/>
      <c r="D352" s="129"/>
      <c r="E352" s="130"/>
      <c r="F352" s="177"/>
      <c r="G352" s="131"/>
      <c r="H352" s="131"/>
      <c r="I352" s="131"/>
    </row>
    <row r="353" spans="1:9" x14ac:dyDescent="0.2">
      <c r="A353" s="176"/>
      <c r="B353" s="129"/>
      <c r="C353" s="129"/>
      <c r="D353" s="129"/>
      <c r="E353" s="130"/>
      <c r="F353" s="177"/>
      <c r="G353" s="131"/>
      <c r="H353" s="131"/>
      <c r="I353" s="131"/>
    </row>
    <row r="354" spans="1:9" x14ac:dyDescent="0.2">
      <c r="A354" s="176"/>
      <c r="B354" s="129"/>
      <c r="C354" s="129"/>
      <c r="D354" s="129"/>
      <c r="E354" s="130"/>
      <c r="F354" s="177"/>
      <c r="G354" s="131"/>
      <c r="H354" s="131"/>
      <c r="I354" s="131"/>
    </row>
    <row r="355" spans="1:9" x14ac:dyDescent="0.2">
      <c r="A355" s="176"/>
      <c r="B355" s="129"/>
      <c r="C355" s="129"/>
      <c r="D355" s="129"/>
      <c r="E355" s="130"/>
      <c r="F355" s="177"/>
      <c r="G355" s="131"/>
      <c r="H355" s="131"/>
      <c r="I355" s="131"/>
    </row>
    <row r="356" spans="1:9" x14ac:dyDescent="0.2">
      <c r="A356" s="176"/>
      <c r="B356" s="129"/>
      <c r="C356" s="129"/>
      <c r="D356" s="129"/>
      <c r="E356" s="130"/>
      <c r="F356" s="177"/>
      <c r="G356" s="131"/>
      <c r="H356" s="131"/>
      <c r="I356" s="131"/>
    </row>
    <row r="357" spans="1:9" x14ac:dyDescent="0.2">
      <c r="A357" s="176"/>
      <c r="B357" s="129"/>
      <c r="C357" s="129"/>
      <c r="D357" s="129"/>
      <c r="E357" s="130"/>
      <c r="F357" s="177"/>
      <c r="G357" s="131"/>
      <c r="H357" s="131"/>
      <c r="I357" s="131"/>
    </row>
    <row r="358" spans="1:9" x14ac:dyDescent="0.2">
      <c r="A358" s="176"/>
      <c r="B358" s="129"/>
      <c r="C358" s="129"/>
      <c r="D358" s="129"/>
      <c r="E358" s="130"/>
      <c r="F358" s="177"/>
      <c r="G358" s="131"/>
      <c r="H358" s="131"/>
      <c r="I358" s="131"/>
    </row>
    <row r="359" spans="1:9" x14ac:dyDescent="0.2">
      <c r="A359" s="176"/>
      <c r="B359" s="129"/>
      <c r="C359" s="129"/>
      <c r="D359" s="129"/>
      <c r="E359" s="130"/>
      <c r="F359" s="177"/>
      <c r="G359" s="131"/>
      <c r="H359" s="131"/>
      <c r="I359" s="131"/>
    </row>
    <row r="360" spans="1:9" x14ac:dyDescent="0.2">
      <c r="A360" s="176"/>
      <c r="B360" s="129"/>
      <c r="C360" s="129"/>
      <c r="D360" s="129"/>
      <c r="E360" s="130"/>
      <c r="F360" s="177"/>
      <c r="G360" s="131"/>
      <c r="H360" s="131"/>
      <c r="I360" s="131"/>
    </row>
    <row r="361" spans="1:9" x14ac:dyDescent="0.2">
      <c r="A361" s="176"/>
      <c r="B361" s="129"/>
      <c r="C361" s="129"/>
      <c r="D361" s="129"/>
      <c r="E361" s="130"/>
      <c r="F361" s="177"/>
      <c r="G361" s="131"/>
      <c r="H361" s="131"/>
      <c r="I361" s="131"/>
    </row>
    <row r="362" spans="1:9" x14ac:dyDescent="0.2">
      <c r="A362" s="176"/>
      <c r="B362" s="129"/>
      <c r="C362" s="129"/>
      <c r="D362" s="129"/>
      <c r="E362" s="130"/>
      <c r="F362" s="177"/>
      <c r="G362" s="131"/>
      <c r="H362" s="131"/>
      <c r="I362" s="131"/>
    </row>
    <row r="363" spans="1:9" x14ac:dyDescent="0.2">
      <c r="A363" s="176"/>
      <c r="B363" s="129"/>
      <c r="C363" s="129"/>
      <c r="D363" s="129"/>
      <c r="E363" s="130"/>
      <c r="F363" s="177"/>
      <c r="G363" s="131"/>
      <c r="H363" s="131"/>
      <c r="I363" s="131"/>
    </row>
    <row r="364" spans="1:9" x14ac:dyDescent="0.2">
      <c r="A364" s="176"/>
      <c r="B364" s="129"/>
      <c r="C364" s="129"/>
      <c r="D364" s="129"/>
      <c r="E364" s="130"/>
      <c r="F364" s="177"/>
      <c r="G364" s="131"/>
      <c r="H364" s="131"/>
      <c r="I364" s="131"/>
    </row>
    <row r="365" spans="1:9" x14ac:dyDescent="0.2">
      <c r="A365" s="176"/>
      <c r="B365" s="129"/>
      <c r="C365" s="129"/>
      <c r="D365" s="129"/>
      <c r="E365" s="130"/>
      <c r="F365" s="177"/>
      <c r="G365" s="131"/>
      <c r="H365" s="131"/>
      <c r="I365" s="131"/>
    </row>
    <row r="366" spans="1:9" x14ac:dyDescent="0.2">
      <c r="A366" s="176"/>
      <c r="B366" s="129"/>
      <c r="C366" s="129"/>
      <c r="D366" s="129"/>
      <c r="E366" s="130"/>
      <c r="F366" s="177"/>
      <c r="G366" s="131"/>
      <c r="H366" s="131"/>
      <c r="I366" s="131"/>
    </row>
    <row r="367" spans="1:9" x14ac:dyDescent="0.2">
      <c r="A367" s="176"/>
      <c r="B367" s="129"/>
      <c r="C367" s="129"/>
      <c r="D367" s="129"/>
      <c r="E367" s="130"/>
      <c r="F367" s="177"/>
      <c r="G367" s="131"/>
      <c r="H367" s="131"/>
      <c r="I367" s="131"/>
    </row>
    <row r="368" spans="1:9" x14ac:dyDescent="0.2">
      <c r="A368" s="176"/>
      <c r="B368" s="129"/>
      <c r="C368" s="129"/>
      <c r="D368" s="129"/>
      <c r="E368" s="130"/>
      <c r="F368" s="177"/>
      <c r="G368" s="131"/>
      <c r="H368" s="131"/>
      <c r="I368" s="131"/>
    </row>
    <row r="369" spans="1:9" x14ac:dyDescent="0.2">
      <c r="A369" s="176"/>
      <c r="B369" s="129"/>
      <c r="C369" s="129"/>
      <c r="D369" s="129"/>
      <c r="E369" s="130"/>
      <c r="F369" s="177"/>
      <c r="G369" s="131"/>
      <c r="H369" s="131"/>
      <c r="I369" s="131"/>
    </row>
    <row r="370" spans="1:9" x14ac:dyDescent="0.2">
      <c r="A370" s="176"/>
      <c r="B370" s="129"/>
      <c r="C370" s="129"/>
      <c r="D370" s="129"/>
      <c r="E370" s="130"/>
      <c r="F370" s="177"/>
      <c r="G370" s="131"/>
      <c r="H370" s="131"/>
      <c r="I370" s="131"/>
    </row>
    <row r="371" spans="1:9" x14ac:dyDescent="0.2">
      <c r="A371" s="176"/>
      <c r="B371" s="129"/>
      <c r="C371" s="129"/>
      <c r="D371" s="129"/>
      <c r="E371" s="130"/>
      <c r="F371" s="177"/>
      <c r="G371" s="131"/>
      <c r="H371" s="131"/>
      <c r="I371" s="131"/>
    </row>
    <row r="372" spans="1:9" x14ac:dyDescent="0.2">
      <c r="A372" s="176"/>
      <c r="B372" s="129"/>
      <c r="C372" s="129"/>
      <c r="D372" s="129"/>
      <c r="E372" s="130"/>
      <c r="F372" s="177"/>
      <c r="G372" s="131"/>
      <c r="H372" s="131"/>
      <c r="I372" s="131"/>
    </row>
    <row r="373" spans="1:9" x14ac:dyDescent="0.2">
      <c r="A373" s="176"/>
      <c r="B373" s="129"/>
      <c r="C373" s="129"/>
      <c r="D373" s="129"/>
      <c r="E373" s="130"/>
      <c r="F373" s="177"/>
      <c r="G373" s="131"/>
      <c r="H373" s="131"/>
      <c r="I373" s="131"/>
    </row>
    <row r="374" spans="1:9" x14ac:dyDescent="0.2">
      <c r="A374" s="176"/>
      <c r="B374" s="129"/>
      <c r="C374" s="129"/>
      <c r="D374" s="129"/>
      <c r="E374" s="130"/>
      <c r="F374" s="177"/>
      <c r="G374" s="131"/>
      <c r="H374" s="131"/>
      <c r="I374" s="131"/>
    </row>
    <row r="375" spans="1:9" x14ac:dyDescent="0.2">
      <c r="A375" s="176"/>
      <c r="B375" s="129"/>
      <c r="C375" s="129"/>
      <c r="D375" s="129"/>
      <c r="E375" s="130"/>
      <c r="F375" s="177"/>
      <c r="G375" s="131"/>
      <c r="H375" s="131"/>
      <c r="I375" s="131"/>
    </row>
    <row r="376" spans="1:9" x14ac:dyDescent="0.2">
      <c r="A376" s="176"/>
      <c r="B376" s="129"/>
      <c r="C376" s="129"/>
      <c r="D376" s="129"/>
      <c r="E376" s="130"/>
      <c r="F376" s="177"/>
      <c r="G376" s="131"/>
      <c r="H376" s="131"/>
      <c r="I376" s="131"/>
    </row>
    <row r="377" spans="1:9" x14ac:dyDescent="0.2">
      <c r="A377" s="176"/>
      <c r="B377" s="129"/>
      <c r="C377" s="129"/>
      <c r="D377" s="129"/>
      <c r="E377" s="130"/>
      <c r="F377" s="177"/>
      <c r="G377" s="131"/>
      <c r="H377" s="131"/>
      <c r="I377" s="131"/>
    </row>
    <row r="378" spans="1:9" x14ac:dyDescent="0.2">
      <c r="A378" s="176"/>
      <c r="B378" s="129"/>
      <c r="C378" s="129"/>
      <c r="D378" s="129"/>
      <c r="E378" s="130"/>
      <c r="F378" s="177"/>
      <c r="G378" s="131"/>
      <c r="H378" s="131"/>
      <c r="I378" s="131"/>
    </row>
    <row r="379" spans="1:9" x14ac:dyDescent="0.2">
      <c r="A379" s="176"/>
      <c r="B379" s="129"/>
      <c r="C379" s="129"/>
      <c r="D379" s="129"/>
      <c r="E379" s="130"/>
      <c r="F379" s="177"/>
      <c r="G379" s="131"/>
      <c r="H379" s="131"/>
      <c r="I379" s="131"/>
    </row>
    <row r="380" spans="1:9" x14ac:dyDescent="0.2">
      <c r="A380" s="176"/>
      <c r="B380" s="129"/>
      <c r="C380" s="129"/>
      <c r="D380" s="129"/>
      <c r="E380" s="130"/>
      <c r="F380" s="177"/>
      <c r="G380" s="131"/>
      <c r="H380" s="131"/>
      <c r="I380" s="131"/>
    </row>
    <row r="381" spans="1:9" x14ac:dyDescent="0.2">
      <c r="A381" s="176"/>
      <c r="B381" s="129"/>
      <c r="C381" s="129"/>
      <c r="D381" s="129"/>
      <c r="E381" s="130"/>
      <c r="F381" s="177"/>
      <c r="G381" s="131"/>
      <c r="H381" s="131"/>
      <c r="I381" s="131"/>
    </row>
    <row r="382" spans="1:9" x14ac:dyDescent="0.2">
      <c r="A382" s="176"/>
      <c r="B382" s="129"/>
      <c r="C382" s="129"/>
      <c r="D382" s="129"/>
      <c r="E382" s="130"/>
      <c r="F382" s="177"/>
      <c r="G382" s="131"/>
      <c r="H382" s="131"/>
      <c r="I382" s="131"/>
    </row>
    <row r="383" spans="1:9" x14ac:dyDescent="0.2">
      <c r="A383" s="176"/>
      <c r="B383" s="129"/>
      <c r="C383" s="129"/>
      <c r="D383" s="129"/>
      <c r="E383" s="130"/>
      <c r="F383" s="177"/>
      <c r="G383" s="131"/>
      <c r="H383" s="131"/>
      <c r="I383" s="131"/>
    </row>
    <row r="384" spans="1:9" x14ac:dyDescent="0.2">
      <c r="A384" s="176"/>
      <c r="B384" s="129"/>
      <c r="C384" s="129"/>
      <c r="D384" s="129"/>
      <c r="E384" s="130"/>
      <c r="F384" s="177"/>
      <c r="G384" s="131"/>
      <c r="H384" s="131"/>
      <c r="I384" s="131"/>
    </row>
    <row r="385" spans="1:9" x14ac:dyDescent="0.2">
      <c r="A385" s="176"/>
      <c r="B385" s="129"/>
      <c r="C385" s="129"/>
      <c r="D385" s="129"/>
      <c r="E385" s="130"/>
      <c r="F385" s="177"/>
      <c r="G385" s="131"/>
      <c r="H385" s="131"/>
      <c r="I385" s="131"/>
    </row>
    <row r="386" spans="1:9" x14ac:dyDescent="0.2">
      <c r="A386" s="176"/>
      <c r="B386" s="129"/>
      <c r="C386" s="129"/>
      <c r="D386" s="129"/>
      <c r="E386" s="130"/>
      <c r="F386" s="177"/>
      <c r="G386" s="131"/>
      <c r="H386" s="131"/>
      <c r="I386" s="131"/>
    </row>
    <row r="387" spans="1:9" x14ac:dyDescent="0.2">
      <c r="A387" s="176"/>
      <c r="B387" s="129"/>
      <c r="C387" s="129"/>
      <c r="D387" s="129"/>
      <c r="E387" s="130"/>
      <c r="F387" s="177"/>
      <c r="G387" s="131"/>
      <c r="H387" s="131"/>
      <c r="I387" s="131"/>
    </row>
    <row r="388" spans="1:9" x14ac:dyDescent="0.2">
      <c r="A388" s="176"/>
      <c r="B388" s="129"/>
      <c r="C388" s="129"/>
      <c r="D388" s="129"/>
      <c r="E388" s="130"/>
      <c r="F388" s="177"/>
      <c r="G388" s="131"/>
      <c r="H388" s="131"/>
      <c r="I388" s="131"/>
    </row>
    <row r="389" spans="1:9" x14ac:dyDescent="0.2">
      <c r="A389" s="176"/>
      <c r="B389" s="129"/>
      <c r="C389" s="129"/>
      <c r="D389" s="129"/>
      <c r="E389" s="130"/>
      <c r="F389" s="177"/>
      <c r="G389" s="131"/>
      <c r="H389" s="131"/>
      <c r="I389" s="131"/>
    </row>
    <row r="390" spans="1:9" x14ac:dyDescent="0.2">
      <c r="A390" s="176"/>
      <c r="B390" s="129"/>
      <c r="C390" s="129"/>
      <c r="D390" s="129"/>
      <c r="E390" s="130"/>
      <c r="F390" s="177"/>
      <c r="G390" s="131"/>
      <c r="H390" s="131"/>
      <c r="I390" s="131"/>
    </row>
    <row r="391" spans="1:9" x14ac:dyDescent="0.2">
      <c r="A391" s="176"/>
      <c r="B391" s="129"/>
      <c r="C391" s="129"/>
      <c r="D391" s="129"/>
      <c r="E391" s="130"/>
      <c r="F391" s="177"/>
      <c r="G391" s="131"/>
      <c r="H391" s="131"/>
      <c r="I391" s="131"/>
    </row>
    <row r="392" spans="1:9" x14ac:dyDescent="0.2">
      <c r="A392" s="176"/>
      <c r="B392" s="129"/>
      <c r="C392" s="129"/>
      <c r="D392" s="129"/>
      <c r="E392" s="130"/>
      <c r="F392" s="177"/>
      <c r="G392" s="131"/>
      <c r="H392" s="131"/>
      <c r="I392" s="131"/>
    </row>
    <row r="393" spans="1:9" x14ac:dyDescent="0.2">
      <c r="A393" s="176"/>
      <c r="B393" s="129"/>
      <c r="C393" s="129"/>
      <c r="D393" s="129"/>
      <c r="E393" s="130"/>
      <c r="F393" s="177"/>
      <c r="G393" s="131"/>
      <c r="H393" s="131"/>
      <c r="I393" s="131"/>
    </row>
    <row r="394" spans="1:9" x14ac:dyDescent="0.2">
      <c r="A394" s="176"/>
      <c r="B394" s="129"/>
      <c r="C394" s="129"/>
      <c r="D394" s="129"/>
      <c r="E394" s="130"/>
      <c r="F394" s="177"/>
      <c r="G394" s="131"/>
      <c r="H394" s="131"/>
      <c r="I394" s="131"/>
    </row>
    <row r="395" spans="1:9" x14ac:dyDescent="0.2">
      <c r="A395" s="176"/>
      <c r="B395" s="129"/>
      <c r="C395" s="129"/>
      <c r="D395" s="129"/>
      <c r="E395" s="130"/>
      <c r="F395" s="177"/>
      <c r="G395" s="131"/>
      <c r="H395" s="131"/>
      <c r="I395" s="131"/>
    </row>
    <row r="396" spans="1:9" x14ac:dyDescent="0.2">
      <c r="A396" s="176"/>
      <c r="B396" s="129"/>
      <c r="C396" s="129"/>
      <c r="D396" s="129"/>
      <c r="E396" s="130"/>
      <c r="F396" s="177"/>
      <c r="G396" s="131"/>
      <c r="H396" s="131"/>
      <c r="I396" s="131"/>
    </row>
    <row r="397" spans="1:9" x14ac:dyDescent="0.2">
      <c r="A397" s="176"/>
      <c r="B397" s="129"/>
      <c r="C397" s="129"/>
      <c r="D397" s="129"/>
      <c r="E397" s="130"/>
      <c r="F397" s="177"/>
      <c r="G397" s="131"/>
      <c r="H397" s="131"/>
      <c r="I397" s="131"/>
    </row>
    <row r="398" spans="1:9" x14ac:dyDescent="0.2">
      <c r="A398" s="176"/>
      <c r="B398" s="129"/>
      <c r="C398" s="129"/>
      <c r="D398" s="129"/>
      <c r="E398" s="130"/>
      <c r="F398" s="177"/>
      <c r="G398" s="131"/>
      <c r="H398" s="131"/>
      <c r="I398" s="131"/>
    </row>
    <row r="399" spans="1:9" x14ac:dyDescent="0.2">
      <c r="A399" s="176"/>
      <c r="B399" s="129"/>
      <c r="C399" s="129"/>
      <c r="D399" s="129"/>
      <c r="E399" s="130"/>
      <c r="F399" s="177"/>
      <c r="G399" s="131"/>
      <c r="H399" s="131"/>
      <c r="I399" s="131"/>
    </row>
    <row r="400" spans="1:9" x14ac:dyDescent="0.2">
      <c r="A400" s="176"/>
      <c r="B400" s="129"/>
      <c r="C400" s="129"/>
      <c r="D400" s="129"/>
      <c r="E400" s="130"/>
      <c r="F400" s="177"/>
      <c r="G400" s="131"/>
      <c r="H400" s="131"/>
      <c r="I400" s="131"/>
    </row>
    <row r="401" spans="1:9" x14ac:dyDescent="0.2">
      <c r="A401" s="176"/>
      <c r="B401" s="129"/>
      <c r="C401" s="129"/>
      <c r="D401" s="129"/>
      <c r="E401" s="130"/>
      <c r="F401" s="177"/>
      <c r="G401" s="131"/>
      <c r="H401" s="131"/>
      <c r="I401" s="131"/>
    </row>
    <row r="402" spans="1:9" x14ac:dyDescent="0.2">
      <c r="A402" s="176"/>
      <c r="B402" s="129"/>
      <c r="C402" s="129"/>
      <c r="D402" s="129"/>
      <c r="E402" s="130"/>
      <c r="F402" s="177"/>
      <c r="G402" s="131"/>
      <c r="H402" s="131"/>
      <c r="I402" s="131"/>
    </row>
    <row r="403" spans="1:9" x14ac:dyDescent="0.2">
      <c r="A403" s="176"/>
      <c r="B403" s="129"/>
      <c r="C403" s="129"/>
      <c r="D403" s="129"/>
      <c r="E403" s="130"/>
      <c r="F403" s="177"/>
      <c r="G403" s="131"/>
      <c r="H403" s="131"/>
      <c r="I403" s="131"/>
    </row>
    <row r="404" spans="1:9" x14ac:dyDescent="0.2">
      <c r="A404" s="176"/>
      <c r="B404" s="129"/>
      <c r="C404" s="129"/>
      <c r="D404" s="129"/>
      <c r="E404" s="130"/>
      <c r="F404" s="177"/>
      <c r="G404" s="131"/>
      <c r="H404" s="131"/>
      <c r="I404" s="131"/>
    </row>
    <row r="405" spans="1:9" x14ac:dyDescent="0.2">
      <c r="A405" s="176"/>
      <c r="B405" s="129"/>
      <c r="C405" s="129"/>
      <c r="D405" s="129"/>
      <c r="E405" s="130"/>
      <c r="F405" s="177"/>
      <c r="G405" s="131"/>
      <c r="H405" s="131"/>
      <c r="I405" s="131"/>
    </row>
    <row r="406" spans="1:9" x14ac:dyDescent="0.2">
      <c r="A406" s="176"/>
      <c r="B406" s="129"/>
      <c r="C406" s="129"/>
      <c r="D406" s="129"/>
      <c r="E406" s="130"/>
      <c r="F406" s="177"/>
      <c r="G406" s="131"/>
      <c r="H406" s="131"/>
      <c r="I406" s="131"/>
    </row>
    <row r="407" spans="1:9" x14ac:dyDescent="0.2">
      <c r="A407" s="176"/>
      <c r="B407" s="129"/>
      <c r="C407" s="129"/>
      <c r="D407" s="129"/>
      <c r="E407" s="130"/>
      <c r="F407" s="177"/>
      <c r="G407" s="131"/>
      <c r="H407" s="131"/>
      <c r="I407" s="131"/>
    </row>
    <row r="408" spans="1:9" x14ac:dyDescent="0.2">
      <c r="A408" s="176"/>
      <c r="B408" s="129"/>
      <c r="C408" s="129"/>
      <c r="D408" s="129"/>
      <c r="E408" s="130"/>
      <c r="F408" s="177"/>
      <c r="G408" s="131"/>
      <c r="H408" s="131"/>
      <c r="I408" s="131"/>
    </row>
    <row r="409" spans="1:9" x14ac:dyDescent="0.2">
      <c r="A409" s="176"/>
      <c r="B409" s="129"/>
      <c r="C409" s="129"/>
      <c r="D409" s="129"/>
      <c r="E409" s="130"/>
      <c r="F409" s="177"/>
      <c r="G409" s="131"/>
      <c r="H409" s="131"/>
      <c r="I409" s="131"/>
    </row>
    <row r="410" spans="1:9" x14ac:dyDescent="0.2">
      <c r="A410" s="176"/>
      <c r="B410" s="129"/>
      <c r="C410" s="129"/>
      <c r="D410" s="129"/>
      <c r="E410" s="130"/>
      <c r="F410" s="177"/>
      <c r="G410" s="131"/>
      <c r="H410" s="131"/>
      <c r="I410" s="131"/>
    </row>
    <row r="411" spans="1:9" x14ac:dyDescent="0.2">
      <c r="A411" s="176"/>
      <c r="B411" s="129"/>
      <c r="C411" s="129"/>
      <c r="D411" s="129"/>
      <c r="E411" s="130"/>
      <c r="F411" s="177"/>
      <c r="G411" s="131"/>
      <c r="H411" s="131"/>
      <c r="I411" s="131"/>
    </row>
    <row r="412" spans="1:9" x14ac:dyDescent="0.2">
      <c r="A412" s="176"/>
      <c r="B412" s="129"/>
      <c r="C412" s="129"/>
      <c r="D412" s="129"/>
      <c r="E412" s="130"/>
      <c r="F412" s="177"/>
      <c r="G412" s="131"/>
      <c r="H412" s="131"/>
      <c r="I412" s="131"/>
    </row>
    <row r="413" spans="1:9" x14ac:dyDescent="0.2">
      <c r="A413" s="176"/>
      <c r="B413" s="129"/>
      <c r="C413" s="129"/>
      <c r="D413" s="129"/>
      <c r="E413" s="130"/>
      <c r="F413" s="177"/>
      <c r="G413" s="131"/>
      <c r="H413" s="131"/>
      <c r="I413" s="131"/>
    </row>
    <row r="414" spans="1:9" x14ac:dyDescent="0.2">
      <c r="A414" s="176"/>
      <c r="B414" s="129"/>
      <c r="C414" s="129"/>
      <c r="D414" s="129"/>
      <c r="E414" s="130"/>
      <c r="F414" s="177"/>
      <c r="G414" s="131"/>
      <c r="H414" s="131"/>
      <c r="I414" s="131"/>
    </row>
    <row r="415" spans="1:9" x14ac:dyDescent="0.2">
      <c r="A415" s="176"/>
      <c r="B415" s="129"/>
      <c r="C415" s="129"/>
      <c r="D415" s="129"/>
      <c r="E415" s="130"/>
      <c r="F415" s="177"/>
      <c r="G415" s="131"/>
      <c r="H415" s="131"/>
      <c r="I415" s="131"/>
    </row>
    <row r="416" spans="1:9" x14ac:dyDescent="0.2">
      <c r="A416" s="176"/>
      <c r="B416" s="129"/>
      <c r="C416" s="129"/>
      <c r="D416" s="129"/>
      <c r="E416" s="130"/>
      <c r="F416" s="177"/>
      <c r="G416" s="131"/>
      <c r="H416" s="131"/>
      <c r="I416" s="131"/>
    </row>
    <row r="417" spans="1:9" x14ac:dyDescent="0.2">
      <c r="A417" s="176"/>
      <c r="B417" s="129"/>
      <c r="C417" s="129"/>
      <c r="D417" s="129"/>
      <c r="E417" s="130"/>
      <c r="F417" s="177"/>
      <c r="G417" s="131"/>
      <c r="H417" s="131"/>
      <c r="I417" s="131"/>
    </row>
    <row r="418" spans="1:9" x14ac:dyDescent="0.2">
      <c r="A418" s="176"/>
      <c r="B418" s="129"/>
      <c r="C418" s="129"/>
      <c r="D418" s="129"/>
      <c r="E418" s="130"/>
      <c r="F418" s="177"/>
      <c r="G418" s="131"/>
      <c r="H418" s="131"/>
      <c r="I418" s="131"/>
    </row>
    <row r="419" spans="1:9" x14ac:dyDescent="0.2">
      <c r="A419" s="176"/>
      <c r="B419" s="129"/>
      <c r="C419" s="129"/>
      <c r="D419" s="129"/>
      <c r="E419" s="130"/>
      <c r="F419" s="177"/>
      <c r="G419" s="131"/>
      <c r="H419" s="131"/>
      <c r="I419" s="131"/>
    </row>
    <row r="420" spans="1:9" x14ac:dyDescent="0.2">
      <c r="A420" s="176"/>
      <c r="B420" s="129"/>
      <c r="C420" s="129"/>
      <c r="D420" s="129"/>
      <c r="E420" s="130"/>
      <c r="F420" s="177"/>
      <c r="G420" s="131"/>
      <c r="H420" s="131"/>
      <c r="I420" s="131"/>
    </row>
    <row r="421" spans="1:9" x14ac:dyDescent="0.2">
      <c r="A421" s="176"/>
      <c r="B421" s="129"/>
      <c r="C421" s="129"/>
      <c r="D421" s="129"/>
      <c r="E421" s="130"/>
      <c r="F421" s="177"/>
      <c r="G421" s="131"/>
      <c r="H421" s="131"/>
      <c r="I421" s="131"/>
    </row>
    <row r="422" spans="1:9" x14ac:dyDescent="0.2">
      <c r="A422" s="176"/>
      <c r="B422" s="129"/>
      <c r="C422" s="129"/>
      <c r="D422" s="129"/>
      <c r="E422" s="130"/>
      <c r="F422" s="177"/>
      <c r="G422" s="131"/>
      <c r="H422" s="131"/>
      <c r="I422" s="131"/>
    </row>
    <row r="423" spans="1:9" x14ac:dyDescent="0.2">
      <c r="A423" s="176"/>
      <c r="B423" s="129"/>
      <c r="C423" s="129"/>
      <c r="D423" s="129"/>
      <c r="E423" s="130"/>
      <c r="F423" s="177"/>
      <c r="G423" s="131"/>
      <c r="H423" s="131"/>
      <c r="I423" s="131"/>
    </row>
    <row r="424" spans="1:9" x14ac:dyDescent="0.2">
      <c r="A424" s="176"/>
      <c r="B424" s="129"/>
      <c r="C424" s="129"/>
      <c r="D424" s="129"/>
      <c r="E424" s="130"/>
      <c r="F424" s="177"/>
      <c r="G424" s="131"/>
      <c r="H424" s="131"/>
      <c r="I424" s="131"/>
    </row>
    <row r="425" spans="1:9" x14ac:dyDescent="0.2">
      <c r="A425" s="176"/>
      <c r="B425" s="129"/>
      <c r="C425" s="129"/>
      <c r="D425" s="129"/>
      <c r="E425" s="130"/>
      <c r="F425" s="177"/>
      <c r="G425" s="131"/>
      <c r="H425" s="131"/>
      <c r="I425" s="131"/>
    </row>
    <row r="426" spans="1:9" x14ac:dyDescent="0.2">
      <c r="A426" s="176"/>
      <c r="B426" s="129"/>
      <c r="C426" s="129"/>
      <c r="D426" s="129"/>
      <c r="E426" s="130"/>
      <c r="F426" s="177"/>
      <c r="G426" s="131"/>
      <c r="H426" s="131"/>
      <c r="I426" s="131"/>
    </row>
    <row r="427" spans="1:9" x14ac:dyDescent="0.2">
      <c r="A427" s="176"/>
      <c r="B427" s="129"/>
      <c r="C427" s="129"/>
      <c r="D427" s="129"/>
      <c r="E427" s="130"/>
      <c r="F427" s="177"/>
      <c r="G427" s="131"/>
      <c r="H427" s="131"/>
      <c r="I427" s="131"/>
    </row>
    <row r="428" spans="1:9" x14ac:dyDescent="0.2">
      <c r="A428" s="176"/>
      <c r="B428" s="129"/>
      <c r="C428" s="129"/>
      <c r="D428" s="129"/>
      <c r="E428" s="130"/>
      <c r="F428" s="177"/>
      <c r="G428" s="131"/>
      <c r="H428" s="131"/>
      <c r="I428" s="131"/>
    </row>
    <row r="429" spans="1:9" x14ac:dyDescent="0.2">
      <c r="A429" s="176"/>
      <c r="B429" s="129"/>
      <c r="C429" s="129"/>
      <c r="D429" s="129"/>
      <c r="E429" s="130"/>
      <c r="F429" s="177"/>
      <c r="G429" s="131"/>
      <c r="H429" s="131"/>
      <c r="I429" s="131"/>
    </row>
    <row r="430" spans="1:9" x14ac:dyDescent="0.2">
      <c r="A430" s="176"/>
      <c r="B430" s="129"/>
      <c r="C430" s="129"/>
      <c r="D430" s="129"/>
      <c r="E430" s="130"/>
      <c r="F430" s="177"/>
      <c r="G430" s="131"/>
      <c r="H430" s="131"/>
      <c r="I430" s="131"/>
    </row>
    <row r="431" spans="1:9" x14ac:dyDescent="0.2">
      <c r="A431" s="176"/>
      <c r="B431" s="129"/>
      <c r="C431" s="129"/>
      <c r="D431" s="129"/>
      <c r="E431" s="130"/>
      <c r="F431" s="177"/>
      <c r="G431" s="131"/>
      <c r="H431" s="131"/>
      <c r="I431" s="131"/>
    </row>
    <row r="432" spans="1:9" x14ac:dyDescent="0.2">
      <c r="A432" s="176"/>
      <c r="B432" s="129"/>
      <c r="C432" s="129"/>
      <c r="D432" s="129"/>
      <c r="E432" s="130"/>
      <c r="F432" s="177"/>
      <c r="G432" s="131"/>
      <c r="H432" s="131"/>
      <c r="I432" s="131"/>
    </row>
    <row r="433" spans="1:9" x14ac:dyDescent="0.2">
      <c r="A433" s="176"/>
      <c r="B433" s="129"/>
      <c r="C433" s="129"/>
      <c r="D433" s="129"/>
      <c r="E433" s="130"/>
      <c r="F433" s="177"/>
      <c r="G433" s="131"/>
      <c r="H433" s="131"/>
      <c r="I433" s="131"/>
    </row>
    <row r="434" spans="1:9" x14ac:dyDescent="0.2">
      <c r="A434" s="176"/>
      <c r="B434" s="129"/>
      <c r="C434" s="129"/>
      <c r="D434" s="129"/>
      <c r="E434" s="130"/>
      <c r="F434" s="177"/>
      <c r="G434" s="131"/>
      <c r="H434" s="131"/>
      <c r="I434" s="131"/>
    </row>
    <row r="435" spans="1:9" x14ac:dyDescent="0.2">
      <c r="A435" s="176"/>
      <c r="B435" s="129"/>
      <c r="C435" s="129"/>
      <c r="D435" s="129"/>
      <c r="E435" s="130"/>
      <c r="F435" s="177"/>
      <c r="G435" s="131"/>
      <c r="H435" s="131"/>
      <c r="I435" s="131"/>
    </row>
    <row r="436" spans="1:9" x14ac:dyDescent="0.2">
      <c r="A436" s="176"/>
      <c r="B436" s="129"/>
      <c r="C436" s="129"/>
      <c r="D436" s="129"/>
      <c r="E436" s="130"/>
      <c r="F436" s="177"/>
      <c r="G436" s="131"/>
      <c r="H436" s="131"/>
      <c r="I436" s="131"/>
    </row>
    <row r="437" spans="1:9" x14ac:dyDescent="0.2">
      <c r="A437" s="176"/>
      <c r="B437" s="129"/>
      <c r="C437" s="129"/>
      <c r="D437" s="129"/>
      <c r="E437" s="130"/>
      <c r="F437" s="177"/>
      <c r="G437" s="131"/>
      <c r="H437" s="131"/>
      <c r="I437" s="131"/>
    </row>
    <row r="438" spans="1:9" x14ac:dyDescent="0.2">
      <c r="A438" s="176"/>
      <c r="B438" s="129"/>
      <c r="C438" s="129"/>
      <c r="D438" s="129"/>
      <c r="E438" s="130"/>
      <c r="F438" s="177"/>
      <c r="G438" s="131"/>
      <c r="H438" s="131"/>
      <c r="I438" s="131"/>
    </row>
    <row r="439" spans="1:9" x14ac:dyDescent="0.2">
      <c r="A439" s="176"/>
      <c r="B439" s="129"/>
      <c r="C439" s="129"/>
      <c r="D439" s="129"/>
      <c r="E439" s="130"/>
      <c r="F439" s="177"/>
      <c r="G439" s="131"/>
      <c r="H439" s="131"/>
      <c r="I439" s="131"/>
    </row>
    <row r="440" spans="1:9" x14ac:dyDescent="0.2">
      <c r="A440" s="176"/>
      <c r="B440" s="129"/>
      <c r="C440" s="129"/>
      <c r="D440" s="129"/>
      <c r="E440" s="130"/>
      <c r="F440" s="177"/>
      <c r="G440" s="131"/>
      <c r="H440" s="131"/>
      <c r="I440" s="131"/>
    </row>
    <row r="441" spans="1:9" x14ac:dyDescent="0.2">
      <c r="A441" s="176"/>
      <c r="B441" s="129"/>
      <c r="C441" s="129"/>
      <c r="D441" s="129"/>
      <c r="E441" s="130"/>
      <c r="F441" s="177"/>
      <c r="G441" s="131"/>
      <c r="H441" s="131"/>
      <c r="I441" s="131"/>
    </row>
    <row r="442" spans="1:9" x14ac:dyDescent="0.2">
      <c r="A442" s="176"/>
      <c r="B442" s="129"/>
      <c r="C442" s="129"/>
      <c r="D442" s="129"/>
      <c r="E442" s="130"/>
      <c r="F442" s="177"/>
      <c r="G442" s="131"/>
      <c r="H442" s="131"/>
      <c r="I442" s="131"/>
    </row>
    <row r="443" spans="1:9" x14ac:dyDescent="0.2">
      <c r="A443" s="176"/>
      <c r="B443" s="129"/>
      <c r="C443" s="129"/>
      <c r="D443" s="129"/>
      <c r="E443" s="130"/>
      <c r="F443" s="177"/>
      <c r="G443" s="131"/>
      <c r="H443" s="131"/>
      <c r="I443" s="131"/>
    </row>
    <row r="444" spans="1:9" x14ac:dyDescent="0.2">
      <c r="A444" s="176"/>
      <c r="B444" s="129"/>
      <c r="C444" s="129"/>
      <c r="D444" s="129"/>
      <c r="E444" s="130"/>
      <c r="F444" s="177"/>
      <c r="G444" s="131"/>
      <c r="H444" s="131"/>
      <c r="I444" s="131"/>
    </row>
    <row r="445" spans="1:9" x14ac:dyDescent="0.2">
      <c r="A445" s="176"/>
      <c r="B445" s="129"/>
      <c r="C445" s="129"/>
      <c r="D445" s="129"/>
      <c r="E445" s="130"/>
      <c r="F445" s="177"/>
      <c r="G445" s="131"/>
      <c r="H445" s="131"/>
      <c r="I445" s="131"/>
    </row>
    <row r="446" spans="1:9" x14ac:dyDescent="0.2">
      <c r="A446" s="176"/>
      <c r="B446" s="129"/>
      <c r="C446" s="129"/>
      <c r="D446" s="129"/>
      <c r="E446" s="130"/>
      <c r="F446" s="177"/>
      <c r="G446" s="131"/>
      <c r="H446" s="131"/>
      <c r="I446" s="131"/>
    </row>
    <row r="447" spans="1:9" x14ac:dyDescent="0.2">
      <c r="A447" s="176"/>
      <c r="B447" s="129"/>
      <c r="C447" s="129"/>
      <c r="D447" s="129"/>
      <c r="E447" s="130"/>
      <c r="F447" s="177"/>
      <c r="G447" s="131"/>
      <c r="H447" s="131"/>
      <c r="I447" s="131"/>
    </row>
    <row r="448" spans="1:9" x14ac:dyDescent="0.2">
      <c r="A448" s="176"/>
      <c r="B448" s="129"/>
      <c r="C448" s="129"/>
      <c r="D448" s="129"/>
      <c r="E448" s="130"/>
      <c r="F448" s="177"/>
      <c r="G448" s="131"/>
      <c r="H448" s="131"/>
      <c r="I448" s="131"/>
    </row>
    <row r="449" spans="1:9" x14ac:dyDescent="0.2">
      <c r="A449" s="176"/>
      <c r="B449" s="129"/>
      <c r="C449" s="129"/>
      <c r="D449" s="129"/>
      <c r="E449" s="130"/>
      <c r="F449" s="177"/>
      <c r="G449" s="131"/>
      <c r="H449" s="131"/>
      <c r="I449" s="131"/>
    </row>
    <row r="450" spans="1:9" x14ac:dyDescent="0.2">
      <c r="A450" s="176"/>
      <c r="B450" s="129"/>
      <c r="C450" s="129"/>
      <c r="D450" s="129"/>
      <c r="E450" s="130"/>
      <c r="F450" s="177"/>
      <c r="G450" s="131"/>
      <c r="H450" s="131"/>
      <c r="I450" s="131"/>
    </row>
    <row r="451" spans="1:9" x14ac:dyDescent="0.2">
      <c r="A451" s="176"/>
      <c r="B451" s="129"/>
      <c r="C451" s="129"/>
      <c r="D451" s="129"/>
      <c r="E451" s="130"/>
      <c r="F451" s="177"/>
      <c r="G451" s="131"/>
      <c r="H451" s="131"/>
      <c r="I451" s="131"/>
    </row>
    <row r="452" spans="1:9" x14ac:dyDescent="0.2">
      <c r="A452" s="176"/>
      <c r="B452" s="129"/>
      <c r="C452" s="129"/>
      <c r="D452" s="129"/>
      <c r="E452" s="130"/>
      <c r="F452" s="177"/>
      <c r="G452" s="131"/>
      <c r="H452" s="131"/>
      <c r="I452" s="131"/>
    </row>
    <row r="453" spans="1:9" x14ac:dyDescent="0.2">
      <c r="A453" s="176"/>
      <c r="B453" s="129"/>
      <c r="C453" s="129"/>
      <c r="D453" s="129"/>
      <c r="E453" s="130"/>
      <c r="F453" s="177"/>
      <c r="G453" s="131"/>
      <c r="H453" s="131"/>
      <c r="I453" s="131"/>
    </row>
    <row r="454" spans="1:9" x14ac:dyDescent="0.2">
      <c r="A454" s="176"/>
      <c r="B454" s="129"/>
      <c r="C454" s="129"/>
      <c r="D454" s="129"/>
      <c r="E454" s="130"/>
      <c r="F454" s="177"/>
      <c r="G454" s="131"/>
      <c r="H454" s="131"/>
      <c r="I454" s="131"/>
    </row>
    <row r="455" spans="1:9" x14ac:dyDescent="0.2">
      <c r="A455" s="176"/>
      <c r="B455" s="129"/>
      <c r="C455" s="129"/>
      <c r="D455" s="129"/>
      <c r="E455" s="130"/>
      <c r="F455" s="177"/>
      <c r="G455" s="131"/>
      <c r="H455" s="131"/>
      <c r="I455" s="131"/>
    </row>
    <row r="456" spans="1:9" x14ac:dyDescent="0.2">
      <c r="A456" s="176"/>
      <c r="B456" s="129"/>
      <c r="C456" s="129"/>
      <c r="D456" s="129"/>
      <c r="E456" s="130"/>
      <c r="F456" s="177"/>
      <c r="G456" s="131"/>
      <c r="H456" s="131"/>
      <c r="I456" s="131"/>
    </row>
    <row r="457" spans="1:9" x14ac:dyDescent="0.2">
      <c r="A457" s="176"/>
      <c r="B457" s="129"/>
      <c r="C457" s="129"/>
      <c r="D457" s="129"/>
      <c r="E457" s="130"/>
      <c r="F457" s="177"/>
      <c r="G457" s="131"/>
      <c r="H457" s="131"/>
      <c r="I457" s="131"/>
    </row>
    <row r="458" spans="1:9" x14ac:dyDescent="0.2">
      <c r="A458" s="176"/>
      <c r="B458" s="129"/>
      <c r="C458" s="129"/>
      <c r="D458" s="129"/>
      <c r="E458" s="130"/>
      <c r="F458" s="177"/>
      <c r="G458" s="131"/>
      <c r="H458" s="131"/>
      <c r="I458" s="131"/>
    </row>
    <row r="459" spans="1:9" x14ac:dyDescent="0.2">
      <c r="A459" s="176"/>
      <c r="B459" s="129"/>
      <c r="C459" s="129"/>
      <c r="D459" s="129"/>
      <c r="E459" s="130"/>
      <c r="F459" s="177"/>
      <c r="G459" s="131"/>
      <c r="H459" s="131"/>
      <c r="I459" s="131"/>
    </row>
    <row r="460" spans="1:9" x14ac:dyDescent="0.2">
      <c r="A460" s="176"/>
      <c r="B460" s="129"/>
      <c r="C460" s="129"/>
      <c r="D460" s="129"/>
      <c r="E460" s="130"/>
      <c r="F460" s="177"/>
      <c r="G460" s="131"/>
      <c r="H460" s="131"/>
      <c r="I460" s="131"/>
    </row>
    <row r="461" spans="1:9" x14ac:dyDescent="0.2">
      <c r="A461" s="176"/>
      <c r="B461" s="129"/>
      <c r="C461" s="129"/>
      <c r="D461" s="129"/>
      <c r="E461" s="130"/>
      <c r="F461" s="177"/>
      <c r="G461" s="131"/>
      <c r="H461" s="131"/>
      <c r="I461" s="131"/>
    </row>
    <row r="462" spans="1:9" x14ac:dyDescent="0.2">
      <c r="A462" s="176"/>
      <c r="B462" s="129"/>
      <c r="C462" s="129"/>
      <c r="D462" s="129"/>
      <c r="E462" s="130"/>
      <c r="F462" s="177"/>
      <c r="G462" s="131"/>
      <c r="H462" s="131"/>
      <c r="I462" s="131"/>
    </row>
    <row r="463" spans="1:9" x14ac:dyDescent="0.2">
      <c r="A463" s="176"/>
      <c r="B463" s="129"/>
      <c r="C463" s="129"/>
      <c r="D463" s="129"/>
      <c r="E463" s="130"/>
      <c r="F463" s="177"/>
      <c r="G463" s="131"/>
      <c r="H463" s="131"/>
      <c r="I463" s="131"/>
    </row>
    <row r="464" spans="1:9" x14ac:dyDescent="0.2">
      <c r="A464" s="176"/>
      <c r="B464" s="129"/>
      <c r="C464" s="129"/>
      <c r="D464" s="129"/>
      <c r="E464" s="130"/>
      <c r="F464" s="177"/>
      <c r="G464" s="131"/>
      <c r="H464" s="131"/>
      <c r="I464" s="131"/>
    </row>
    <row r="465" spans="1:9" x14ac:dyDescent="0.2">
      <c r="A465" s="176"/>
      <c r="B465" s="129"/>
      <c r="C465" s="129"/>
      <c r="D465" s="129"/>
      <c r="E465" s="130"/>
      <c r="F465" s="177"/>
      <c r="G465" s="131"/>
      <c r="H465" s="131"/>
      <c r="I465" s="131"/>
    </row>
    <row r="466" spans="1:9" x14ac:dyDescent="0.2">
      <c r="A466" s="176"/>
      <c r="B466" s="129"/>
      <c r="C466" s="129"/>
      <c r="D466" s="129"/>
      <c r="E466" s="130"/>
      <c r="F466" s="177"/>
      <c r="G466" s="131"/>
      <c r="H466" s="131"/>
      <c r="I466" s="131"/>
    </row>
    <row r="467" spans="1:9" x14ac:dyDescent="0.2">
      <c r="A467" s="176"/>
      <c r="B467" s="129"/>
      <c r="C467" s="129"/>
      <c r="D467" s="129"/>
      <c r="E467" s="130"/>
      <c r="F467" s="177"/>
      <c r="G467" s="131"/>
      <c r="H467" s="131"/>
      <c r="I467" s="131"/>
    </row>
    <row r="468" spans="1:9" x14ac:dyDescent="0.2">
      <c r="A468" s="176"/>
      <c r="B468" s="129"/>
      <c r="C468" s="129"/>
      <c r="D468" s="129"/>
      <c r="E468" s="130"/>
      <c r="F468" s="177"/>
      <c r="G468" s="131"/>
      <c r="H468" s="131"/>
      <c r="I468" s="131"/>
    </row>
    <row r="469" spans="1:9" x14ac:dyDescent="0.2">
      <c r="A469" s="176"/>
      <c r="B469" s="129"/>
      <c r="C469" s="129"/>
      <c r="D469" s="129"/>
      <c r="E469" s="130"/>
      <c r="F469" s="177"/>
      <c r="G469" s="131"/>
      <c r="H469" s="131"/>
      <c r="I469" s="131"/>
    </row>
    <row r="470" spans="1:9" x14ac:dyDescent="0.2">
      <c r="A470" s="176"/>
      <c r="B470" s="129"/>
      <c r="C470" s="129"/>
      <c r="D470" s="129"/>
      <c r="E470" s="130"/>
      <c r="F470" s="177"/>
      <c r="G470" s="131"/>
      <c r="H470" s="131"/>
      <c r="I470" s="131"/>
    </row>
    <row r="471" spans="1:9" x14ac:dyDescent="0.2">
      <c r="A471" s="176"/>
      <c r="B471" s="129"/>
      <c r="C471" s="129"/>
      <c r="D471" s="129"/>
      <c r="E471" s="130"/>
      <c r="F471" s="177"/>
      <c r="G471" s="131"/>
      <c r="H471" s="131"/>
      <c r="I471" s="131"/>
    </row>
    <row r="472" spans="1:9" x14ac:dyDescent="0.2">
      <c r="A472" s="176"/>
      <c r="B472" s="129"/>
      <c r="C472" s="129"/>
      <c r="D472" s="129"/>
      <c r="E472" s="130"/>
      <c r="F472" s="177"/>
      <c r="G472" s="131"/>
      <c r="H472" s="131"/>
      <c r="I472" s="131"/>
    </row>
    <row r="473" spans="1:9" x14ac:dyDescent="0.2">
      <c r="A473" s="176"/>
      <c r="B473" s="129"/>
      <c r="C473" s="129"/>
      <c r="D473" s="129"/>
      <c r="E473" s="130"/>
      <c r="F473" s="177"/>
      <c r="G473" s="131"/>
      <c r="H473" s="131"/>
      <c r="I473" s="131"/>
    </row>
    <row r="474" spans="1:9" x14ac:dyDescent="0.2">
      <c r="A474" s="176"/>
      <c r="B474" s="129"/>
      <c r="C474" s="129"/>
      <c r="D474" s="129"/>
      <c r="E474" s="130"/>
      <c r="F474" s="177"/>
      <c r="G474" s="131"/>
      <c r="H474" s="131"/>
      <c r="I474" s="131"/>
    </row>
    <row r="475" spans="1:9" x14ac:dyDescent="0.2">
      <c r="A475" s="176"/>
      <c r="B475" s="129"/>
      <c r="C475" s="129"/>
      <c r="D475" s="129"/>
      <c r="E475" s="130"/>
      <c r="F475" s="177"/>
      <c r="G475" s="131"/>
      <c r="H475" s="131"/>
      <c r="I475" s="131"/>
    </row>
    <row r="476" spans="1:9" x14ac:dyDescent="0.2">
      <c r="A476" s="176"/>
      <c r="B476" s="129"/>
      <c r="C476" s="129"/>
      <c r="D476" s="129"/>
      <c r="E476" s="130"/>
      <c r="F476" s="177"/>
      <c r="G476" s="131"/>
      <c r="H476" s="131"/>
      <c r="I476" s="131"/>
    </row>
    <row r="477" spans="1:9" x14ac:dyDescent="0.2">
      <c r="A477" s="176"/>
      <c r="B477" s="129"/>
      <c r="C477" s="129"/>
      <c r="D477" s="129"/>
      <c r="E477" s="130"/>
      <c r="F477" s="177"/>
      <c r="G477" s="131"/>
      <c r="H477" s="131"/>
      <c r="I477" s="131"/>
    </row>
    <row r="478" spans="1:9" x14ac:dyDescent="0.2">
      <c r="A478" s="176"/>
      <c r="B478" s="129"/>
      <c r="C478" s="129"/>
      <c r="D478" s="129"/>
      <c r="E478" s="130"/>
      <c r="F478" s="177"/>
      <c r="G478" s="131"/>
      <c r="H478" s="131"/>
      <c r="I478" s="131"/>
    </row>
    <row r="479" spans="1:9" x14ac:dyDescent="0.2">
      <c r="A479" s="176"/>
      <c r="B479" s="129"/>
      <c r="C479" s="129"/>
      <c r="D479" s="129"/>
      <c r="E479" s="130"/>
      <c r="F479" s="177"/>
      <c r="G479" s="131"/>
      <c r="H479" s="131"/>
      <c r="I479" s="131"/>
    </row>
    <row r="480" spans="1:9" x14ac:dyDescent="0.2">
      <c r="A480" s="176"/>
      <c r="B480" s="129"/>
      <c r="C480" s="129"/>
      <c r="D480" s="129"/>
      <c r="E480" s="130"/>
      <c r="F480" s="177"/>
      <c r="G480" s="131"/>
      <c r="H480" s="131"/>
      <c r="I480" s="131"/>
    </row>
    <row r="481" spans="1:9" x14ac:dyDescent="0.2">
      <c r="A481" s="176"/>
      <c r="B481" s="129"/>
      <c r="C481" s="129"/>
      <c r="D481" s="129"/>
      <c r="E481" s="130"/>
      <c r="F481" s="177"/>
      <c r="G481" s="131"/>
      <c r="H481" s="131"/>
      <c r="I481" s="131"/>
    </row>
    <row r="482" spans="1:9" x14ac:dyDescent="0.2">
      <c r="A482" s="176"/>
      <c r="B482" s="129"/>
      <c r="C482" s="129"/>
      <c r="D482" s="129"/>
      <c r="E482" s="130"/>
      <c r="F482" s="177"/>
      <c r="G482" s="131"/>
      <c r="H482" s="131"/>
      <c r="I482" s="131"/>
    </row>
    <row r="483" spans="1:9" x14ac:dyDescent="0.2">
      <c r="A483" s="176"/>
      <c r="B483" s="129"/>
      <c r="C483" s="129"/>
      <c r="D483" s="129"/>
      <c r="E483" s="130"/>
      <c r="F483" s="177"/>
      <c r="G483" s="131"/>
      <c r="H483" s="131"/>
      <c r="I483" s="131"/>
    </row>
    <row r="484" spans="1:9" x14ac:dyDescent="0.2">
      <c r="A484" s="176"/>
      <c r="B484" s="129"/>
      <c r="C484" s="129"/>
      <c r="D484" s="129"/>
      <c r="E484" s="130"/>
      <c r="F484" s="177"/>
      <c r="G484" s="131"/>
      <c r="H484" s="131"/>
      <c r="I484" s="131"/>
    </row>
    <row r="485" spans="1:9" x14ac:dyDescent="0.2">
      <c r="A485" s="176"/>
      <c r="B485" s="129"/>
      <c r="C485" s="129"/>
      <c r="D485" s="129"/>
      <c r="E485" s="130"/>
      <c r="F485" s="177"/>
      <c r="G485" s="131"/>
      <c r="H485" s="131"/>
      <c r="I485" s="131"/>
    </row>
    <row r="486" spans="1:9" x14ac:dyDescent="0.2">
      <c r="A486" s="176"/>
      <c r="B486" s="129"/>
      <c r="C486" s="129"/>
      <c r="D486" s="129"/>
      <c r="E486" s="130"/>
      <c r="F486" s="177"/>
      <c r="G486" s="131"/>
      <c r="H486" s="131"/>
      <c r="I486" s="131"/>
    </row>
    <row r="487" spans="1:9" x14ac:dyDescent="0.2">
      <c r="A487" s="176"/>
      <c r="B487" s="129"/>
      <c r="C487" s="129"/>
      <c r="D487" s="129"/>
      <c r="E487" s="130"/>
      <c r="F487" s="177"/>
      <c r="G487" s="131"/>
      <c r="H487" s="131"/>
      <c r="I487" s="131"/>
    </row>
    <row r="488" spans="1:9" x14ac:dyDescent="0.2">
      <c r="A488" s="176"/>
      <c r="B488" s="129"/>
      <c r="C488" s="129"/>
      <c r="D488" s="129"/>
      <c r="E488" s="130"/>
      <c r="F488" s="177"/>
      <c r="G488" s="131"/>
      <c r="H488" s="131"/>
      <c r="I488" s="131"/>
    </row>
    <row r="489" spans="1:9" x14ac:dyDescent="0.2">
      <c r="A489" s="176"/>
      <c r="B489" s="129"/>
      <c r="C489" s="129"/>
      <c r="D489" s="129"/>
      <c r="E489" s="130"/>
      <c r="F489" s="177"/>
      <c r="G489" s="131"/>
      <c r="H489" s="131"/>
      <c r="I489" s="131"/>
    </row>
    <row r="490" spans="1:9" x14ac:dyDescent="0.2">
      <c r="A490" s="176"/>
      <c r="B490" s="129"/>
      <c r="C490" s="129"/>
      <c r="D490" s="129"/>
      <c r="E490" s="130"/>
      <c r="F490" s="177"/>
      <c r="G490" s="131"/>
      <c r="H490" s="131"/>
      <c r="I490" s="131"/>
    </row>
    <row r="491" spans="1:9" x14ac:dyDescent="0.2">
      <c r="A491" s="176"/>
      <c r="B491" s="129"/>
      <c r="C491" s="129"/>
      <c r="D491" s="129"/>
      <c r="E491" s="130"/>
      <c r="F491" s="177"/>
      <c r="G491" s="131"/>
      <c r="H491" s="131"/>
      <c r="I491" s="131"/>
    </row>
    <row r="492" spans="1:9" x14ac:dyDescent="0.2">
      <c r="A492" s="176"/>
      <c r="B492" s="129"/>
      <c r="C492" s="129"/>
      <c r="D492" s="129"/>
      <c r="E492" s="130"/>
      <c r="F492" s="177"/>
      <c r="G492" s="131"/>
      <c r="H492" s="131"/>
      <c r="I492" s="131"/>
    </row>
    <row r="493" spans="1:9" x14ac:dyDescent="0.2">
      <c r="A493" s="176"/>
      <c r="B493" s="129"/>
      <c r="C493" s="129"/>
      <c r="D493" s="129"/>
      <c r="E493" s="130"/>
      <c r="F493" s="177"/>
      <c r="G493" s="131"/>
      <c r="H493" s="131"/>
      <c r="I493" s="131"/>
    </row>
    <row r="494" spans="1:9" x14ac:dyDescent="0.2">
      <c r="A494" s="176"/>
      <c r="B494" s="129"/>
      <c r="C494" s="129"/>
      <c r="D494" s="129"/>
      <c r="E494" s="130"/>
      <c r="F494" s="177"/>
      <c r="G494" s="131"/>
      <c r="H494" s="131"/>
      <c r="I494" s="131"/>
    </row>
    <row r="495" spans="1:9" x14ac:dyDescent="0.2">
      <c r="A495" s="176"/>
      <c r="B495" s="129"/>
      <c r="C495" s="129"/>
      <c r="D495" s="129"/>
      <c r="E495" s="130"/>
      <c r="F495" s="177"/>
      <c r="G495" s="131"/>
      <c r="H495" s="131"/>
      <c r="I495" s="131"/>
    </row>
    <row r="496" spans="1:9" x14ac:dyDescent="0.2">
      <c r="A496" s="176"/>
      <c r="B496" s="129"/>
      <c r="C496" s="129"/>
      <c r="D496" s="129"/>
      <c r="E496" s="130"/>
      <c r="F496" s="177"/>
      <c r="G496" s="131"/>
      <c r="H496" s="131"/>
      <c r="I496" s="131"/>
    </row>
    <row r="497" spans="1:9" x14ac:dyDescent="0.2">
      <c r="A497" s="176"/>
      <c r="B497" s="129"/>
      <c r="C497" s="129"/>
      <c r="D497" s="129"/>
      <c r="E497" s="130"/>
      <c r="F497" s="177"/>
      <c r="G497" s="131"/>
      <c r="H497" s="131"/>
      <c r="I497" s="131"/>
    </row>
    <row r="498" spans="1:9" x14ac:dyDescent="0.2">
      <c r="A498" s="176"/>
      <c r="B498" s="129"/>
      <c r="C498" s="129"/>
      <c r="D498" s="129"/>
      <c r="E498" s="130"/>
      <c r="F498" s="177"/>
      <c r="G498" s="131"/>
      <c r="H498" s="131"/>
      <c r="I498" s="131"/>
    </row>
    <row r="499" spans="1:9" x14ac:dyDescent="0.2">
      <c r="A499" s="176"/>
      <c r="B499" s="129"/>
      <c r="C499" s="129"/>
      <c r="D499" s="129"/>
      <c r="E499" s="130"/>
      <c r="F499" s="177"/>
      <c r="G499" s="131"/>
      <c r="H499" s="131"/>
      <c r="I499" s="131"/>
    </row>
    <row r="500" spans="1:9" x14ac:dyDescent="0.2">
      <c r="A500" s="176"/>
      <c r="B500" s="129"/>
      <c r="C500" s="129"/>
      <c r="D500" s="129"/>
      <c r="E500" s="130"/>
      <c r="F500" s="177"/>
      <c r="G500" s="131"/>
      <c r="H500" s="131"/>
      <c r="I500" s="131"/>
    </row>
    <row r="501" spans="1:9" x14ac:dyDescent="0.2">
      <c r="A501" s="176"/>
      <c r="B501" s="129"/>
      <c r="C501" s="129"/>
      <c r="D501" s="129"/>
      <c r="E501" s="130"/>
      <c r="F501" s="177"/>
      <c r="G501" s="131"/>
      <c r="H501" s="131"/>
      <c r="I501" s="131"/>
    </row>
    <row r="502" spans="1:9" x14ac:dyDescent="0.2">
      <c r="A502" s="176"/>
      <c r="B502" s="129"/>
      <c r="C502" s="129"/>
      <c r="D502" s="129"/>
      <c r="E502" s="130"/>
      <c r="F502" s="177"/>
      <c r="G502" s="131"/>
      <c r="H502" s="131"/>
      <c r="I502" s="131"/>
    </row>
    <row r="503" spans="1:9" x14ac:dyDescent="0.2">
      <c r="A503" s="176"/>
      <c r="B503" s="129"/>
      <c r="C503" s="129"/>
      <c r="D503" s="129"/>
      <c r="E503" s="130"/>
      <c r="F503" s="177"/>
      <c r="G503" s="131"/>
      <c r="H503" s="131"/>
      <c r="I503" s="131"/>
    </row>
    <row r="504" spans="1:9" x14ac:dyDescent="0.2">
      <c r="A504" s="176"/>
      <c r="B504" s="129"/>
      <c r="C504" s="129"/>
      <c r="D504" s="129"/>
      <c r="E504" s="130"/>
      <c r="F504" s="177"/>
      <c r="G504" s="131"/>
      <c r="H504" s="131"/>
      <c r="I504" s="131"/>
    </row>
    <row r="505" spans="1:9" x14ac:dyDescent="0.2">
      <c r="A505" s="176"/>
      <c r="B505" s="129"/>
      <c r="C505" s="129"/>
      <c r="D505" s="129"/>
      <c r="E505" s="130"/>
      <c r="F505" s="177"/>
      <c r="G505" s="131"/>
      <c r="H505" s="131"/>
      <c r="I505" s="131"/>
    </row>
    <row r="506" spans="1:9" x14ac:dyDescent="0.2">
      <c r="A506" s="176"/>
      <c r="B506" s="129"/>
      <c r="C506" s="129"/>
      <c r="D506" s="129"/>
      <c r="E506" s="130"/>
      <c r="F506" s="177"/>
      <c r="G506" s="131"/>
      <c r="H506" s="131"/>
      <c r="I506" s="131"/>
    </row>
    <row r="507" spans="1:9" x14ac:dyDescent="0.2">
      <c r="A507" s="176"/>
      <c r="B507" s="129"/>
      <c r="C507" s="129"/>
      <c r="D507" s="129"/>
      <c r="E507" s="130"/>
      <c r="F507" s="177"/>
      <c r="G507" s="131"/>
      <c r="H507" s="131"/>
      <c r="I507" s="131"/>
    </row>
    <row r="508" spans="1:9" x14ac:dyDescent="0.2">
      <c r="A508" s="176"/>
      <c r="B508" s="129"/>
      <c r="C508" s="129"/>
      <c r="D508" s="129"/>
      <c r="E508" s="130"/>
      <c r="F508" s="177"/>
      <c r="G508" s="131"/>
      <c r="H508" s="131"/>
      <c r="I508" s="131"/>
    </row>
    <row r="509" spans="1:9" x14ac:dyDescent="0.2">
      <c r="A509" s="176"/>
      <c r="B509" s="129"/>
      <c r="C509" s="129"/>
      <c r="D509" s="129"/>
      <c r="E509" s="130"/>
      <c r="F509" s="177"/>
      <c r="G509" s="131"/>
      <c r="H509" s="131"/>
      <c r="I509" s="131"/>
    </row>
    <row r="510" spans="1:9" x14ac:dyDescent="0.2">
      <c r="A510" s="176"/>
      <c r="B510" s="129"/>
      <c r="C510" s="129"/>
      <c r="D510" s="129"/>
      <c r="E510" s="130"/>
      <c r="F510" s="177"/>
      <c r="G510" s="131"/>
      <c r="H510" s="131"/>
      <c r="I510" s="131"/>
    </row>
    <row r="511" spans="1:9" x14ac:dyDescent="0.2">
      <c r="A511" s="176"/>
      <c r="B511" s="129"/>
      <c r="C511" s="129"/>
      <c r="D511" s="129"/>
      <c r="E511" s="130"/>
      <c r="F511" s="177"/>
      <c r="G511" s="131"/>
      <c r="H511" s="131"/>
      <c r="I511" s="131"/>
    </row>
    <row r="512" spans="1:9" x14ac:dyDescent="0.2">
      <c r="A512" s="176"/>
      <c r="B512" s="129"/>
      <c r="C512" s="129"/>
      <c r="D512" s="129"/>
      <c r="E512" s="130"/>
      <c r="F512" s="177"/>
      <c r="G512" s="131"/>
      <c r="H512" s="131"/>
      <c r="I512" s="131"/>
    </row>
    <row r="513" spans="1:9" x14ac:dyDescent="0.2">
      <c r="A513" s="176"/>
      <c r="B513" s="129"/>
      <c r="C513" s="129"/>
      <c r="D513" s="129"/>
      <c r="E513" s="130"/>
      <c r="F513" s="177"/>
      <c r="G513" s="131"/>
      <c r="H513" s="131"/>
      <c r="I513" s="131"/>
    </row>
    <row r="514" spans="1:9" x14ac:dyDescent="0.2">
      <c r="A514" s="176"/>
      <c r="B514" s="129"/>
      <c r="C514" s="129"/>
      <c r="D514" s="129"/>
      <c r="E514" s="130"/>
      <c r="F514" s="177"/>
      <c r="G514" s="131"/>
      <c r="H514" s="131"/>
      <c r="I514" s="131"/>
    </row>
    <row r="515" spans="1:9" x14ac:dyDescent="0.2">
      <c r="A515" s="176"/>
      <c r="B515" s="129"/>
      <c r="C515" s="129"/>
      <c r="D515" s="129"/>
      <c r="E515" s="130"/>
      <c r="F515" s="177"/>
      <c r="G515" s="131"/>
      <c r="H515" s="131"/>
      <c r="I515" s="131"/>
    </row>
    <row r="516" spans="1:9" x14ac:dyDescent="0.2">
      <c r="A516" s="176"/>
      <c r="B516" s="129"/>
      <c r="C516" s="129"/>
      <c r="D516" s="129"/>
      <c r="E516" s="130"/>
      <c r="F516" s="177"/>
      <c r="G516" s="131"/>
      <c r="H516" s="131"/>
      <c r="I516" s="131"/>
    </row>
    <row r="517" spans="1:9" x14ac:dyDescent="0.2">
      <c r="A517" s="176"/>
      <c r="B517" s="129"/>
      <c r="C517" s="129"/>
      <c r="D517" s="129"/>
      <c r="E517" s="130"/>
      <c r="F517" s="177"/>
      <c r="G517" s="131"/>
      <c r="H517" s="131"/>
      <c r="I517" s="131"/>
    </row>
    <row r="518" spans="1:9" x14ac:dyDescent="0.2">
      <c r="A518" s="176"/>
      <c r="B518" s="129"/>
      <c r="C518" s="129"/>
      <c r="D518" s="129"/>
      <c r="E518" s="130"/>
      <c r="F518" s="177"/>
      <c r="G518" s="131"/>
      <c r="H518" s="131"/>
      <c r="I518" s="131"/>
    </row>
    <row r="519" spans="1:9" x14ac:dyDescent="0.2">
      <c r="A519" s="176"/>
      <c r="B519" s="129"/>
      <c r="C519" s="129"/>
      <c r="D519" s="129"/>
      <c r="E519" s="130"/>
      <c r="F519" s="177"/>
      <c r="G519" s="131"/>
      <c r="H519" s="131"/>
      <c r="I519" s="131"/>
    </row>
    <row r="520" spans="1:9" x14ac:dyDescent="0.2">
      <c r="A520" s="176"/>
      <c r="B520" s="129"/>
      <c r="C520" s="129"/>
      <c r="D520" s="129"/>
      <c r="E520" s="130"/>
      <c r="F520" s="177"/>
      <c r="G520" s="131"/>
      <c r="H520" s="131"/>
      <c r="I520" s="131"/>
    </row>
    <row r="521" spans="1:9" x14ac:dyDescent="0.2">
      <c r="A521" s="176"/>
      <c r="B521" s="129"/>
      <c r="C521" s="129"/>
      <c r="D521" s="129"/>
      <c r="E521" s="130"/>
      <c r="F521" s="177"/>
      <c r="G521" s="131"/>
      <c r="H521" s="131"/>
      <c r="I521" s="131"/>
    </row>
    <row r="522" spans="1:9" x14ac:dyDescent="0.2">
      <c r="A522" s="176"/>
      <c r="B522" s="129"/>
      <c r="C522" s="129"/>
      <c r="D522" s="129"/>
      <c r="E522" s="130"/>
      <c r="F522" s="177"/>
      <c r="G522" s="131"/>
      <c r="H522" s="131"/>
      <c r="I522" s="131"/>
    </row>
    <row r="523" spans="1:9" x14ac:dyDescent="0.2">
      <c r="A523" s="176"/>
      <c r="B523" s="129"/>
      <c r="C523" s="129"/>
      <c r="D523" s="129"/>
      <c r="E523" s="130"/>
      <c r="F523" s="177"/>
      <c r="G523" s="131"/>
      <c r="H523" s="131"/>
      <c r="I523" s="131"/>
    </row>
    <row r="524" spans="1:9" x14ac:dyDescent="0.2">
      <c r="A524" s="176"/>
      <c r="B524" s="129"/>
      <c r="C524" s="129"/>
      <c r="D524" s="129"/>
      <c r="E524" s="130"/>
      <c r="F524" s="177"/>
      <c r="G524" s="131"/>
      <c r="H524" s="131"/>
      <c r="I524" s="131"/>
    </row>
    <row r="525" spans="1:9" x14ac:dyDescent="0.2">
      <c r="A525" s="176"/>
      <c r="B525" s="129"/>
      <c r="C525" s="129"/>
      <c r="D525" s="129"/>
      <c r="E525" s="130"/>
      <c r="F525" s="177"/>
      <c r="G525" s="131"/>
      <c r="H525" s="131"/>
      <c r="I525" s="131"/>
    </row>
    <row r="526" spans="1:9" x14ac:dyDescent="0.2">
      <c r="A526" s="176"/>
      <c r="B526" s="129"/>
      <c r="C526" s="129"/>
      <c r="D526" s="129"/>
      <c r="E526" s="130"/>
      <c r="F526" s="177"/>
      <c r="G526" s="131"/>
      <c r="H526" s="131"/>
      <c r="I526" s="131"/>
    </row>
    <row r="527" spans="1:9" x14ac:dyDescent="0.2">
      <c r="A527" s="176"/>
      <c r="B527" s="129"/>
      <c r="C527" s="129"/>
      <c r="D527" s="129"/>
      <c r="E527" s="130"/>
      <c r="F527" s="177"/>
      <c r="G527" s="131"/>
      <c r="H527" s="131"/>
      <c r="I527" s="131"/>
    </row>
    <row r="528" spans="1:9" x14ac:dyDescent="0.2">
      <c r="A528" s="176"/>
      <c r="B528" s="129"/>
      <c r="C528" s="129"/>
      <c r="D528" s="129"/>
      <c r="E528" s="130"/>
      <c r="F528" s="177"/>
      <c r="G528" s="131"/>
      <c r="H528" s="131"/>
      <c r="I528" s="131"/>
    </row>
    <row r="529" spans="1:9" x14ac:dyDescent="0.2">
      <c r="A529" s="176"/>
      <c r="B529" s="129"/>
      <c r="C529" s="129"/>
      <c r="D529" s="129"/>
      <c r="E529" s="130"/>
      <c r="F529" s="177"/>
      <c r="G529" s="131"/>
      <c r="H529" s="131"/>
      <c r="I529" s="131"/>
    </row>
    <row r="530" spans="1:9" x14ac:dyDescent="0.2">
      <c r="A530" s="176"/>
      <c r="B530" s="129"/>
      <c r="C530" s="129"/>
      <c r="D530" s="129"/>
      <c r="E530" s="130"/>
      <c r="F530" s="177"/>
      <c r="G530" s="131"/>
      <c r="H530" s="131"/>
      <c r="I530" s="131"/>
    </row>
    <row r="531" spans="1:9" x14ac:dyDescent="0.2">
      <c r="A531" s="176"/>
      <c r="B531" s="129"/>
      <c r="C531" s="129"/>
      <c r="D531" s="129"/>
      <c r="E531" s="130"/>
      <c r="F531" s="177"/>
      <c r="G531" s="131"/>
      <c r="H531" s="131"/>
      <c r="I531" s="131"/>
    </row>
    <row r="532" spans="1:9" x14ac:dyDescent="0.2">
      <c r="A532" s="176"/>
      <c r="B532" s="129"/>
      <c r="C532" s="129"/>
      <c r="D532" s="129"/>
      <c r="E532" s="130"/>
      <c r="F532" s="177"/>
      <c r="G532" s="131"/>
      <c r="H532" s="131"/>
      <c r="I532" s="131"/>
    </row>
    <row r="533" spans="1:9" x14ac:dyDescent="0.2">
      <c r="A533" s="176"/>
      <c r="B533" s="129"/>
      <c r="C533" s="129"/>
      <c r="D533" s="129"/>
      <c r="E533" s="130"/>
      <c r="F533" s="177"/>
      <c r="G533" s="131"/>
      <c r="H533" s="131"/>
      <c r="I533" s="131"/>
    </row>
    <row r="534" spans="1:9" x14ac:dyDescent="0.2">
      <c r="A534" s="176"/>
      <c r="B534" s="129"/>
      <c r="C534" s="129"/>
      <c r="D534" s="129"/>
      <c r="E534" s="130"/>
      <c r="F534" s="177"/>
      <c r="G534" s="131"/>
      <c r="H534" s="131"/>
      <c r="I534" s="131"/>
    </row>
    <row r="535" spans="1:9" x14ac:dyDescent="0.2">
      <c r="A535" s="176"/>
      <c r="B535" s="129"/>
      <c r="C535" s="129"/>
      <c r="D535" s="129"/>
      <c r="E535" s="130"/>
      <c r="F535" s="177"/>
      <c r="G535" s="131"/>
      <c r="H535" s="131"/>
      <c r="I535" s="131"/>
    </row>
    <row r="536" spans="1:9" x14ac:dyDescent="0.2">
      <c r="A536" s="176"/>
      <c r="B536" s="129"/>
      <c r="C536" s="129"/>
      <c r="D536" s="129"/>
      <c r="E536" s="130"/>
      <c r="F536" s="177"/>
      <c r="G536" s="131"/>
      <c r="H536" s="131"/>
      <c r="I536" s="131"/>
    </row>
    <row r="537" spans="1:9" x14ac:dyDescent="0.2">
      <c r="A537" s="176"/>
      <c r="B537" s="129"/>
      <c r="C537" s="129"/>
      <c r="D537" s="129"/>
      <c r="E537" s="130"/>
      <c r="F537" s="177"/>
      <c r="G537" s="131"/>
      <c r="H537" s="131"/>
      <c r="I537" s="131"/>
    </row>
    <row r="538" spans="1:9" x14ac:dyDescent="0.2">
      <c r="A538" s="176"/>
      <c r="B538" s="129"/>
      <c r="C538" s="129"/>
      <c r="D538" s="129"/>
      <c r="E538" s="130"/>
      <c r="F538" s="177"/>
      <c r="G538" s="131"/>
      <c r="H538" s="131"/>
      <c r="I538" s="131"/>
    </row>
    <row r="539" spans="1:9" x14ac:dyDescent="0.2">
      <c r="A539" s="176"/>
      <c r="B539" s="129"/>
      <c r="C539" s="129"/>
      <c r="D539" s="129"/>
      <c r="E539" s="130"/>
      <c r="F539" s="177"/>
      <c r="G539" s="131"/>
      <c r="H539" s="131"/>
      <c r="I539" s="131"/>
    </row>
    <row r="540" spans="1:9" x14ac:dyDescent="0.2">
      <c r="A540" s="176"/>
      <c r="B540" s="129"/>
      <c r="C540" s="129"/>
      <c r="D540" s="129"/>
      <c r="E540" s="130"/>
      <c r="F540" s="177"/>
      <c r="G540" s="131"/>
      <c r="H540" s="131"/>
      <c r="I540" s="131"/>
    </row>
    <row r="541" spans="1:9" x14ac:dyDescent="0.2">
      <c r="A541" s="176"/>
      <c r="B541" s="129"/>
      <c r="C541" s="129"/>
      <c r="D541" s="129"/>
      <c r="E541" s="130"/>
      <c r="F541" s="177"/>
      <c r="G541" s="131"/>
      <c r="H541" s="131"/>
      <c r="I541" s="131"/>
    </row>
    <row r="542" spans="1:9" x14ac:dyDescent="0.2">
      <c r="A542" s="176"/>
      <c r="B542" s="129"/>
      <c r="C542" s="129"/>
      <c r="D542" s="129"/>
      <c r="E542" s="130"/>
      <c r="F542" s="177"/>
      <c r="G542" s="131"/>
      <c r="H542" s="131"/>
      <c r="I542" s="131"/>
    </row>
    <row r="543" spans="1:9" x14ac:dyDescent="0.2">
      <c r="A543" s="176"/>
      <c r="B543" s="129"/>
      <c r="C543" s="129"/>
      <c r="D543" s="129"/>
      <c r="E543" s="130"/>
      <c r="F543" s="177"/>
      <c r="G543" s="131"/>
      <c r="H543" s="131"/>
      <c r="I543" s="131"/>
    </row>
    <row r="544" spans="1:9" x14ac:dyDescent="0.2">
      <c r="A544" s="176"/>
      <c r="B544" s="129"/>
      <c r="C544" s="129"/>
      <c r="D544" s="129"/>
      <c r="E544" s="130"/>
      <c r="F544" s="177"/>
      <c r="G544" s="131"/>
      <c r="H544" s="131"/>
      <c r="I544" s="131"/>
    </row>
    <row r="545" spans="1:9" x14ac:dyDescent="0.2">
      <c r="A545" s="176"/>
      <c r="B545" s="129"/>
      <c r="C545" s="129"/>
      <c r="D545" s="129"/>
      <c r="E545" s="130"/>
      <c r="F545" s="177"/>
      <c r="G545" s="131"/>
      <c r="H545" s="131"/>
      <c r="I545" s="131"/>
    </row>
    <row r="546" spans="1:9" x14ac:dyDescent="0.2">
      <c r="A546" s="176"/>
      <c r="B546" s="129"/>
      <c r="C546" s="129"/>
      <c r="D546" s="129"/>
      <c r="E546" s="130"/>
      <c r="F546" s="177"/>
      <c r="G546" s="131"/>
      <c r="H546" s="131"/>
      <c r="I546" s="131"/>
    </row>
    <row r="547" spans="1:9" x14ac:dyDescent="0.2">
      <c r="A547" s="176"/>
      <c r="B547" s="129"/>
      <c r="C547" s="129"/>
      <c r="D547" s="129"/>
      <c r="E547" s="130"/>
      <c r="F547" s="177"/>
      <c r="G547" s="131"/>
      <c r="H547" s="131"/>
      <c r="I547" s="131"/>
    </row>
    <row r="548" spans="1:9" x14ac:dyDescent="0.2">
      <c r="A548" s="176"/>
      <c r="B548" s="129"/>
      <c r="C548" s="129"/>
      <c r="D548" s="129"/>
      <c r="E548" s="130"/>
      <c r="F548" s="177"/>
      <c r="G548" s="131"/>
      <c r="H548" s="131"/>
      <c r="I548" s="131"/>
    </row>
    <row r="549" spans="1:9" x14ac:dyDescent="0.2">
      <c r="A549" s="176"/>
      <c r="B549" s="129"/>
      <c r="C549" s="129"/>
      <c r="D549" s="129"/>
      <c r="E549" s="130"/>
      <c r="F549" s="177"/>
      <c r="G549" s="131"/>
      <c r="H549" s="131"/>
      <c r="I549" s="131"/>
    </row>
    <row r="550" spans="1:9" x14ac:dyDescent="0.2">
      <c r="A550" s="176"/>
      <c r="B550" s="129"/>
      <c r="C550" s="129"/>
      <c r="D550" s="129"/>
      <c r="E550" s="130"/>
      <c r="F550" s="177"/>
      <c r="G550" s="131"/>
      <c r="H550" s="131"/>
      <c r="I550" s="131"/>
    </row>
    <row r="551" spans="1:9" x14ac:dyDescent="0.2">
      <c r="A551" s="176"/>
      <c r="B551" s="129"/>
      <c r="C551" s="129"/>
      <c r="D551" s="129"/>
      <c r="E551" s="130"/>
      <c r="F551" s="177"/>
      <c r="G551" s="131"/>
      <c r="H551" s="131"/>
      <c r="I551" s="131"/>
    </row>
    <row r="552" spans="1:9" x14ac:dyDescent="0.2">
      <c r="A552" s="176"/>
      <c r="B552" s="129"/>
      <c r="C552" s="129"/>
      <c r="D552" s="129"/>
      <c r="E552" s="130"/>
      <c r="F552" s="177"/>
      <c r="G552" s="131"/>
      <c r="H552" s="131"/>
      <c r="I552" s="131"/>
    </row>
    <row r="553" spans="1:9" x14ac:dyDescent="0.2">
      <c r="A553" s="176"/>
      <c r="B553" s="129"/>
      <c r="C553" s="129"/>
      <c r="D553" s="129"/>
      <c r="E553" s="130"/>
      <c r="F553" s="177"/>
      <c r="G553" s="131"/>
      <c r="H553" s="131"/>
      <c r="I553" s="131"/>
    </row>
    <row r="554" spans="1:9" x14ac:dyDescent="0.2">
      <c r="A554" s="176"/>
      <c r="B554" s="129"/>
      <c r="C554" s="129"/>
      <c r="D554" s="129"/>
      <c r="E554" s="130"/>
      <c r="F554" s="177"/>
      <c r="G554" s="131"/>
      <c r="H554" s="131"/>
      <c r="I554" s="131"/>
    </row>
    <row r="555" spans="1:9" x14ac:dyDescent="0.2">
      <c r="A555" s="176"/>
      <c r="B555" s="129"/>
      <c r="C555" s="129"/>
      <c r="D555" s="129"/>
      <c r="E555" s="130"/>
      <c r="F555" s="177"/>
      <c r="G555" s="131"/>
      <c r="H555" s="131"/>
      <c r="I555" s="131"/>
    </row>
    <row r="556" spans="1:9" x14ac:dyDescent="0.2">
      <c r="A556" s="176"/>
      <c r="B556" s="129"/>
      <c r="C556" s="129"/>
      <c r="D556" s="129"/>
      <c r="E556" s="130"/>
      <c r="F556" s="177"/>
      <c r="G556" s="131"/>
      <c r="H556" s="131"/>
      <c r="I556" s="131"/>
    </row>
    <row r="557" spans="1:9" x14ac:dyDescent="0.2">
      <c r="A557" s="176"/>
      <c r="B557" s="129"/>
      <c r="C557" s="129"/>
      <c r="D557" s="129"/>
      <c r="E557" s="130"/>
      <c r="F557" s="177"/>
      <c r="G557" s="131"/>
      <c r="H557" s="131"/>
      <c r="I557" s="131"/>
    </row>
    <row r="558" spans="1:9" x14ac:dyDescent="0.2">
      <c r="A558" s="176"/>
      <c r="B558" s="129"/>
      <c r="C558" s="129"/>
      <c r="D558" s="129"/>
      <c r="E558" s="130"/>
      <c r="F558" s="177"/>
      <c r="G558" s="131"/>
      <c r="H558" s="131"/>
      <c r="I558" s="131"/>
    </row>
    <row r="559" spans="1:9" x14ac:dyDescent="0.2">
      <c r="A559" s="176"/>
      <c r="B559" s="129"/>
      <c r="C559" s="129"/>
      <c r="D559" s="129"/>
      <c r="E559" s="130"/>
      <c r="F559" s="177"/>
      <c r="G559" s="131"/>
      <c r="H559" s="131"/>
      <c r="I559" s="131"/>
    </row>
    <row r="560" spans="1:9" x14ac:dyDescent="0.2">
      <c r="A560" s="176"/>
      <c r="B560" s="129"/>
      <c r="C560" s="129"/>
      <c r="D560" s="129"/>
      <c r="E560" s="130"/>
      <c r="F560" s="177"/>
      <c r="G560" s="131"/>
      <c r="H560" s="131"/>
      <c r="I560" s="131"/>
    </row>
    <row r="561" spans="1:9" x14ac:dyDescent="0.2">
      <c r="A561" s="176"/>
      <c r="B561" s="129"/>
      <c r="C561" s="129"/>
      <c r="D561" s="129"/>
      <c r="E561" s="130"/>
      <c r="F561" s="177"/>
      <c r="G561" s="131"/>
      <c r="H561" s="131"/>
      <c r="I561" s="131"/>
    </row>
    <row r="562" spans="1:9" x14ac:dyDescent="0.2">
      <c r="A562" s="176"/>
      <c r="B562" s="129"/>
      <c r="C562" s="129"/>
      <c r="D562" s="129"/>
      <c r="E562" s="130"/>
      <c r="F562" s="177"/>
      <c r="G562" s="131"/>
      <c r="H562" s="131"/>
      <c r="I562" s="131"/>
    </row>
    <row r="563" spans="1:9" x14ac:dyDescent="0.2">
      <c r="A563" s="176"/>
      <c r="B563" s="129"/>
      <c r="C563" s="129"/>
      <c r="D563" s="129"/>
      <c r="E563" s="130"/>
      <c r="F563" s="177"/>
      <c r="G563" s="131"/>
      <c r="H563" s="131"/>
      <c r="I563" s="131"/>
    </row>
    <row r="564" spans="1:9" x14ac:dyDescent="0.2">
      <c r="A564" s="176"/>
      <c r="B564" s="129"/>
      <c r="C564" s="129"/>
      <c r="D564" s="129"/>
      <c r="E564" s="130"/>
      <c r="F564" s="177"/>
      <c r="G564" s="131"/>
      <c r="H564" s="131"/>
      <c r="I564" s="131"/>
    </row>
    <row r="565" spans="1:9" x14ac:dyDescent="0.2">
      <c r="A565" s="176"/>
      <c r="B565" s="129"/>
      <c r="C565" s="129"/>
      <c r="D565" s="129"/>
      <c r="E565" s="130"/>
      <c r="F565" s="177"/>
      <c r="G565" s="131"/>
      <c r="H565" s="131"/>
      <c r="I565" s="131"/>
    </row>
    <row r="566" spans="1:9" x14ac:dyDescent="0.2">
      <c r="A566" s="176"/>
      <c r="B566" s="129"/>
      <c r="C566" s="129"/>
      <c r="D566" s="129"/>
      <c r="E566" s="130"/>
      <c r="F566" s="177"/>
      <c r="G566" s="131"/>
      <c r="H566" s="131"/>
      <c r="I566" s="131"/>
    </row>
    <row r="567" spans="1:9" x14ac:dyDescent="0.2">
      <c r="A567" s="176"/>
      <c r="B567" s="129"/>
      <c r="C567" s="129"/>
      <c r="D567" s="129"/>
      <c r="E567" s="130"/>
      <c r="F567" s="177"/>
      <c r="G567" s="131"/>
      <c r="H567" s="131"/>
      <c r="I567" s="131"/>
    </row>
    <row r="568" spans="1:9" x14ac:dyDescent="0.2">
      <c r="A568" s="176"/>
      <c r="B568" s="129"/>
      <c r="C568" s="129"/>
      <c r="D568" s="129"/>
      <c r="E568" s="130"/>
      <c r="F568" s="177"/>
      <c r="G568" s="131"/>
      <c r="H568" s="131"/>
      <c r="I568" s="131"/>
    </row>
    <row r="569" spans="1:9" x14ac:dyDescent="0.2">
      <c r="A569" s="176"/>
      <c r="B569" s="129"/>
      <c r="C569" s="129"/>
      <c r="D569" s="129"/>
      <c r="E569" s="130"/>
      <c r="F569" s="177"/>
      <c r="G569" s="131"/>
      <c r="H569" s="131"/>
      <c r="I569" s="131"/>
    </row>
    <row r="570" spans="1:9" x14ac:dyDescent="0.2">
      <c r="A570" s="176"/>
      <c r="B570" s="129"/>
      <c r="C570" s="129"/>
      <c r="D570" s="129"/>
      <c r="E570" s="130"/>
      <c r="F570" s="177"/>
      <c r="G570" s="131"/>
      <c r="H570" s="131"/>
      <c r="I570" s="131"/>
    </row>
    <row r="571" spans="1:9" x14ac:dyDescent="0.2">
      <c r="A571" s="176"/>
      <c r="B571" s="129"/>
      <c r="C571" s="129"/>
      <c r="D571" s="129"/>
      <c r="E571" s="130"/>
      <c r="F571" s="177"/>
      <c r="G571" s="131"/>
      <c r="H571" s="131"/>
      <c r="I571" s="131"/>
    </row>
    <row r="572" spans="1:9" x14ac:dyDescent="0.2">
      <c r="A572" s="176"/>
      <c r="B572" s="129"/>
      <c r="C572" s="129"/>
      <c r="D572" s="129"/>
      <c r="E572" s="130"/>
      <c r="F572" s="177"/>
      <c r="G572" s="131"/>
      <c r="H572" s="131"/>
      <c r="I572" s="131"/>
    </row>
    <row r="573" spans="1:9" x14ac:dyDescent="0.2">
      <c r="A573" s="176"/>
      <c r="B573" s="129"/>
      <c r="C573" s="129"/>
      <c r="D573" s="129"/>
      <c r="E573" s="130"/>
      <c r="F573" s="177"/>
      <c r="G573" s="131"/>
      <c r="H573" s="131"/>
      <c r="I573" s="131"/>
    </row>
    <row r="574" spans="1:9" x14ac:dyDescent="0.2">
      <c r="A574" s="176"/>
      <c r="B574" s="129"/>
      <c r="C574" s="129"/>
      <c r="D574" s="129"/>
      <c r="E574" s="130"/>
      <c r="F574" s="177"/>
      <c r="G574" s="131"/>
      <c r="H574" s="131"/>
      <c r="I574" s="131"/>
    </row>
    <row r="575" spans="1:9" x14ac:dyDescent="0.2">
      <c r="A575" s="176"/>
      <c r="B575" s="129"/>
      <c r="C575" s="129"/>
      <c r="D575" s="129"/>
      <c r="E575" s="130"/>
      <c r="F575" s="177"/>
      <c r="G575" s="131"/>
      <c r="H575" s="131"/>
      <c r="I575" s="131"/>
    </row>
    <row r="576" spans="1:9" x14ac:dyDescent="0.2">
      <c r="A576" s="176"/>
      <c r="B576" s="129"/>
      <c r="C576" s="129"/>
      <c r="D576" s="129"/>
      <c r="E576" s="130"/>
      <c r="F576" s="177"/>
      <c r="G576" s="131"/>
      <c r="H576" s="131"/>
      <c r="I576" s="131"/>
    </row>
    <row r="577" spans="1:9" x14ac:dyDescent="0.2">
      <c r="A577" s="176"/>
      <c r="B577" s="129"/>
      <c r="C577" s="129"/>
      <c r="D577" s="129"/>
      <c r="E577" s="130"/>
      <c r="F577" s="177"/>
      <c r="G577" s="131"/>
      <c r="H577" s="131"/>
      <c r="I577" s="131"/>
    </row>
    <row r="578" spans="1:9" x14ac:dyDescent="0.2">
      <c r="A578" s="176"/>
      <c r="B578" s="129"/>
      <c r="C578" s="129"/>
      <c r="D578" s="129"/>
      <c r="E578" s="130"/>
      <c r="F578" s="177"/>
      <c r="G578" s="131"/>
      <c r="H578" s="131"/>
      <c r="I578" s="131"/>
    </row>
    <row r="579" spans="1:9" x14ac:dyDescent="0.2">
      <c r="A579" s="176"/>
      <c r="B579" s="129"/>
      <c r="C579" s="129"/>
      <c r="D579" s="129"/>
      <c r="E579" s="130"/>
      <c r="F579" s="177"/>
      <c r="G579" s="131"/>
      <c r="H579" s="131"/>
      <c r="I579" s="131"/>
    </row>
    <row r="580" spans="1:9" x14ac:dyDescent="0.2">
      <c r="A580" s="176"/>
      <c r="B580" s="129"/>
      <c r="C580" s="129"/>
      <c r="D580" s="129"/>
      <c r="E580" s="130"/>
      <c r="F580" s="177"/>
      <c r="G580" s="131"/>
      <c r="H580" s="131"/>
      <c r="I580" s="131"/>
    </row>
    <row r="581" spans="1:9" x14ac:dyDescent="0.2">
      <c r="A581" s="176"/>
      <c r="B581" s="129"/>
      <c r="C581" s="129"/>
      <c r="D581" s="129"/>
      <c r="E581" s="130"/>
      <c r="F581" s="177"/>
      <c r="G581" s="131"/>
      <c r="H581" s="131"/>
      <c r="I581" s="131"/>
    </row>
    <row r="582" spans="1:9" x14ac:dyDescent="0.2">
      <c r="A582" s="176"/>
      <c r="B582" s="129"/>
      <c r="C582" s="129"/>
      <c r="D582" s="129"/>
      <c r="E582" s="130"/>
      <c r="F582" s="177"/>
      <c r="G582" s="131"/>
      <c r="H582" s="131"/>
      <c r="I582" s="131"/>
    </row>
    <row r="583" spans="1:9" x14ac:dyDescent="0.2">
      <c r="A583" s="176"/>
      <c r="B583" s="129"/>
      <c r="C583" s="129"/>
      <c r="D583" s="129"/>
      <c r="E583" s="130"/>
      <c r="F583" s="177"/>
      <c r="G583" s="131"/>
      <c r="H583" s="131"/>
      <c r="I583" s="131"/>
    </row>
    <row r="584" spans="1:9" x14ac:dyDescent="0.2">
      <c r="A584" s="176"/>
      <c r="B584" s="129"/>
      <c r="C584" s="129"/>
      <c r="D584" s="129"/>
      <c r="E584" s="130"/>
      <c r="F584" s="177"/>
      <c r="G584" s="131"/>
      <c r="H584" s="131"/>
      <c r="I584" s="131"/>
    </row>
    <row r="585" spans="1:9" x14ac:dyDescent="0.2">
      <c r="A585" s="176"/>
      <c r="B585" s="129"/>
      <c r="C585" s="129"/>
      <c r="D585" s="129"/>
      <c r="E585" s="130"/>
      <c r="F585" s="177"/>
      <c r="G585" s="131"/>
      <c r="H585" s="131"/>
      <c r="I585" s="131"/>
    </row>
    <row r="586" spans="1:9" x14ac:dyDescent="0.2">
      <c r="A586" s="176"/>
      <c r="B586" s="129"/>
      <c r="C586" s="129"/>
      <c r="D586" s="129"/>
      <c r="E586" s="130"/>
      <c r="F586" s="177"/>
      <c r="G586" s="131"/>
      <c r="H586" s="131"/>
      <c r="I586" s="131"/>
    </row>
    <row r="587" spans="1:9" x14ac:dyDescent="0.2">
      <c r="A587" s="176"/>
      <c r="B587" s="129"/>
      <c r="C587" s="129"/>
      <c r="D587" s="129"/>
      <c r="E587" s="130"/>
      <c r="F587" s="177"/>
      <c r="G587" s="131"/>
      <c r="H587" s="131"/>
      <c r="I587" s="131"/>
    </row>
    <row r="588" spans="1:9" x14ac:dyDescent="0.2">
      <c r="A588" s="176"/>
      <c r="B588" s="129"/>
      <c r="C588" s="129"/>
      <c r="D588" s="129"/>
      <c r="E588" s="130"/>
      <c r="F588" s="177"/>
      <c r="G588" s="131"/>
      <c r="H588" s="131"/>
      <c r="I588" s="131"/>
    </row>
    <row r="589" spans="1:9" x14ac:dyDescent="0.2">
      <c r="A589" s="176"/>
      <c r="B589" s="129"/>
      <c r="C589" s="129"/>
      <c r="D589" s="129"/>
      <c r="E589" s="130"/>
      <c r="F589" s="177"/>
      <c r="G589" s="131"/>
      <c r="H589" s="131"/>
      <c r="I589" s="131"/>
    </row>
    <row r="590" spans="1:9" x14ac:dyDescent="0.2">
      <c r="A590" s="176"/>
      <c r="B590" s="129"/>
      <c r="C590" s="129"/>
      <c r="D590" s="129"/>
      <c r="E590" s="130"/>
      <c r="F590" s="177"/>
      <c r="G590" s="131"/>
      <c r="H590" s="131"/>
      <c r="I590" s="131"/>
    </row>
    <row r="591" spans="1:9" x14ac:dyDescent="0.2">
      <c r="A591" s="176"/>
      <c r="B591" s="129"/>
      <c r="C591" s="129"/>
      <c r="D591" s="129"/>
      <c r="E591" s="130"/>
      <c r="F591" s="177"/>
      <c r="G591" s="131"/>
      <c r="H591" s="131"/>
      <c r="I591" s="131"/>
    </row>
    <row r="592" spans="1:9" x14ac:dyDescent="0.2">
      <c r="A592" s="176"/>
      <c r="B592" s="129"/>
      <c r="C592" s="129"/>
      <c r="D592" s="129"/>
      <c r="E592" s="130"/>
      <c r="F592" s="177"/>
      <c r="G592" s="131"/>
      <c r="H592" s="131"/>
      <c r="I592" s="131"/>
    </row>
    <row r="593" spans="1:9" x14ac:dyDescent="0.2">
      <c r="A593" s="176"/>
      <c r="B593" s="129"/>
      <c r="C593" s="129"/>
      <c r="D593" s="129"/>
      <c r="E593" s="130"/>
      <c r="F593" s="177"/>
      <c r="G593" s="131"/>
      <c r="H593" s="131"/>
      <c r="I593" s="131"/>
    </row>
    <row r="594" spans="1:9" x14ac:dyDescent="0.2">
      <c r="A594" s="176"/>
      <c r="B594" s="129"/>
      <c r="C594" s="129"/>
      <c r="D594" s="129"/>
      <c r="E594" s="130"/>
      <c r="F594" s="177"/>
      <c r="G594" s="131"/>
      <c r="H594" s="131"/>
      <c r="I594" s="131"/>
    </row>
    <row r="595" spans="1:9" x14ac:dyDescent="0.2">
      <c r="A595" s="176"/>
      <c r="B595" s="129"/>
      <c r="C595" s="129"/>
      <c r="D595" s="129"/>
      <c r="E595" s="130"/>
      <c r="F595" s="177"/>
      <c r="G595" s="131"/>
      <c r="H595" s="131"/>
      <c r="I595" s="131"/>
    </row>
    <row r="596" spans="1:9" x14ac:dyDescent="0.2">
      <c r="A596" s="176"/>
      <c r="B596" s="129"/>
      <c r="C596" s="129"/>
      <c r="D596" s="129"/>
      <c r="E596" s="130"/>
      <c r="F596" s="177"/>
      <c r="G596" s="131"/>
      <c r="H596" s="131"/>
      <c r="I596" s="131"/>
    </row>
    <row r="597" spans="1:9" x14ac:dyDescent="0.2">
      <c r="A597" s="176"/>
      <c r="B597" s="129"/>
      <c r="C597" s="129"/>
      <c r="D597" s="129"/>
      <c r="E597" s="130"/>
      <c r="F597" s="177"/>
      <c r="G597" s="131"/>
      <c r="H597" s="131"/>
      <c r="I597" s="131"/>
    </row>
    <row r="598" spans="1:9" x14ac:dyDescent="0.2">
      <c r="A598" s="176"/>
      <c r="B598" s="129"/>
      <c r="C598" s="129"/>
      <c r="D598" s="129"/>
      <c r="E598" s="130"/>
      <c r="F598" s="177"/>
      <c r="G598" s="131"/>
      <c r="H598" s="131"/>
      <c r="I598" s="131"/>
    </row>
    <row r="599" spans="1:9" x14ac:dyDescent="0.2">
      <c r="A599" s="176"/>
      <c r="B599" s="129"/>
      <c r="C599" s="129"/>
      <c r="D599" s="129"/>
      <c r="E599" s="130"/>
      <c r="F599" s="177"/>
      <c r="G599" s="131"/>
      <c r="H599" s="131"/>
      <c r="I599" s="131"/>
    </row>
    <row r="600" spans="1:9" x14ac:dyDescent="0.2">
      <c r="A600" s="176"/>
      <c r="B600" s="129"/>
      <c r="C600" s="129"/>
      <c r="D600" s="129"/>
      <c r="E600" s="130"/>
      <c r="F600" s="177"/>
      <c r="G600" s="131"/>
      <c r="H600" s="131"/>
      <c r="I600" s="131"/>
    </row>
    <row r="601" spans="1:9" x14ac:dyDescent="0.2">
      <c r="A601" s="176"/>
      <c r="B601" s="129"/>
      <c r="C601" s="129"/>
      <c r="D601" s="129"/>
      <c r="E601" s="130"/>
      <c r="F601" s="177"/>
      <c r="G601" s="131"/>
      <c r="H601" s="131"/>
      <c r="I601" s="131"/>
    </row>
    <row r="602" spans="1:9" x14ac:dyDescent="0.2">
      <c r="A602" s="176"/>
      <c r="B602" s="129"/>
      <c r="C602" s="129"/>
      <c r="D602" s="129"/>
      <c r="E602" s="130"/>
      <c r="F602" s="177"/>
      <c r="G602" s="131"/>
      <c r="H602" s="131"/>
      <c r="I602" s="131"/>
    </row>
    <row r="603" spans="1:9" x14ac:dyDescent="0.2">
      <c r="A603" s="176"/>
      <c r="B603" s="129"/>
      <c r="C603" s="129"/>
      <c r="D603" s="129"/>
      <c r="E603" s="130"/>
      <c r="F603" s="177"/>
      <c r="G603" s="131"/>
      <c r="H603" s="131"/>
      <c r="I603" s="131"/>
    </row>
    <row r="604" spans="1:9" x14ac:dyDescent="0.2">
      <c r="A604" s="176"/>
      <c r="B604" s="129"/>
      <c r="C604" s="129"/>
      <c r="D604" s="129"/>
      <c r="E604" s="130"/>
      <c r="F604" s="177"/>
      <c r="G604" s="131"/>
      <c r="H604" s="131"/>
      <c r="I604" s="131"/>
    </row>
    <row r="605" spans="1:9" x14ac:dyDescent="0.2">
      <c r="A605" s="176"/>
      <c r="B605" s="129"/>
      <c r="C605" s="129"/>
      <c r="D605" s="129"/>
      <c r="E605" s="130"/>
      <c r="F605" s="177"/>
      <c r="G605" s="131"/>
      <c r="H605" s="131"/>
      <c r="I605" s="131"/>
    </row>
    <row r="606" spans="1:9" x14ac:dyDescent="0.2">
      <c r="A606" s="176"/>
      <c r="B606" s="129"/>
      <c r="C606" s="129"/>
      <c r="D606" s="129"/>
      <c r="E606" s="130"/>
      <c r="F606" s="177"/>
      <c r="G606" s="131"/>
      <c r="H606" s="131"/>
      <c r="I606" s="131"/>
    </row>
    <row r="607" spans="1:9" x14ac:dyDescent="0.2">
      <c r="A607" s="176"/>
      <c r="B607" s="129"/>
      <c r="C607" s="129"/>
      <c r="D607" s="129"/>
      <c r="E607" s="130"/>
      <c r="F607" s="177"/>
      <c r="G607" s="131"/>
      <c r="H607" s="131"/>
      <c r="I607" s="131"/>
    </row>
    <row r="608" spans="1:9" x14ac:dyDescent="0.2">
      <c r="A608" s="176"/>
      <c r="B608" s="129"/>
      <c r="C608" s="129"/>
      <c r="D608" s="129"/>
      <c r="E608" s="130"/>
      <c r="F608" s="177"/>
      <c r="G608" s="131"/>
      <c r="H608" s="131"/>
      <c r="I608" s="131"/>
    </row>
    <row r="609" spans="1:9" x14ac:dyDescent="0.2">
      <c r="A609" s="176"/>
      <c r="B609" s="129"/>
      <c r="C609" s="129"/>
      <c r="D609" s="129"/>
      <c r="E609" s="130"/>
      <c r="F609" s="177"/>
      <c r="G609" s="131"/>
      <c r="H609" s="131"/>
      <c r="I609" s="131"/>
    </row>
    <row r="610" spans="1:9" x14ac:dyDescent="0.2">
      <c r="A610" s="176"/>
      <c r="B610" s="129"/>
      <c r="C610" s="129"/>
      <c r="D610" s="129"/>
      <c r="E610" s="130"/>
      <c r="F610" s="177"/>
      <c r="G610" s="131"/>
      <c r="H610" s="131"/>
      <c r="I610" s="131"/>
    </row>
    <row r="611" spans="1:9" x14ac:dyDescent="0.2">
      <c r="A611" s="176"/>
      <c r="B611" s="129"/>
      <c r="C611" s="129"/>
      <c r="D611" s="129"/>
      <c r="E611" s="130"/>
      <c r="F611" s="177"/>
      <c r="G611" s="131"/>
      <c r="H611" s="131"/>
      <c r="I611" s="131"/>
    </row>
    <row r="612" spans="1:9" x14ac:dyDescent="0.2">
      <c r="A612" s="176"/>
      <c r="B612" s="129"/>
      <c r="C612" s="129"/>
      <c r="D612" s="129"/>
      <c r="E612" s="130"/>
      <c r="F612" s="177"/>
      <c r="G612" s="131"/>
      <c r="H612" s="131"/>
      <c r="I612" s="131"/>
    </row>
    <row r="613" spans="1:9" x14ac:dyDescent="0.2">
      <c r="A613" s="176"/>
      <c r="B613" s="129"/>
      <c r="C613" s="129"/>
      <c r="D613" s="129"/>
      <c r="E613" s="130"/>
      <c r="F613" s="177"/>
      <c r="G613" s="131"/>
      <c r="H613" s="131"/>
      <c r="I613" s="131"/>
    </row>
    <row r="614" spans="1:9" x14ac:dyDescent="0.2">
      <c r="A614" s="176"/>
      <c r="B614" s="129"/>
      <c r="C614" s="129"/>
      <c r="D614" s="129"/>
      <c r="E614" s="130"/>
      <c r="F614" s="177"/>
      <c r="G614" s="131"/>
      <c r="H614" s="131"/>
      <c r="I614" s="131"/>
    </row>
    <row r="615" spans="1:9" x14ac:dyDescent="0.2">
      <c r="A615" s="176"/>
      <c r="B615" s="129"/>
      <c r="C615" s="129"/>
      <c r="D615" s="129"/>
      <c r="E615" s="130"/>
      <c r="F615" s="177"/>
      <c r="G615" s="131"/>
      <c r="H615" s="131"/>
      <c r="I615" s="131"/>
    </row>
    <row r="616" spans="1:9" x14ac:dyDescent="0.2">
      <c r="A616" s="176"/>
      <c r="B616" s="129"/>
      <c r="C616" s="129"/>
      <c r="D616" s="129"/>
      <c r="E616" s="130"/>
      <c r="F616" s="177"/>
      <c r="G616" s="131"/>
      <c r="H616" s="131"/>
      <c r="I616" s="131"/>
    </row>
    <row r="617" spans="1:9" x14ac:dyDescent="0.2">
      <c r="A617" s="176"/>
      <c r="B617" s="129"/>
      <c r="C617" s="129"/>
      <c r="D617" s="129"/>
      <c r="E617" s="130"/>
      <c r="F617" s="177"/>
      <c r="G617" s="131"/>
      <c r="H617" s="131"/>
      <c r="I617" s="131"/>
    </row>
    <row r="618" spans="1:9" x14ac:dyDescent="0.2">
      <c r="A618" s="176"/>
      <c r="B618" s="129"/>
      <c r="C618" s="129"/>
      <c r="D618" s="129"/>
      <c r="E618" s="130"/>
      <c r="F618" s="177"/>
      <c r="G618" s="131"/>
      <c r="H618" s="131"/>
      <c r="I618" s="131"/>
    </row>
    <row r="619" spans="1:9" x14ac:dyDescent="0.2">
      <c r="A619" s="176"/>
      <c r="B619" s="129"/>
      <c r="C619" s="129"/>
      <c r="D619" s="129"/>
      <c r="E619" s="130"/>
      <c r="F619" s="177"/>
      <c r="G619" s="131"/>
      <c r="H619" s="131"/>
      <c r="I619" s="131"/>
    </row>
    <row r="620" spans="1:9" x14ac:dyDescent="0.2">
      <c r="A620" s="176"/>
      <c r="B620" s="129"/>
      <c r="C620" s="129"/>
      <c r="D620" s="129"/>
      <c r="E620" s="130"/>
      <c r="F620" s="177"/>
      <c r="G620" s="131"/>
      <c r="H620" s="131"/>
      <c r="I620" s="131"/>
    </row>
    <row r="621" spans="1:9" x14ac:dyDescent="0.2">
      <c r="A621" s="176"/>
      <c r="B621" s="129"/>
      <c r="C621" s="129"/>
      <c r="D621" s="129"/>
      <c r="E621" s="130"/>
      <c r="F621" s="177"/>
      <c r="G621" s="131"/>
      <c r="H621" s="131"/>
      <c r="I621" s="131"/>
    </row>
    <row r="622" spans="1:9" x14ac:dyDescent="0.2">
      <c r="A622" s="176"/>
      <c r="B622" s="129"/>
      <c r="C622" s="129"/>
      <c r="D622" s="129"/>
      <c r="E622" s="130"/>
      <c r="F622" s="177"/>
      <c r="G622" s="131"/>
      <c r="H622" s="131"/>
      <c r="I622" s="131"/>
    </row>
    <row r="623" spans="1:9" x14ac:dyDescent="0.2">
      <c r="A623" s="176"/>
      <c r="B623" s="129"/>
      <c r="C623" s="129"/>
      <c r="D623" s="129"/>
      <c r="E623" s="130"/>
      <c r="F623" s="177"/>
      <c r="G623" s="131"/>
      <c r="H623" s="131"/>
      <c r="I623" s="131"/>
    </row>
    <row r="624" spans="1:9" x14ac:dyDescent="0.2">
      <c r="A624" s="176"/>
      <c r="B624" s="129"/>
      <c r="C624" s="129"/>
      <c r="D624" s="129"/>
      <c r="E624" s="130"/>
      <c r="F624" s="177"/>
      <c r="G624" s="131"/>
      <c r="H624" s="131"/>
      <c r="I624" s="131"/>
    </row>
    <row r="625" spans="1:9" x14ac:dyDescent="0.2">
      <c r="A625" s="176"/>
      <c r="B625" s="129"/>
      <c r="C625" s="129"/>
      <c r="D625" s="129"/>
      <c r="E625" s="130"/>
      <c r="F625" s="177"/>
      <c r="G625" s="131"/>
      <c r="H625" s="131"/>
      <c r="I625" s="131"/>
    </row>
    <row r="626" spans="1:9" x14ac:dyDescent="0.2">
      <c r="A626" s="176"/>
      <c r="B626" s="129"/>
      <c r="C626" s="129"/>
      <c r="D626" s="129"/>
      <c r="E626" s="130"/>
      <c r="F626" s="177"/>
      <c r="G626" s="131"/>
      <c r="H626" s="131"/>
      <c r="I626" s="131"/>
    </row>
    <row r="627" spans="1:9" x14ac:dyDescent="0.2">
      <c r="A627" s="176"/>
      <c r="B627" s="129"/>
      <c r="C627" s="129"/>
      <c r="D627" s="129"/>
      <c r="E627" s="130"/>
      <c r="F627" s="177"/>
      <c r="G627" s="131"/>
      <c r="H627" s="131"/>
      <c r="I627" s="131"/>
    </row>
    <row r="628" spans="1:9" x14ac:dyDescent="0.2">
      <c r="A628" s="176"/>
      <c r="B628" s="129"/>
      <c r="C628" s="129"/>
      <c r="D628" s="129"/>
      <c r="E628" s="130"/>
      <c r="F628" s="177"/>
      <c r="G628" s="131"/>
      <c r="H628" s="131"/>
      <c r="I628" s="131"/>
    </row>
    <row r="629" spans="1:9" x14ac:dyDescent="0.2">
      <c r="A629" s="176"/>
      <c r="B629" s="129"/>
      <c r="C629" s="129"/>
      <c r="D629" s="129"/>
      <c r="E629" s="130"/>
      <c r="F629" s="177"/>
      <c r="G629" s="131"/>
      <c r="H629" s="131"/>
      <c r="I629" s="131"/>
    </row>
    <row r="630" spans="1:9" x14ac:dyDescent="0.2">
      <c r="A630" s="176"/>
      <c r="B630" s="129"/>
      <c r="C630" s="129"/>
      <c r="D630" s="129"/>
      <c r="E630" s="130"/>
      <c r="F630" s="177"/>
      <c r="G630" s="131"/>
      <c r="H630" s="131"/>
      <c r="I630" s="131"/>
    </row>
    <row r="631" spans="1:9" x14ac:dyDescent="0.2">
      <c r="A631" s="176"/>
      <c r="B631" s="129"/>
      <c r="C631" s="129"/>
      <c r="D631" s="129"/>
      <c r="E631" s="130"/>
      <c r="F631" s="177"/>
      <c r="G631" s="131"/>
      <c r="H631" s="131"/>
      <c r="I631" s="131"/>
    </row>
    <row r="632" spans="1:9" x14ac:dyDescent="0.2">
      <c r="A632" s="176"/>
      <c r="B632" s="129"/>
      <c r="C632" s="129"/>
      <c r="D632" s="129"/>
      <c r="E632" s="130"/>
      <c r="F632" s="177"/>
      <c r="G632" s="131"/>
      <c r="H632" s="131"/>
      <c r="I632" s="131"/>
    </row>
    <row r="633" spans="1:9" x14ac:dyDescent="0.2">
      <c r="A633" s="176"/>
      <c r="B633" s="129"/>
      <c r="C633" s="129"/>
      <c r="D633" s="129"/>
      <c r="E633" s="130"/>
      <c r="F633" s="177"/>
      <c r="G633" s="131"/>
      <c r="H633" s="131"/>
      <c r="I633" s="131"/>
    </row>
    <row r="634" spans="1:9" x14ac:dyDescent="0.2">
      <c r="A634" s="176"/>
      <c r="B634" s="129"/>
      <c r="C634" s="129"/>
      <c r="D634" s="129"/>
      <c r="E634" s="130"/>
      <c r="F634" s="177"/>
      <c r="G634" s="131"/>
      <c r="H634" s="131"/>
      <c r="I634" s="131"/>
    </row>
    <row r="635" spans="1:9" x14ac:dyDescent="0.2">
      <c r="A635" s="176"/>
      <c r="B635" s="129"/>
      <c r="C635" s="129"/>
      <c r="D635" s="129"/>
      <c r="E635" s="130"/>
      <c r="F635" s="177"/>
      <c r="G635" s="131"/>
      <c r="H635" s="131"/>
      <c r="I635" s="131"/>
    </row>
    <row r="636" spans="1:9" x14ac:dyDescent="0.2">
      <c r="A636" s="176"/>
      <c r="B636" s="129"/>
      <c r="C636" s="129"/>
      <c r="D636" s="129"/>
      <c r="E636" s="130"/>
      <c r="F636" s="177"/>
      <c r="G636" s="131"/>
      <c r="H636" s="131"/>
      <c r="I636" s="131"/>
    </row>
    <row r="637" spans="1:9" x14ac:dyDescent="0.2">
      <c r="A637" s="176"/>
      <c r="B637" s="129"/>
      <c r="C637" s="129"/>
      <c r="D637" s="129"/>
      <c r="E637" s="130"/>
      <c r="F637" s="177"/>
      <c r="G637" s="131"/>
      <c r="H637" s="131"/>
      <c r="I637" s="131"/>
    </row>
    <row r="638" spans="1:9" x14ac:dyDescent="0.2">
      <c r="A638" s="176"/>
      <c r="B638" s="129"/>
      <c r="C638" s="129"/>
      <c r="D638" s="129"/>
      <c r="E638" s="130"/>
      <c r="F638" s="177"/>
      <c r="G638" s="131"/>
      <c r="H638" s="131"/>
      <c r="I638" s="131"/>
    </row>
    <row r="639" spans="1:9" x14ac:dyDescent="0.2">
      <c r="A639" s="176"/>
      <c r="B639" s="129"/>
      <c r="C639" s="129"/>
      <c r="D639" s="129"/>
      <c r="E639" s="130"/>
      <c r="F639" s="177"/>
      <c r="G639" s="131"/>
      <c r="H639" s="131"/>
      <c r="I639" s="131"/>
    </row>
    <row r="640" spans="1:9" x14ac:dyDescent="0.2">
      <c r="A640" s="176"/>
      <c r="B640" s="129"/>
      <c r="C640" s="129"/>
      <c r="D640" s="129"/>
      <c r="E640" s="130"/>
      <c r="F640" s="177"/>
      <c r="G640" s="131"/>
      <c r="H640" s="131"/>
      <c r="I640" s="131"/>
    </row>
    <row r="641" spans="1:9" x14ac:dyDescent="0.2">
      <c r="A641" s="176"/>
      <c r="B641" s="129"/>
      <c r="C641" s="129"/>
      <c r="D641" s="129"/>
      <c r="E641" s="130"/>
      <c r="F641" s="177"/>
      <c r="G641" s="131"/>
      <c r="H641" s="131"/>
      <c r="I641" s="131"/>
    </row>
    <row r="642" spans="1:9" x14ac:dyDescent="0.2">
      <c r="A642" s="176"/>
      <c r="B642" s="129"/>
      <c r="C642" s="129"/>
      <c r="D642" s="129"/>
      <c r="E642" s="130"/>
      <c r="F642" s="177"/>
      <c r="G642" s="131"/>
      <c r="H642" s="131"/>
      <c r="I642" s="131"/>
    </row>
    <row r="643" spans="1:9" x14ac:dyDescent="0.2">
      <c r="A643" s="176"/>
      <c r="B643" s="129"/>
      <c r="C643" s="129"/>
      <c r="D643" s="129"/>
      <c r="E643" s="130"/>
      <c r="F643" s="177"/>
      <c r="G643" s="131"/>
      <c r="H643" s="131"/>
      <c r="I643" s="131"/>
    </row>
    <row r="644" spans="1:9" x14ac:dyDescent="0.2">
      <c r="A644" s="176"/>
      <c r="B644" s="129"/>
      <c r="C644" s="129"/>
      <c r="D644" s="129"/>
      <c r="E644" s="130"/>
      <c r="F644" s="177"/>
      <c r="G644" s="131"/>
      <c r="H644" s="131"/>
      <c r="I644" s="131"/>
    </row>
    <row r="645" spans="1:9" x14ac:dyDescent="0.2">
      <c r="A645" s="176"/>
      <c r="B645" s="129"/>
      <c r="C645" s="129"/>
      <c r="D645" s="129"/>
      <c r="E645" s="130"/>
      <c r="F645" s="177"/>
      <c r="G645" s="131"/>
      <c r="H645" s="131"/>
      <c r="I645" s="131"/>
    </row>
    <row r="646" spans="1:9" x14ac:dyDescent="0.2">
      <c r="A646" s="176"/>
      <c r="B646" s="129"/>
      <c r="C646" s="129"/>
      <c r="D646" s="129"/>
      <c r="E646" s="130"/>
      <c r="F646" s="177"/>
      <c r="G646" s="131"/>
      <c r="H646" s="131"/>
      <c r="I646" s="131"/>
    </row>
    <row r="647" spans="1:9" x14ac:dyDescent="0.2">
      <c r="A647" s="176"/>
      <c r="B647" s="129"/>
      <c r="C647" s="129"/>
      <c r="D647" s="129"/>
      <c r="E647" s="130"/>
      <c r="F647" s="177"/>
      <c r="G647" s="131"/>
      <c r="H647" s="131"/>
      <c r="I647" s="131"/>
    </row>
    <row r="648" spans="1:9" x14ac:dyDescent="0.2">
      <c r="A648" s="176"/>
      <c r="B648" s="129"/>
      <c r="C648" s="129"/>
      <c r="D648" s="129"/>
      <c r="E648" s="130"/>
      <c r="F648" s="177"/>
      <c r="G648" s="131"/>
      <c r="H648" s="131"/>
      <c r="I648" s="131"/>
    </row>
    <row r="649" spans="1:9" x14ac:dyDescent="0.2">
      <c r="A649" s="176"/>
      <c r="B649" s="129"/>
      <c r="C649" s="129"/>
      <c r="D649" s="129"/>
      <c r="E649" s="130"/>
      <c r="F649" s="177"/>
      <c r="G649" s="131"/>
      <c r="H649" s="131"/>
      <c r="I649" s="131"/>
    </row>
    <row r="650" spans="1:9" x14ac:dyDescent="0.2">
      <c r="A650" s="176"/>
      <c r="B650" s="129"/>
      <c r="C650" s="129"/>
      <c r="D650" s="129"/>
      <c r="E650" s="130"/>
      <c r="F650" s="177"/>
      <c r="G650" s="131"/>
      <c r="H650" s="131"/>
      <c r="I650" s="131"/>
    </row>
    <row r="651" spans="1:9" x14ac:dyDescent="0.2">
      <c r="A651" s="176"/>
      <c r="B651" s="129"/>
      <c r="C651" s="129"/>
      <c r="D651" s="129"/>
      <c r="E651" s="130"/>
      <c r="F651" s="177"/>
      <c r="G651" s="131"/>
      <c r="H651" s="131"/>
      <c r="I651" s="131"/>
    </row>
    <row r="652" spans="1:9" x14ac:dyDescent="0.2">
      <c r="A652" s="176"/>
      <c r="B652" s="129"/>
      <c r="C652" s="129"/>
      <c r="D652" s="129"/>
      <c r="E652" s="130"/>
      <c r="F652" s="177"/>
      <c r="G652" s="131"/>
      <c r="H652" s="131"/>
      <c r="I652" s="131"/>
    </row>
    <row r="653" spans="1:9" x14ac:dyDescent="0.2">
      <c r="A653" s="176"/>
      <c r="B653" s="129"/>
      <c r="C653" s="129"/>
      <c r="D653" s="129"/>
      <c r="E653" s="130"/>
      <c r="F653" s="177"/>
      <c r="G653" s="131"/>
      <c r="H653" s="131"/>
      <c r="I653" s="131"/>
    </row>
    <row r="654" spans="1:9" x14ac:dyDescent="0.2">
      <c r="A654" s="176"/>
      <c r="B654" s="129"/>
      <c r="C654" s="129"/>
      <c r="D654" s="129"/>
      <c r="E654" s="130"/>
      <c r="F654" s="177"/>
      <c r="G654" s="131"/>
      <c r="H654" s="131"/>
      <c r="I654" s="131"/>
    </row>
    <row r="655" spans="1:9" x14ac:dyDescent="0.2">
      <c r="A655" s="176"/>
      <c r="B655" s="129"/>
      <c r="C655" s="129"/>
      <c r="D655" s="129"/>
      <c r="E655" s="130"/>
      <c r="F655" s="177"/>
      <c r="G655" s="131"/>
      <c r="H655" s="131"/>
      <c r="I655" s="131"/>
    </row>
    <row r="656" spans="1:9" x14ac:dyDescent="0.2">
      <c r="A656" s="176"/>
      <c r="B656" s="129"/>
      <c r="C656" s="129"/>
      <c r="D656" s="129"/>
      <c r="E656" s="130"/>
      <c r="F656" s="177"/>
      <c r="G656" s="131"/>
      <c r="H656" s="131"/>
      <c r="I656" s="131"/>
    </row>
    <row r="657" spans="1:9" x14ac:dyDescent="0.2">
      <c r="A657" s="176"/>
      <c r="B657" s="129"/>
      <c r="C657" s="129"/>
      <c r="D657" s="129"/>
      <c r="E657" s="130"/>
      <c r="F657" s="177"/>
      <c r="G657" s="131"/>
      <c r="H657" s="131"/>
      <c r="I657" s="131"/>
    </row>
    <row r="658" spans="1:9" x14ac:dyDescent="0.2">
      <c r="A658" s="176"/>
      <c r="B658" s="129"/>
      <c r="C658" s="129"/>
      <c r="D658" s="129"/>
      <c r="E658" s="130"/>
      <c r="F658" s="177"/>
      <c r="G658" s="131"/>
      <c r="H658" s="131"/>
      <c r="I658" s="131"/>
    </row>
    <row r="659" spans="1:9" x14ac:dyDescent="0.2">
      <c r="A659" s="176"/>
      <c r="B659" s="129"/>
      <c r="C659" s="129"/>
      <c r="D659" s="129"/>
      <c r="E659" s="130"/>
      <c r="F659" s="177"/>
      <c r="G659" s="131"/>
      <c r="H659" s="131"/>
      <c r="I659" s="131"/>
    </row>
    <row r="660" spans="1:9" x14ac:dyDescent="0.2">
      <c r="A660" s="176"/>
      <c r="B660" s="129"/>
      <c r="C660" s="129"/>
      <c r="D660" s="129"/>
      <c r="E660" s="130"/>
      <c r="F660" s="177"/>
      <c r="G660" s="131"/>
      <c r="H660" s="131"/>
      <c r="I660" s="131"/>
    </row>
    <row r="661" spans="1:9" x14ac:dyDescent="0.2">
      <c r="A661" s="176"/>
      <c r="B661" s="129"/>
      <c r="C661" s="129"/>
      <c r="D661" s="129"/>
      <c r="E661" s="130"/>
      <c r="F661" s="177"/>
      <c r="G661" s="131"/>
      <c r="H661" s="131"/>
      <c r="I661" s="131"/>
    </row>
    <row r="662" spans="1:9" x14ac:dyDescent="0.2">
      <c r="A662" s="176"/>
      <c r="B662" s="129"/>
      <c r="C662" s="129"/>
      <c r="D662" s="129"/>
      <c r="E662" s="130"/>
      <c r="F662" s="177"/>
      <c r="G662" s="131"/>
      <c r="H662" s="131"/>
      <c r="I662" s="131"/>
    </row>
    <row r="663" spans="1:9" x14ac:dyDescent="0.2">
      <c r="A663" s="176"/>
      <c r="B663" s="129"/>
      <c r="C663" s="129"/>
      <c r="D663" s="129"/>
      <c r="E663" s="130"/>
      <c r="F663" s="177"/>
      <c r="G663" s="131"/>
      <c r="H663" s="131"/>
      <c r="I663" s="131"/>
    </row>
    <row r="664" spans="1:9" x14ac:dyDescent="0.2">
      <c r="A664" s="176"/>
      <c r="B664" s="129"/>
      <c r="C664" s="129"/>
      <c r="D664" s="129"/>
      <c r="E664" s="130"/>
      <c r="F664" s="177"/>
      <c r="G664" s="131"/>
      <c r="H664" s="131"/>
      <c r="I664" s="131"/>
    </row>
    <row r="665" spans="1:9" x14ac:dyDescent="0.2">
      <c r="A665" s="176"/>
      <c r="B665" s="129"/>
      <c r="C665" s="129"/>
      <c r="D665" s="129"/>
      <c r="E665" s="130"/>
      <c r="F665" s="177"/>
      <c r="G665" s="131"/>
      <c r="H665" s="131"/>
      <c r="I665" s="131"/>
    </row>
    <row r="666" spans="1:9" x14ac:dyDescent="0.2">
      <c r="A666" s="176"/>
      <c r="B666" s="129"/>
      <c r="C666" s="129"/>
      <c r="D666" s="129"/>
      <c r="E666" s="130"/>
      <c r="F666" s="177"/>
      <c r="G666" s="131"/>
      <c r="H666" s="131"/>
      <c r="I666" s="131"/>
    </row>
    <row r="667" spans="1:9" x14ac:dyDescent="0.2">
      <c r="A667" s="176"/>
      <c r="B667" s="129"/>
      <c r="C667" s="129"/>
      <c r="D667" s="129"/>
      <c r="E667" s="130"/>
      <c r="F667" s="177"/>
      <c r="G667" s="131"/>
      <c r="H667" s="131"/>
      <c r="I667" s="131"/>
    </row>
    <row r="668" spans="1:9" x14ac:dyDescent="0.2">
      <c r="A668" s="176"/>
      <c r="B668" s="129"/>
      <c r="C668" s="129"/>
      <c r="D668" s="129"/>
      <c r="E668" s="130"/>
      <c r="F668" s="177"/>
      <c r="G668" s="131"/>
      <c r="H668" s="131"/>
      <c r="I668" s="131"/>
    </row>
    <row r="669" spans="1:9" x14ac:dyDescent="0.2">
      <c r="A669" s="176"/>
      <c r="B669" s="129"/>
      <c r="C669" s="129"/>
      <c r="D669" s="129"/>
      <c r="E669" s="130"/>
      <c r="F669" s="177"/>
      <c r="G669" s="131"/>
      <c r="H669" s="131"/>
      <c r="I669" s="131"/>
    </row>
    <row r="670" spans="1:9" x14ac:dyDescent="0.2">
      <c r="A670" s="176"/>
      <c r="B670" s="129"/>
      <c r="C670" s="129"/>
      <c r="D670" s="129"/>
      <c r="E670" s="130"/>
      <c r="F670" s="177"/>
      <c r="G670" s="131"/>
      <c r="H670" s="131"/>
      <c r="I670" s="131"/>
    </row>
    <row r="671" spans="1:9" x14ac:dyDescent="0.2">
      <c r="A671" s="176"/>
      <c r="B671" s="129"/>
      <c r="C671" s="129"/>
      <c r="D671" s="129"/>
      <c r="E671" s="130"/>
      <c r="F671" s="177"/>
      <c r="G671" s="131"/>
      <c r="H671" s="131"/>
      <c r="I671" s="131"/>
    </row>
    <row r="672" spans="1:9" x14ac:dyDescent="0.2">
      <c r="A672" s="176"/>
      <c r="B672" s="129"/>
      <c r="C672" s="129"/>
      <c r="D672" s="129"/>
      <c r="E672" s="130"/>
      <c r="F672" s="177"/>
      <c r="G672" s="131"/>
      <c r="H672" s="131"/>
      <c r="I672" s="131"/>
    </row>
    <row r="673" spans="1:9" x14ac:dyDescent="0.2">
      <c r="A673" s="176"/>
      <c r="B673" s="129"/>
      <c r="C673" s="129"/>
      <c r="D673" s="129"/>
      <c r="E673" s="130"/>
      <c r="F673" s="177"/>
      <c r="G673" s="131"/>
      <c r="H673" s="131"/>
      <c r="I673" s="131"/>
    </row>
    <row r="674" spans="1:9" x14ac:dyDescent="0.2">
      <c r="A674" s="176"/>
      <c r="B674" s="129"/>
      <c r="C674" s="129"/>
      <c r="D674" s="129"/>
      <c r="E674" s="130"/>
      <c r="F674" s="177"/>
      <c r="G674" s="131"/>
      <c r="H674" s="131"/>
      <c r="I674" s="131"/>
    </row>
    <row r="675" spans="1:9" x14ac:dyDescent="0.2">
      <c r="A675" s="176"/>
      <c r="B675" s="129"/>
      <c r="C675" s="129"/>
      <c r="D675" s="129"/>
      <c r="E675" s="130"/>
      <c r="F675" s="177"/>
      <c r="G675" s="131"/>
      <c r="H675" s="131"/>
      <c r="I675" s="131"/>
    </row>
    <row r="676" spans="1:9" x14ac:dyDescent="0.2">
      <c r="A676" s="176"/>
      <c r="B676" s="129"/>
      <c r="C676" s="129"/>
      <c r="D676" s="129"/>
      <c r="E676" s="130"/>
      <c r="F676" s="177"/>
      <c r="G676" s="131"/>
      <c r="H676" s="131"/>
      <c r="I676" s="131"/>
    </row>
    <row r="677" spans="1:9" x14ac:dyDescent="0.2">
      <c r="A677" s="176"/>
      <c r="B677" s="129"/>
      <c r="C677" s="129"/>
      <c r="D677" s="129"/>
      <c r="E677" s="130"/>
      <c r="F677" s="177"/>
      <c r="G677" s="131"/>
      <c r="H677" s="131"/>
      <c r="I677" s="131"/>
    </row>
    <row r="678" spans="1:9" x14ac:dyDescent="0.2">
      <c r="A678" s="176"/>
      <c r="B678" s="129"/>
      <c r="C678" s="129"/>
      <c r="D678" s="129"/>
      <c r="E678" s="130"/>
      <c r="F678" s="177"/>
      <c r="G678" s="131"/>
      <c r="H678" s="131"/>
      <c r="I678" s="131"/>
    </row>
    <row r="679" spans="1:9" x14ac:dyDescent="0.2">
      <c r="A679" s="176"/>
      <c r="B679" s="129"/>
      <c r="C679" s="129"/>
      <c r="D679" s="129"/>
      <c r="E679" s="130"/>
      <c r="F679" s="177"/>
      <c r="G679" s="131"/>
      <c r="H679" s="131"/>
      <c r="I679" s="131"/>
    </row>
    <row r="680" spans="1:9" x14ac:dyDescent="0.2">
      <c r="A680" s="176"/>
      <c r="B680" s="129"/>
      <c r="C680" s="129"/>
      <c r="D680" s="129"/>
      <c r="E680" s="130"/>
      <c r="F680" s="177"/>
      <c r="G680" s="131"/>
      <c r="H680" s="131"/>
      <c r="I680" s="131"/>
    </row>
    <row r="681" spans="1:9" x14ac:dyDescent="0.2">
      <c r="A681" s="176"/>
      <c r="B681" s="129"/>
      <c r="C681" s="129"/>
      <c r="D681" s="129"/>
      <c r="E681" s="130"/>
      <c r="F681" s="177"/>
      <c r="G681" s="131"/>
      <c r="H681" s="131"/>
      <c r="I681" s="131"/>
    </row>
    <row r="682" spans="1:9" x14ac:dyDescent="0.2">
      <c r="A682" s="176"/>
      <c r="B682" s="129"/>
      <c r="C682" s="129"/>
      <c r="D682" s="129"/>
      <c r="E682" s="130"/>
      <c r="F682" s="177"/>
      <c r="G682" s="131"/>
      <c r="H682" s="131"/>
      <c r="I682" s="131"/>
    </row>
    <row r="683" spans="1:9" x14ac:dyDescent="0.2">
      <c r="A683" s="176"/>
      <c r="B683" s="129"/>
      <c r="C683" s="129"/>
      <c r="D683" s="129"/>
      <c r="E683" s="130"/>
      <c r="F683" s="177"/>
      <c r="G683" s="131"/>
      <c r="H683" s="131"/>
      <c r="I683" s="131"/>
    </row>
    <row r="684" spans="1:9" x14ac:dyDescent="0.2">
      <c r="A684" s="176"/>
      <c r="B684" s="129"/>
      <c r="C684" s="129"/>
      <c r="D684" s="129"/>
      <c r="E684" s="130"/>
      <c r="F684" s="177"/>
      <c r="G684" s="131"/>
      <c r="H684" s="131"/>
      <c r="I684" s="131"/>
    </row>
    <row r="685" spans="1:9" x14ac:dyDescent="0.2">
      <c r="A685" s="176"/>
      <c r="B685" s="129"/>
      <c r="C685" s="129"/>
      <c r="D685" s="129"/>
      <c r="E685" s="130"/>
      <c r="F685" s="177"/>
      <c r="G685" s="131"/>
      <c r="H685" s="131"/>
      <c r="I685" s="131"/>
    </row>
    <row r="686" spans="1:9" x14ac:dyDescent="0.2">
      <c r="A686" s="176"/>
      <c r="B686" s="129"/>
      <c r="C686" s="129"/>
      <c r="D686" s="129"/>
      <c r="E686" s="130"/>
      <c r="F686" s="177"/>
      <c r="G686" s="131"/>
      <c r="H686" s="131"/>
      <c r="I686" s="131"/>
    </row>
    <row r="687" spans="1:9" x14ac:dyDescent="0.2">
      <c r="A687" s="176"/>
      <c r="B687" s="129"/>
      <c r="C687" s="129"/>
      <c r="D687" s="129"/>
      <c r="E687" s="130"/>
      <c r="F687" s="177"/>
      <c r="G687" s="131"/>
      <c r="H687" s="131"/>
      <c r="I687" s="131"/>
    </row>
    <row r="688" spans="1:9" x14ac:dyDescent="0.2">
      <c r="A688" s="176"/>
      <c r="B688" s="129"/>
      <c r="C688" s="129"/>
      <c r="D688" s="129"/>
      <c r="E688" s="130"/>
      <c r="F688" s="177"/>
      <c r="G688" s="131"/>
      <c r="H688" s="131"/>
      <c r="I688" s="131"/>
    </row>
    <row r="689" spans="1:9" x14ac:dyDescent="0.2">
      <c r="A689" s="176"/>
      <c r="B689" s="129"/>
      <c r="C689" s="129"/>
      <c r="D689" s="129"/>
      <c r="E689" s="130"/>
      <c r="F689" s="177"/>
      <c r="G689" s="131"/>
      <c r="H689" s="131"/>
      <c r="I689" s="131"/>
    </row>
    <row r="690" spans="1:9" x14ac:dyDescent="0.2">
      <c r="A690" s="176"/>
      <c r="B690" s="129"/>
      <c r="C690" s="129"/>
      <c r="D690" s="129"/>
      <c r="E690" s="130"/>
      <c r="F690" s="177"/>
      <c r="G690" s="131"/>
      <c r="H690" s="131"/>
      <c r="I690" s="131"/>
    </row>
    <row r="691" spans="1:9" x14ac:dyDescent="0.2">
      <c r="A691" s="176"/>
      <c r="B691" s="129"/>
      <c r="C691" s="129"/>
      <c r="D691" s="129"/>
      <c r="E691" s="130"/>
      <c r="F691" s="177"/>
      <c r="G691" s="131"/>
      <c r="H691" s="131"/>
      <c r="I691" s="131"/>
    </row>
    <row r="692" spans="1:9" x14ac:dyDescent="0.2">
      <c r="A692" s="176"/>
      <c r="B692" s="129"/>
      <c r="C692" s="129"/>
      <c r="D692" s="129"/>
      <c r="E692" s="130"/>
      <c r="F692" s="177"/>
      <c r="G692" s="131"/>
      <c r="H692" s="131"/>
      <c r="I692" s="131"/>
    </row>
    <row r="693" spans="1:9" x14ac:dyDescent="0.2">
      <c r="A693" s="176"/>
      <c r="B693" s="129"/>
      <c r="C693" s="129"/>
      <c r="D693" s="129"/>
      <c r="E693" s="130"/>
      <c r="F693" s="177"/>
      <c r="G693" s="131"/>
      <c r="H693" s="131"/>
      <c r="I693" s="131"/>
    </row>
    <row r="694" spans="1:9" x14ac:dyDescent="0.2">
      <c r="A694" s="176"/>
      <c r="B694" s="129"/>
      <c r="C694" s="129"/>
      <c r="D694" s="129"/>
      <c r="E694" s="130"/>
      <c r="F694" s="177"/>
      <c r="G694" s="131"/>
      <c r="H694" s="131"/>
      <c r="I694" s="131"/>
    </row>
    <row r="695" spans="1:9" x14ac:dyDescent="0.2">
      <c r="A695" s="176"/>
      <c r="B695" s="129"/>
      <c r="C695" s="129"/>
      <c r="D695" s="129"/>
      <c r="E695" s="130"/>
      <c r="F695" s="177"/>
      <c r="G695" s="131"/>
      <c r="H695" s="131"/>
      <c r="I695" s="131"/>
    </row>
    <row r="696" spans="1:9" x14ac:dyDescent="0.2">
      <c r="A696" s="176"/>
      <c r="B696" s="129"/>
      <c r="C696" s="129"/>
      <c r="D696" s="129"/>
      <c r="E696" s="130"/>
      <c r="F696" s="177"/>
      <c r="G696" s="131"/>
      <c r="H696" s="131"/>
      <c r="I696" s="131"/>
    </row>
    <row r="697" spans="1:9" x14ac:dyDescent="0.2">
      <c r="A697" s="176"/>
      <c r="B697" s="129"/>
      <c r="C697" s="129"/>
      <c r="D697" s="129"/>
      <c r="E697" s="130"/>
      <c r="F697" s="177"/>
      <c r="G697" s="131"/>
      <c r="H697" s="131"/>
      <c r="I697" s="131"/>
    </row>
    <row r="698" spans="1:9" x14ac:dyDescent="0.2">
      <c r="A698" s="176"/>
      <c r="B698" s="129"/>
      <c r="C698" s="129"/>
      <c r="D698" s="129"/>
      <c r="E698" s="130"/>
      <c r="F698" s="177"/>
      <c r="G698" s="131"/>
      <c r="H698" s="131"/>
      <c r="I698" s="131"/>
    </row>
    <row r="699" spans="1:9" x14ac:dyDescent="0.2">
      <c r="A699" s="176"/>
      <c r="B699" s="129"/>
      <c r="C699" s="129"/>
      <c r="D699" s="129"/>
      <c r="E699" s="130"/>
      <c r="F699" s="177"/>
      <c r="G699" s="131"/>
      <c r="H699" s="131"/>
      <c r="I699" s="131"/>
    </row>
    <row r="700" spans="1:9" x14ac:dyDescent="0.2">
      <c r="A700" s="176"/>
      <c r="B700" s="129"/>
      <c r="C700" s="129"/>
      <c r="D700" s="129"/>
      <c r="E700" s="130"/>
      <c r="F700" s="177"/>
      <c r="G700" s="131"/>
      <c r="H700" s="131"/>
      <c r="I700" s="131"/>
    </row>
    <row r="701" spans="1:9" x14ac:dyDescent="0.2">
      <c r="A701" s="176"/>
      <c r="B701" s="129"/>
      <c r="C701" s="129"/>
      <c r="D701" s="129"/>
      <c r="E701" s="130"/>
      <c r="F701" s="177"/>
      <c r="G701" s="131"/>
      <c r="H701" s="131"/>
      <c r="I701" s="131"/>
    </row>
    <row r="702" spans="1:9" x14ac:dyDescent="0.2">
      <c r="A702" s="176"/>
      <c r="B702" s="129"/>
      <c r="C702" s="129"/>
      <c r="D702" s="129"/>
      <c r="E702" s="130"/>
      <c r="F702" s="177"/>
      <c r="G702" s="131"/>
      <c r="H702" s="131"/>
      <c r="I702" s="131"/>
    </row>
    <row r="703" spans="1:9" x14ac:dyDescent="0.2">
      <c r="A703" s="176"/>
      <c r="B703" s="129"/>
      <c r="C703" s="129"/>
      <c r="D703" s="129"/>
      <c r="E703" s="130"/>
      <c r="F703" s="177"/>
      <c r="G703" s="131"/>
      <c r="H703" s="131"/>
      <c r="I703" s="131"/>
    </row>
    <row r="704" spans="1:9" x14ac:dyDescent="0.2">
      <c r="A704" s="176"/>
      <c r="B704" s="129"/>
      <c r="C704" s="129"/>
      <c r="D704" s="129"/>
      <c r="E704" s="130"/>
      <c r="F704" s="177"/>
      <c r="G704" s="131"/>
      <c r="H704" s="131"/>
      <c r="I704" s="131"/>
    </row>
    <row r="705" spans="1:9" x14ac:dyDescent="0.2">
      <c r="A705" s="176"/>
      <c r="B705" s="129"/>
      <c r="C705" s="129"/>
      <c r="D705" s="129"/>
      <c r="E705" s="130"/>
      <c r="F705" s="177"/>
      <c r="G705" s="131"/>
      <c r="H705" s="131"/>
      <c r="I705" s="131"/>
    </row>
    <row r="706" spans="1:9" x14ac:dyDescent="0.2">
      <c r="A706" s="176"/>
      <c r="B706" s="129"/>
      <c r="C706" s="129"/>
      <c r="D706" s="129"/>
      <c r="E706" s="130"/>
      <c r="F706" s="177"/>
      <c r="G706" s="131"/>
      <c r="H706" s="131"/>
      <c r="I706" s="131"/>
    </row>
    <row r="707" spans="1:9" x14ac:dyDescent="0.2">
      <c r="A707" s="176"/>
      <c r="B707" s="129"/>
      <c r="C707" s="129"/>
      <c r="D707" s="129"/>
      <c r="E707" s="130"/>
      <c r="F707" s="177"/>
      <c r="G707" s="131"/>
      <c r="H707" s="131"/>
      <c r="I707" s="131"/>
    </row>
    <row r="708" spans="1:9" x14ac:dyDescent="0.2">
      <c r="A708" s="176"/>
      <c r="B708" s="129"/>
      <c r="C708" s="129"/>
      <c r="D708" s="129"/>
      <c r="E708" s="130"/>
      <c r="F708" s="177"/>
      <c r="G708" s="131"/>
      <c r="H708" s="131"/>
      <c r="I708" s="131"/>
    </row>
    <row r="709" spans="1:9" x14ac:dyDescent="0.2">
      <c r="A709" s="176"/>
      <c r="B709" s="129"/>
      <c r="C709" s="129"/>
      <c r="D709" s="129"/>
      <c r="E709" s="130"/>
      <c r="F709" s="177"/>
      <c r="G709" s="131"/>
      <c r="H709" s="131"/>
      <c r="I709" s="131"/>
    </row>
    <row r="710" spans="1:9" x14ac:dyDescent="0.2">
      <c r="A710" s="176"/>
      <c r="B710" s="129"/>
      <c r="C710" s="129"/>
      <c r="D710" s="129"/>
      <c r="E710" s="130"/>
      <c r="F710" s="177"/>
      <c r="G710" s="131"/>
      <c r="H710" s="131"/>
      <c r="I710" s="131"/>
    </row>
    <row r="711" spans="1:9" x14ac:dyDescent="0.2">
      <c r="A711" s="176"/>
      <c r="B711" s="129"/>
      <c r="C711" s="129"/>
      <c r="D711" s="129"/>
      <c r="E711" s="130"/>
      <c r="F711" s="177"/>
      <c r="G711" s="131"/>
      <c r="H711" s="131"/>
      <c r="I711" s="131"/>
    </row>
    <row r="712" spans="1:9" x14ac:dyDescent="0.2">
      <c r="A712" s="176"/>
      <c r="B712" s="129"/>
      <c r="C712" s="129"/>
      <c r="D712" s="129"/>
      <c r="E712" s="130"/>
      <c r="F712" s="177"/>
      <c r="G712" s="131"/>
      <c r="H712" s="131"/>
      <c r="I712" s="131"/>
    </row>
    <row r="713" spans="1:9" x14ac:dyDescent="0.2">
      <c r="A713" s="176"/>
      <c r="B713" s="129"/>
      <c r="C713" s="129"/>
      <c r="D713" s="129"/>
      <c r="E713" s="130"/>
      <c r="F713" s="177"/>
      <c r="G713" s="131"/>
      <c r="H713" s="131"/>
      <c r="I713" s="131"/>
    </row>
    <row r="714" spans="1:9" x14ac:dyDescent="0.2">
      <c r="A714" s="176"/>
      <c r="B714" s="129"/>
      <c r="C714" s="129"/>
      <c r="D714" s="129"/>
      <c r="E714" s="130"/>
      <c r="F714" s="177"/>
      <c r="G714" s="131"/>
      <c r="H714" s="131"/>
      <c r="I714" s="131"/>
    </row>
    <row r="715" spans="1:9" x14ac:dyDescent="0.2">
      <c r="A715" s="176"/>
      <c r="B715" s="129"/>
      <c r="C715" s="129"/>
      <c r="D715" s="129"/>
      <c r="E715" s="130"/>
      <c r="F715" s="177"/>
      <c r="G715" s="131"/>
      <c r="H715" s="131"/>
      <c r="I715" s="131"/>
    </row>
    <row r="716" spans="1:9" x14ac:dyDescent="0.2">
      <c r="A716" s="176"/>
      <c r="B716" s="129"/>
      <c r="C716" s="129"/>
      <c r="D716" s="129"/>
      <c r="E716" s="130"/>
      <c r="F716" s="177"/>
      <c r="G716" s="131"/>
      <c r="H716" s="131"/>
      <c r="I716" s="131"/>
    </row>
    <row r="717" spans="1:9" x14ac:dyDescent="0.2">
      <c r="A717" s="176"/>
      <c r="B717" s="129"/>
      <c r="C717" s="129"/>
      <c r="D717" s="129"/>
      <c r="E717" s="130"/>
      <c r="F717" s="177"/>
      <c r="G717" s="131"/>
      <c r="H717" s="131"/>
      <c r="I717" s="131"/>
    </row>
    <row r="718" spans="1:9" x14ac:dyDescent="0.2">
      <c r="A718" s="176"/>
      <c r="B718" s="129"/>
      <c r="C718" s="129"/>
      <c r="D718" s="129"/>
      <c r="E718" s="130"/>
      <c r="F718" s="177"/>
      <c r="G718" s="131"/>
      <c r="H718" s="131"/>
      <c r="I718" s="131"/>
    </row>
    <row r="719" spans="1:9" x14ac:dyDescent="0.2">
      <c r="A719" s="176"/>
      <c r="B719" s="129"/>
      <c r="C719" s="129"/>
      <c r="D719" s="129"/>
      <c r="E719" s="130"/>
      <c r="F719" s="177"/>
      <c r="G719" s="131"/>
      <c r="H719" s="131"/>
      <c r="I719" s="131"/>
    </row>
    <row r="720" spans="1:9" x14ac:dyDescent="0.2">
      <c r="A720" s="176"/>
      <c r="B720" s="129"/>
      <c r="C720" s="129"/>
      <c r="D720" s="129"/>
      <c r="E720" s="130"/>
      <c r="F720" s="177"/>
      <c r="G720" s="131"/>
      <c r="H720" s="131"/>
      <c r="I720" s="131"/>
    </row>
    <row r="721" spans="1:9" x14ac:dyDescent="0.2">
      <c r="A721" s="176"/>
      <c r="B721" s="129"/>
      <c r="C721" s="129"/>
      <c r="D721" s="129"/>
      <c r="E721" s="130"/>
      <c r="F721" s="177"/>
      <c r="G721" s="131"/>
      <c r="H721" s="131"/>
      <c r="I721" s="131"/>
    </row>
    <row r="722" spans="1:9" x14ac:dyDescent="0.2">
      <c r="A722" s="176"/>
      <c r="B722" s="129"/>
      <c r="C722" s="129"/>
      <c r="D722" s="129"/>
      <c r="E722" s="130"/>
      <c r="F722" s="177"/>
      <c r="G722" s="131"/>
      <c r="H722" s="131"/>
      <c r="I722" s="131"/>
    </row>
    <row r="723" spans="1:9" x14ac:dyDescent="0.2">
      <c r="A723" s="176"/>
      <c r="B723" s="129"/>
      <c r="C723" s="129"/>
      <c r="D723" s="129"/>
      <c r="E723" s="130"/>
      <c r="F723" s="177"/>
      <c r="G723" s="131"/>
      <c r="H723" s="131"/>
      <c r="I723" s="131"/>
    </row>
    <row r="724" spans="1:9" x14ac:dyDescent="0.2">
      <c r="A724" s="176"/>
      <c r="B724" s="129"/>
      <c r="C724" s="129"/>
      <c r="D724" s="129"/>
      <c r="E724" s="130"/>
      <c r="F724" s="177"/>
      <c r="G724" s="131"/>
      <c r="H724" s="131"/>
      <c r="I724" s="131"/>
    </row>
    <row r="725" spans="1:9" x14ac:dyDescent="0.2">
      <c r="A725" s="176"/>
      <c r="B725" s="129"/>
      <c r="C725" s="129"/>
      <c r="D725" s="129"/>
      <c r="E725" s="130"/>
      <c r="F725" s="177"/>
      <c r="G725" s="131"/>
      <c r="H725" s="131"/>
      <c r="I725" s="131"/>
    </row>
    <row r="726" spans="1:9" x14ac:dyDescent="0.2">
      <c r="A726" s="176"/>
      <c r="B726" s="129"/>
      <c r="C726" s="129"/>
      <c r="D726" s="129"/>
      <c r="E726" s="130"/>
      <c r="F726" s="177"/>
      <c r="G726" s="131"/>
      <c r="H726" s="131"/>
      <c r="I726" s="131"/>
    </row>
    <row r="727" spans="1:9" x14ac:dyDescent="0.2">
      <c r="A727" s="176"/>
      <c r="B727" s="129"/>
      <c r="C727" s="129"/>
      <c r="D727" s="129"/>
      <c r="E727" s="130"/>
      <c r="F727" s="177"/>
      <c r="G727" s="131"/>
      <c r="H727" s="131"/>
      <c r="I727" s="131"/>
    </row>
    <row r="728" spans="1:9" x14ac:dyDescent="0.2">
      <c r="A728" s="176"/>
      <c r="B728" s="129"/>
      <c r="C728" s="129"/>
      <c r="D728" s="129"/>
      <c r="E728" s="130"/>
      <c r="F728" s="177"/>
      <c r="G728" s="131"/>
      <c r="H728" s="131"/>
      <c r="I728" s="131"/>
    </row>
    <row r="729" spans="1:9" x14ac:dyDescent="0.2">
      <c r="A729" s="176"/>
      <c r="B729" s="129"/>
      <c r="C729" s="129"/>
      <c r="D729" s="129"/>
      <c r="E729" s="130"/>
      <c r="F729" s="177"/>
      <c r="G729" s="131"/>
      <c r="H729" s="131"/>
      <c r="I729" s="131"/>
    </row>
    <row r="730" spans="1:9" x14ac:dyDescent="0.2">
      <c r="A730" s="176"/>
      <c r="B730" s="129"/>
      <c r="C730" s="129"/>
      <c r="D730" s="129"/>
      <c r="E730" s="130"/>
      <c r="F730" s="177"/>
      <c r="G730" s="131"/>
      <c r="H730" s="131"/>
      <c r="I730" s="131"/>
    </row>
    <row r="731" spans="1:9" x14ac:dyDescent="0.2">
      <c r="A731" s="176"/>
      <c r="B731" s="129"/>
      <c r="C731" s="129"/>
      <c r="D731" s="129"/>
      <c r="E731" s="130"/>
      <c r="F731" s="177"/>
      <c r="G731" s="131"/>
      <c r="H731" s="131"/>
      <c r="I731" s="131"/>
    </row>
    <row r="732" spans="1:9" x14ac:dyDescent="0.2">
      <c r="A732" s="176"/>
      <c r="B732" s="129"/>
      <c r="C732" s="129"/>
      <c r="D732" s="129"/>
      <c r="E732" s="130"/>
      <c r="F732" s="177"/>
      <c r="G732" s="131"/>
      <c r="H732" s="131"/>
      <c r="I732" s="131"/>
    </row>
    <row r="733" spans="1:9" x14ac:dyDescent="0.2">
      <c r="A733" s="176"/>
      <c r="B733" s="129"/>
      <c r="C733" s="129"/>
      <c r="D733" s="129"/>
      <c r="E733" s="130"/>
      <c r="F733" s="177"/>
      <c r="G733" s="131"/>
      <c r="H733" s="131"/>
      <c r="I733" s="131"/>
    </row>
    <row r="734" spans="1:9" x14ac:dyDescent="0.2">
      <c r="A734" s="176"/>
      <c r="B734" s="129"/>
      <c r="C734" s="129"/>
      <c r="D734" s="129"/>
      <c r="E734" s="130"/>
      <c r="F734" s="177"/>
      <c r="G734" s="131"/>
      <c r="H734" s="131"/>
      <c r="I734" s="131"/>
    </row>
    <row r="735" spans="1:9" x14ac:dyDescent="0.2">
      <c r="A735" s="176"/>
      <c r="B735" s="129"/>
      <c r="C735" s="129"/>
      <c r="D735" s="129"/>
      <c r="E735" s="130"/>
      <c r="F735" s="177"/>
      <c r="G735" s="131"/>
      <c r="H735" s="131"/>
      <c r="I735" s="131"/>
    </row>
    <row r="736" spans="1:9" x14ac:dyDescent="0.2">
      <c r="A736" s="176"/>
      <c r="B736" s="129"/>
      <c r="C736" s="129"/>
      <c r="D736" s="129"/>
      <c r="E736" s="130"/>
      <c r="F736" s="177"/>
      <c r="G736" s="131"/>
      <c r="H736" s="131"/>
      <c r="I736" s="131"/>
    </row>
    <row r="737" spans="1:9" x14ac:dyDescent="0.2">
      <c r="A737" s="176"/>
      <c r="B737" s="129"/>
      <c r="C737" s="129"/>
      <c r="D737" s="129"/>
      <c r="E737" s="130"/>
      <c r="F737" s="177"/>
      <c r="G737" s="131"/>
      <c r="H737" s="131"/>
      <c r="I737" s="131"/>
    </row>
    <row r="738" spans="1:9" x14ac:dyDescent="0.2">
      <c r="A738" s="176"/>
      <c r="B738" s="129"/>
      <c r="C738" s="129"/>
      <c r="D738" s="129"/>
      <c r="E738" s="130"/>
      <c r="F738" s="177"/>
      <c r="G738" s="131"/>
      <c r="H738" s="131"/>
      <c r="I738" s="131"/>
    </row>
    <row r="739" spans="1:9" x14ac:dyDescent="0.2">
      <c r="A739" s="176"/>
      <c r="B739" s="129"/>
      <c r="C739" s="129"/>
      <c r="D739" s="129"/>
      <c r="E739" s="130"/>
      <c r="F739" s="177"/>
      <c r="G739" s="131"/>
      <c r="H739" s="131"/>
      <c r="I739" s="131"/>
    </row>
    <row r="740" spans="1:9" x14ac:dyDescent="0.2">
      <c r="A740" s="176"/>
      <c r="B740" s="129"/>
      <c r="C740" s="129"/>
      <c r="D740" s="129"/>
      <c r="E740" s="130"/>
      <c r="F740" s="177"/>
      <c r="G740" s="131"/>
      <c r="H740" s="131"/>
      <c r="I740" s="131"/>
    </row>
    <row r="741" spans="1:9" x14ac:dyDescent="0.2">
      <c r="A741" s="176"/>
      <c r="B741" s="129"/>
      <c r="C741" s="129"/>
      <c r="D741" s="129"/>
      <c r="E741" s="130"/>
      <c r="F741" s="177"/>
      <c r="G741" s="131"/>
      <c r="H741" s="131"/>
      <c r="I741" s="131"/>
    </row>
    <row r="742" spans="1:9" x14ac:dyDescent="0.2">
      <c r="A742" s="176"/>
      <c r="B742" s="129"/>
      <c r="C742" s="129"/>
      <c r="D742" s="129"/>
      <c r="E742" s="130"/>
      <c r="F742" s="177"/>
      <c r="G742" s="131"/>
      <c r="H742" s="131"/>
      <c r="I742" s="131"/>
    </row>
    <row r="743" spans="1:9" x14ac:dyDescent="0.2">
      <c r="A743" s="176"/>
      <c r="B743" s="129"/>
      <c r="C743" s="129"/>
      <c r="D743" s="129"/>
      <c r="E743" s="130"/>
      <c r="F743" s="177"/>
      <c r="G743" s="131"/>
      <c r="H743" s="131"/>
      <c r="I743" s="131"/>
    </row>
    <row r="744" spans="1:9" x14ac:dyDescent="0.2">
      <c r="A744" s="176"/>
      <c r="B744" s="129"/>
      <c r="C744" s="129"/>
      <c r="D744" s="129"/>
      <c r="E744" s="130"/>
      <c r="F744" s="177"/>
      <c r="G744" s="131"/>
      <c r="H744" s="131"/>
      <c r="I744" s="131"/>
    </row>
    <row r="745" spans="1:9" x14ac:dyDescent="0.2">
      <c r="A745" s="176"/>
      <c r="B745" s="129"/>
      <c r="C745" s="129"/>
      <c r="D745" s="129"/>
      <c r="E745" s="130"/>
      <c r="F745" s="177"/>
      <c r="G745" s="131"/>
      <c r="H745" s="131"/>
      <c r="I745" s="131"/>
    </row>
    <row r="746" spans="1:9" x14ac:dyDescent="0.2">
      <c r="A746" s="176"/>
      <c r="B746" s="129"/>
      <c r="C746" s="129"/>
      <c r="D746" s="129"/>
      <c r="E746" s="130"/>
      <c r="F746" s="177"/>
      <c r="G746" s="131"/>
      <c r="H746" s="131"/>
      <c r="I746" s="131"/>
    </row>
    <row r="747" spans="1:9" x14ac:dyDescent="0.2">
      <c r="A747" s="176"/>
      <c r="B747" s="129"/>
      <c r="C747" s="129"/>
      <c r="D747" s="129"/>
      <c r="E747" s="130"/>
      <c r="F747" s="177"/>
      <c r="G747" s="131"/>
      <c r="H747" s="131"/>
      <c r="I747" s="131"/>
    </row>
    <row r="748" spans="1:9" x14ac:dyDescent="0.2">
      <c r="A748" s="176"/>
      <c r="B748" s="129"/>
      <c r="C748" s="129"/>
      <c r="D748" s="129"/>
      <c r="E748" s="130"/>
      <c r="F748" s="177"/>
      <c r="G748" s="131"/>
      <c r="H748" s="131"/>
      <c r="I748" s="131"/>
    </row>
    <row r="749" spans="1:9" x14ac:dyDescent="0.2">
      <c r="A749" s="176"/>
      <c r="B749" s="129"/>
      <c r="C749" s="129"/>
      <c r="D749" s="129"/>
      <c r="E749" s="130"/>
      <c r="F749" s="177"/>
      <c r="G749" s="131"/>
      <c r="H749" s="131"/>
      <c r="I749" s="131"/>
    </row>
    <row r="750" spans="1:9" x14ac:dyDescent="0.2">
      <c r="A750" s="176"/>
      <c r="B750" s="129"/>
      <c r="C750" s="129"/>
      <c r="D750" s="129"/>
      <c r="E750" s="130"/>
      <c r="F750" s="177"/>
      <c r="G750" s="131"/>
      <c r="H750" s="131"/>
      <c r="I750" s="131"/>
    </row>
    <row r="751" spans="1:9" x14ac:dyDescent="0.2">
      <c r="A751" s="176"/>
      <c r="B751" s="129"/>
      <c r="C751" s="129"/>
      <c r="D751" s="129"/>
      <c r="E751" s="130"/>
      <c r="F751" s="177"/>
      <c r="G751" s="131"/>
      <c r="H751" s="131"/>
      <c r="I751" s="131"/>
    </row>
    <row r="752" spans="1:9" x14ac:dyDescent="0.2">
      <c r="A752" s="176"/>
      <c r="B752" s="129"/>
      <c r="C752" s="129"/>
      <c r="D752" s="129"/>
      <c r="E752" s="130"/>
      <c r="F752" s="177"/>
      <c r="G752" s="131"/>
      <c r="H752" s="131"/>
      <c r="I752" s="131"/>
    </row>
    <row r="753" spans="1:9" x14ac:dyDescent="0.2">
      <c r="A753" s="176"/>
      <c r="B753" s="129"/>
      <c r="C753" s="129"/>
      <c r="D753" s="129"/>
      <c r="E753" s="130"/>
      <c r="F753" s="177"/>
      <c r="G753" s="131"/>
      <c r="H753" s="131"/>
      <c r="I753" s="131"/>
    </row>
    <row r="754" spans="1:9" x14ac:dyDescent="0.2">
      <c r="A754" s="176"/>
      <c r="B754" s="129"/>
      <c r="C754" s="129"/>
      <c r="D754" s="129"/>
      <c r="E754" s="130"/>
      <c r="F754" s="177"/>
      <c r="G754" s="131"/>
      <c r="H754" s="131"/>
      <c r="I754" s="131"/>
    </row>
    <row r="755" spans="1:9" x14ac:dyDescent="0.2">
      <c r="A755" s="176"/>
      <c r="B755" s="129"/>
      <c r="C755" s="129"/>
      <c r="D755" s="129"/>
      <c r="E755" s="130"/>
      <c r="F755" s="177"/>
      <c r="G755" s="131"/>
      <c r="H755" s="131"/>
      <c r="I755" s="131"/>
    </row>
    <row r="756" spans="1:9" x14ac:dyDescent="0.2">
      <c r="A756" s="176"/>
      <c r="B756" s="129"/>
      <c r="C756" s="129"/>
      <c r="D756" s="129"/>
      <c r="E756" s="130"/>
      <c r="F756" s="177"/>
      <c r="G756" s="131"/>
      <c r="H756" s="131"/>
      <c r="I756" s="131"/>
    </row>
    <row r="757" spans="1:9" x14ac:dyDescent="0.2">
      <c r="A757" s="176"/>
      <c r="B757" s="129"/>
      <c r="C757" s="129"/>
      <c r="D757" s="129"/>
      <c r="E757" s="130"/>
      <c r="F757" s="177"/>
      <c r="G757" s="131"/>
      <c r="H757" s="131"/>
      <c r="I757" s="131"/>
    </row>
    <row r="758" spans="1:9" x14ac:dyDescent="0.2">
      <c r="A758" s="176"/>
      <c r="B758" s="129"/>
      <c r="C758" s="129"/>
      <c r="D758" s="129"/>
      <c r="E758" s="130"/>
      <c r="F758" s="177"/>
      <c r="G758" s="131"/>
      <c r="H758" s="131"/>
      <c r="I758" s="131"/>
    </row>
    <row r="759" spans="1:9" x14ac:dyDescent="0.2">
      <c r="A759" s="176"/>
      <c r="B759" s="129"/>
      <c r="C759" s="129"/>
      <c r="D759" s="129"/>
      <c r="E759" s="130"/>
      <c r="F759" s="177"/>
      <c r="G759" s="131"/>
      <c r="H759" s="131"/>
      <c r="I759" s="131"/>
    </row>
    <row r="760" spans="1:9" x14ac:dyDescent="0.2">
      <c r="A760" s="176"/>
      <c r="B760" s="129"/>
      <c r="C760" s="129"/>
      <c r="D760" s="129"/>
      <c r="E760" s="130"/>
      <c r="F760" s="177"/>
      <c r="G760" s="131"/>
      <c r="H760" s="131"/>
      <c r="I760" s="131"/>
    </row>
    <row r="761" spans="1:9" x14ac:dyDescent="0.2">
      <c r="A761" s="176"/>
      <c r="B761" s="129"/>
      <c r="C761" s="129"/>
      <c r="D761" s="129"/>
      <c r="E761" s="130"/>
      <c r="F761" s="177"/>
      <c r="G761" s="131"/>
      <c r="H761" s="131"/>
      <c r="I761" s="131"/>
    </row>
    <row r="762" spans="1:9" x14ac:dyDescent="0.2">
      <c r="A762" s="176"/>
      <c r="B762" s="129"/>
      <c r="C762" s="129"/>
      <c r="D762" s="129"/>
      <c r="E762" s="130"/>
      <c r="F762" s="177"/>
      <c r="G762" s="131"/>
      <c r="H762" s="131"/>
      <c r="I762" s="131"/>
    </row>
    <row r="763" spans="1:9" x14ac:dyDescent="0.2">
      <c r="A763" s="176"/>
      <c r="B763" s="129"/>
      <c r="C763" s="129"/>
      <c r="D763" s="129"/>
      <c r="E763" s="130"/>
      <c r="F763" s="177"/>
      <c r="G763" s="131"/>
      <c r="H763" s="131"/>
      <c r="I763" s="131"/>
    </row>
    <row r="764" spans="1:9" x14ac:dyDescent="0.2">
      <c r="A764" s="176"/>
      <c r="B764" s="129"/>
      <c r="C764" s="129"/>
      <c r="D764" s="129"/>
      <c r="E764" s="130"/>
      <c r="F764" s="177"/>
      <c r="G764" s="131"/>
      <c r="H764" s="131"/>
      <c r="I764" s="131"/>
    </row>
    <row r="765" spans="1:9" x14ac:dyDescent="0.2">
      <c r="A765" s="176"/>
      <c r="B765" s="129"/>
      <c r="C765" s="129"/>
      <c r="D765" s="129"/>
      <c r="E765" s="130"/>
      <c r="F765" s="177"/>
      <c r="G765" s="131"/>
      <c r="H765" s="131"/>
      <c r="I765" s="131"/>
    </row>
    <row r="766" spans="1:9" x14ac:dyDescent="0.2">
      <c r="A766" s="176"/>
      <c r="B766" s="129"/>
      <c r="C766" s="129"/>
      <c r="D766" s="129"/>
      <c r="E766" s="130"/>
      <c r="F766" s="177"/>
      <c r="G766" s="131"/>
      <c r="H766" s="131"/>
      <c r="I766" s="131"/>
    </row>
    <row r="767" spans="1:9" x14ac:dyDescent="0.2">
      <c r="A767" s="176"/>
      <c r="B767" s="129"/>
      <c r="C767" s="129"/>
      <c r="D767" s="129"/>
      <c r="E767" s="130"/>
      <c r="F767" s="177"/>
      <c r="G767" s="131"/>
      <c r="H767" s="131"/>
      <c r="I767" s="131"/>
    </row>
    <row r="768" spans="1:9" x14ac:dyDescent="0.2">
      <c r="A768" s="132"/>
      <c r="B768" s="133"/>
      <c r="C768" s="133"/>
      <c r="D768" s="133"/>
      <c r="E768" s="130"/>
      <c r="F768" s="133"/>
      <c r="G768" s="133"/>
      <c r="H768" s="133"/>
      <c r="I768" s="133"/>
    </row>
    <row r="769" spans="1:9" x14ac:dyDescent="0.2">
      <c r="A769" s="132"/>
      <c r="B769" s="133"/>
      <c r="C769" s="133"/>
      <c r="D769" s="133"/>
      <c r="E769" s="130"/>
      <c r="F769" s="133"/>
      <c r="G769" s="133"/>
      <c r="H769" s="133"/>
      <c r="I769" s="133"/>
    </row>
    <row r="770" spans="1:9" x14ac:dyDescent="0.2">
      <c r="A770" s="132"/>
      <c r="B770" s="133"/>
      <c r="C770" s="133"/>
      <c r="D770" s="133"/>
      <c r="E770" s="130"/>
      <c r="F770" s="133"/>
      <c r="G770" s="133"/>
      <c r="H770" s="133"/>
      <c r="I770" s="133"/>
    </row>
    <row r="771" spans="1:9" x14ac:dyDescent="0.2">
      <c r="A771" s="132"/>
      <c r="B771" s="133"/>
      <c r="C771" s="133"/>
      <c r="D771" s="133"/>
      <c r="E771" s="130"/>
      <c r="F771" s="133"/>
      <c r="G771" s="133"/>
      <c r="H771" s="133"/>
      <c r="I771" s="133"/>
    </row>
    <row r="772" spans="1:9" x14ac:dyDescent="0.2">
      <c r="A772" s="132"/>
      <c r="B772" s="133"/>
      <c r="C772" s="133"/>
      <c r="D772" s="133"/>
      <c r="E772" s="130"/>
      <c r="F772" s="133"/>
      <c r="G772" s="133"/>
      <c r="H772" s="133"/>
      <c r="I772" s="133"/>
    </row>
    <row r="773" spans="1:9" x14ac:dyDescent="0.2">
      <c r="A773" s="132"/>
      <c r="B773" s="133"/>
      <c r="C773" s="133"/>
      <c r="D773" s="133"/>
      <c r="E773" s="130"/>
      <c r="F773" s="133"/>
      <c r="G773" s="133"/>
      <c r="H773" s="133"/>
      <c r="I773" s="133"/>
    </row>
    <row r="774" spans="1:9" x14ac:dyDescent="0.2">
      <c r="A774" s="132"/>
      <c r="B774" s="133"/>
      <c r="C774" s="133"/>
      <c r="D774" s="133"/>
      <c r="E774" s="130"/>
      <c r="F774" s="133"/>
      <c r="G774" s="133"/>
      <c r="H774" s="133"/>
      <c r="I774" s="133"/>
    </row>
    <row r="775" spans="1:9" x14ac:dyDescent="0.2">
      <c r="A775" s="132"/>
      <c r="B775" s="133"/>
      <c r="C775" s="133"/>
      <c r="D775" s="133"/>
      <c r="E775" s="130"/>
      <c r="F775" s="133"/>
      <c r="G775" s="133"/>
      <c r="H775" s="133"/>
      <c r="I775" s="133"/>
    </row>
    <row r="776" spans="1:9" x14ac:dyDescent="0.2">
      <c r="A776" s="132"/>
      <c r="B776" s="133"/>
      <c r="C776" s="133"/>
      <c r="D776" s="133"/>
      <c r="E776" s="130"/>
      <c r="F776" s="133"/>
      <c r="G776" s="133"/>
      <c r="H776" s="133"/>
      <c r="I776" s="133"/>
    </row>
    <row r="777" spans="1:9" x14ac:dyDescent="0.2">
      <c r="A777" s="132"/>
      <c r="B777" s="133"/>
      <c r="C777" s="133"/>
      <c r="D777" s="133"/>
      <c r="E777" s="130"/>
      <c r="F777" s="133"/>
      <c r="G777" s="133"/>
      <c r="H777" s="133"/>
      <c r="I777" s="133"/>
    </row>
    <row r="778" spans="1:9" x14ac:dyDescent="0.2">
      <c r="A778" s="132"/>
      <c r="B778" s="133"/>
      <c r="C778" s="133"/>
      <c r="D778" s="133"/>
      <c r="E778" s="130"/>
      <c r="F778" s="133"/>
      <c r="G778" s="133"/>
      <c r="H778" s="133"/>
      <c r="I778" s="133"/>
    </row>
    <row r="779" spans="1:9" x14ac:dyDescent="0.2">
      <c r="A779" s="132"/>
      <c r="B779" s="133"/>
      <c r="C779" s="133"/>
      <c r="D779" s="133"/>
      <c r="E779" s="130"/>
      <c r="F779" s="133"/>
      <c r="G779" s="133"/>
      <c r="H779" s="133"/>
      <c r="I779" s="133"/>
    </row>
    <row r="780" spans="1:9" x14ac:dyDescent="0.2">
      <c r="A780" s="132"/>
      <c r="B780" s="133"/>
      <c r="C780" s="133"/>
      <c r="D780" s="133"/>
      <c r="E780" s="130"/>
      <c r="F780" s="133"/>
      <c r="G780" s="133"/>
      <c r="H780" s="133"/>
      <c r="I780" s="133"/>
    </row>
    <row r="781" spans="1:9" x14ac:dyDescent="0.2">
      <c r="A781" s="132"/>
      <c r="B781" s="133"/>
      <c r="C781" s="133"/>
      <c r="D781" s="133"/>
      <c r="E781" s="130"/>
      <c r="F781" s="133"/>
      <c r="G781" s="133"/>
      <c r="H781" s="133"/>
      <c r="I781" s="133"/>
    </row>
    <row r="782" spans="1:9" x14ac:dyDescent="0.2">
      <c r="A782" s="132"/>
      <c r="B782" s="133"/>
      <c r="C782" s="133"/>
      <c r="D782" s="133"/>
      <c r="E782" s="130"/>
      <c r="F782" s="133"/>
      <c r="G782" s="133"/>
      <c r="H782" s="133"/>
      <c r="I782" s="133"/>
    </row>
    <row r="783" spans="1:9" x14ac:dyDescent="0.2">
      <c r="A783" s="132"/>
      <c r="B783" s="133"/>
      <c r="C783" s="133"/>
      <c r="D783" s="133"/>
      <c r="E783" s="130"/>
      <c r="F783" s="133"/>
      <c r="G783" s="133"/>
      <c r="H783" s="133"/>
      <c r="I783" s="133"/>
    </row>
    <row r="784" spans="1:9" x14ac:dyDescent="0.2">
      <c r="A784" s="132"/>
      <c r="B784" s="133"/>
      <c r="C784" s="133"/>
      <c r="D784" s="133"/>
      <c r="E784" s="130"/>
      <c r="F784" s="133"/>
      <c r="G784" s="133"/>
      <c r="H784" s="133"/>
      <c r="I784" s="133"/>
    </row>
    <row r="785" spans="1:9" x14ac:dyDescent="0.2">
      <c r="A785" s="132"/>
      <c r="B785" s="133"/>
      <c r="C785" s="133"/>
      <c r="D785" s="133"/>
      <c r="E785" s="130"/>
      <c r="F785" s="133"/>
      <c r="G785" s="133"/>
      <c r="H785" s="133"/>
      <c r="I785" s="133"/>
    </row>
    <row r="786" spans="1:9" x14ac:dyDescent="0.2">
      <c r="A786" s="132"/>
      <c r="B786" s="133"/>
      <c r="C786" s="133"/>
      <c r="D786" s="133"/>
      <c r="E786" s="130"/>
      <c r="F786" s="133"/>
      <c r="G786" s="133"/>
      <c r="H786" s="133"/>
      <c r="I786" s="133"/>
    </row>
    <row r="787" spans="1:9" x14ac:dyDescent="0.2">
      <c r="A787" s="132"/>
      <c r="B787" s="133"/>
      <c r="C787" s="133"/>
      <c r="D787" s="133"/>
      <c r="E787" s="130"/>
      <c r="F787" s="133"/>
      <c r="G787" s="133"/>
      <c r="H787" s="133"/>
      <c r="I787" s="133"/>
    </row>
    <row r="788" spans="1:9" x14ac:dyDescent="0.2">
      <c r="A788" s="132"/>
      <c r="B788" s="133"/>
      <c r="C788" s="133"/>
      <c r="D788" s="133"/>
      <c r="E788" s="130"/>
      <c r="F788" s="133"/>
      <c r="G788" s="133"/>
      <c r="H788" s="133"/>
      <c r="I788" s="133"/>
    </row>
    <row r="789" spans="1:9" x14ac:dyDescent="0.2">
      <c r="A789" s="132"/>
      <c r="B789" s="133"/>
      <c r="C789" s="133"/>
      <c r="D789" s="133"/>
      <c r="E789" s="130"/>
      <c r="F789" s="133"/>
      <c r="G789" s="133"/>
      <c r="H789" s="133"/>
      <c r="I789" s="133"/>
    </row>
    <row r="790" spans="1:9" x14ac:dyDescent="0.2">
      <c r="A790" s="132"/>
      <c r="B790" s="133"/>
      <c r="C790" s="133"/>
      <c r="D790" s="133"/>
      <c r="E790" s="130"/>
      <c r="F790" s="133"/>
      <c r="G790" s="133"/>
      <c r="H790" s="133"/>
      <c r="I790" s="133"/>
    </row>
    <row r="791" spans="1:9" x14ac:dyDescent="0.2">
      <c r="A791" s="132"/>
      <c r="B791" s="133"/>
      <c r="C791" s="133"/>
      <c r="D791" s="133"/>
      <c r="E791" s="130"/>
      <c r="F791" s="133"/>
      <c r="G791" s="133"/>
      <c r="H791" s="133"/>
      <c r="I791" s="133"/>
    </row>
    <row r="792" spans="1:9" x14ac:dyDescent="0.2">
      <c r="A792" s="132"/>
      <c r="B792" s="133"/>
      <c r="C792" s="133"/>
      <c r="D792" s="133"/>
      <c r="E792" s="130"/>
      <c r="F792" s="133"/>
      <c r="G792" s="133"/>
      <c r="H792" s="133"/>
      <c r="I792" s="133"/>
    </row>
    <row r="793" spans="1:9" x14ac:dyDescent="0.2">
      <c r="A793" s="132"/>
      <c r="B793" s="133"/>
      <c r="C793" s="133"/>
      <c r="D793" s="133"/>
      <c r="E793" s="130"/>
      <c r="F793" s="133"/>
      <c r="G793" s="133"/>
      <c r="H793" s="133"/>
      <c r="I793" s="133"/>
    </row>
    <row r="794" spans="1:9" x14ac:dyDescent="0.2">
      <c r="A794" s="132"/>
      <c r="B794" s="133"/>
      <c r="C794" s="133"/>
      <c r="D794" s="133"/>
      <c r="E794" s="130"/>
      <c r="F794" s="133"/>
      <c r="G794" s="133"/>
      <c r="H794" s="133"/>
      <c r="I794" s="133"/>
    </row>
    <row r="795" spans="1:9" x14ac:dyDescent="0.2">
      <c r="A795" s="132"/>
      <c r="B795" s="133"/>
      <c r="C795" s="133"/>
      <c r="D795" s="133"/>
      <c r="E795" s="130"/>
      <c r="F795" s="133"/>
      <c r="G795" s="133"/>
      <c r="H795" s="133"/>
      <c r="I795" s="133"/>
    </row>
    <row r="796" spans="1:9" x14ac:dyDescent="0.2">
      <c r="A796" s="132"/>
      <c r="B796" s="133"/>
      <c r="C796" s="133"/>
      <c r="D796" s="133"/>
      <c r="E796" s="130"/>
      <c r="F796" s="133"/>
      <c r="G796" s="133"/>
      <c r="H796" s="133"/>
      <c r="I796" s="133"/>
    </row>
    <row r="797" spans="1:9" x14ac:dyDescent="0.2">
      <c r="A797" s="132"/>
      <c r="B797" s="133"/>
      <c r="C797" s="133"/>
      <c r="D797" s="133"/>
      <c r="E797" s="130"/>
      <c r="F797" s="133"/>
      <c r="G797" s="133"/>
      <c r="H797" s="133"/>
      <c r="I797" s="133"/>
    </row>
    <row r="798" spans="1:9" x14ac:dyDescent="0.2">
      <c r="A798" s="132"/>
      <c r="B798" s="133"/>
      <c r="C798" s="133"/>
      <c r="D798" s="133"/>
      <c r="E798" s="130"/>
      <c r="F798" s="133"/>
      <c r="G798" s="133"/>
      <c r="H798" s="133"/>
      <c r="I798" s="133"/>
    </row>
    <row r="799" spans="1:9" x14ac:dyDescent="0.2">
      <c r="A799" s="132"/>
      <c r="B799" s="133"/>
      <c r="C799" s="133"/>
      <c r="D799" s="133"/>
      <c r="E799" s="130"/>
      <c r="F799" s="133"/>
      <c r="G799" s="133"/>
      <c r="H799" s="133"/>
      <c r="I799" s="133"/>
    </row>
    <row r="800" spans="1:9" x14ac:dyDescent="0.2">
      <c r="A800" s="132"/>
      <c r="B800" s="133"/>
      <c r="C800" s="133"/>
      <c r="D800" s="133"/>
      <c r="E800" s="130"/>
      <c r="F800" s="133"/>
      <c r="G800" s="133"/>
      <c r="H800" s="133"/>
      <c r="I800" s="133"/>
    </row>
    <row r="801" spans="1:9" x14ac:dyDescent="0.2">
      <c r="A801" s="132"/>
      <c r="B801" s="133"/>
      <c r="C801" s="133"/>
      <c r="D801" s="133"/>
      <c r="E801" s="130"/>
      <c r="F801" s="133"/>
      <c r="G801" s="133"/>
      <c r="H801" s="133"/>
      <c r="I801" s="133"/>
    </row>
    <row r="802" spans="1:9" x14ac:dyDescent="0.2">
      <c r="A802" s="132"/>
      <c r="B802" s="133"/>
      <c r="C802" s="133"/>
      <c r="D802" s="133"/>
      <c r="E802" s="130"/>
      <c r="F802" s="133"/>
      <c r="G802" s="133"/>
      <c r="H802" s="133"/>
      <c r="I802" s="133"/>
    </row>
    <row r="803" spans="1:9" x14ac:dyDescent="0.2">
      <c r="A803" s="132"/>
      <c r="B803" s="133"/>
      <c r="C803" s="133"/>
      <c r="D803" s="133"/>
      <c r="E803" s="130"/>
      <c r="F803" s="133"/>
      <c r="G803" s="133"/>
      <c r="H803" s="133"/>
      <c r="I803" s="133"/>
    </row>
    <row r="804" spans="1:9" x14ac:dyDescent="0.2">
      <c r="A804" s="132"/>
      <c r="B804" s="133"/>
      <c r="C804" s="133"/>
      <c r="D804" s="133"/>
      <c r="E804" s="130"/>
      <c r="F804" s="133"/>
      <c r="G804" s="133"/>
      <c r="H804" s="133"/>
      <c r="I804" s="133"/>
    </row>
    <row r="805" spans="1:9" x14ac:dyDescent="0.2">
      <c r="A805" s="132"/>
      <c r="B805" s="133"/>
      <c r="C805" s="133"/>
      <c r="D805" s="133"/>
      <c r="E805" s="130"/>
      <c r="F805" s="133"/>
      <c r="G805" s="133"/>
      <c r="H805" s="133"/>
      <c r="I805" s="133"/>
    </row>
    <row r="806" spans="1:9" x14ac:dyDescent="0.2">
      <c r="A806" s="132"/>
      <c r="B806" s="133"/>
      <c r="C806" s="133"/>
      <c r="D806" s="133"/>
      <c r="E806" s="130"/>
      <c r="F806" s="133"/>
      <c r="G806" s="133"/>
      <c r="H806" s="133"/>
      <c r="I806" s="133"/>
    </row>
    <row r="807" spans="1:9" x14ac:dyDescent="0.2">
      <c r="A807" s="132"/>
      <c r="B807" s="133"/>
      <c r="C807" s="133"/>
      <c r="D807" s="133"/>
      <c r="E807" s="130"/>
      <c r="F807" s="133"/>
      <c r="G807" s="133"/>
      <c r="H807" s="133"/>
      <c r="I807" s="133"/>
    </row>
    <row r="808" spans="1:9" x14ac:dyDescent="0.2">
      <c r="A808" s="132"/>
      <c r="B808" s="133"/>
      <c r="C808" s="133"/>
      <c r="D808" s="133"/>
      <c r="E808" s="130"/>
      <c r="F808" s="133"/>
      <c r="G808" s="133"/>
      <c r="H808" s="133"/>
      <c r="I808" s="133"/>
    </row>
    <row r="809" spans="1:9" x14ac:dyDescent="0.2">
      <c r="A809" s="132"/>
      <c r="B809" s="133"/>
      <c r="C809" s="133"/>
      <c r="D809" s="133"/>
      <c r="E809" s="130"/>
      <c r="F809" s="133"/>
      <c r="G809" s="133"/>
      <c r="H809" s="133"/>
      <c r="I809" s="133"/>
    </row>
    <row r="810" spans="1:9" x14ac:dyDescent="0.2">
      <c r="A810" s="132"/>
      <c r="B810" s="133"/>
      <c r="C810" s="133"/>
      <c r="D810" s="133"/>
      <c r="E810" s="130"/>
      <c r="F810" s="133"/>
      <c r="G810" s="133"/>
      <c r="H810" s="133"/>
      <c r="I810" s="133"/>
    </row>
    <row r="811" spans="1:9" x14ac:dyDescent="0.2">
      <c r="A811" s="132"/>
      <c r="B811" s="133"/>
      <c r="C811" s="133"/>
      <c r="D811" s="133"/>
      <c r="E811" s="130"/>
      <c r="F811" s="133"/>
      <c r="G811" s="133"/>
      <c r="H811" s="133"/>
      <c r="I811" s="133"/>
    </row>
    <row r="812" spans="1:9" x14ac:dyDescent="0.2">
      <c r="A812" s="132"/>
      <c r="B812" s="133"/>
      <c r="C812" s="133"/>
      <c r="D812" s="133"/>
      <c r="E812" s="130"/>
      <c r="F812" s="133"/>
      <c r="G812" s="133"/>
      <c r="H812" s="133"/>
      <c r="I812" s="133"/>
    </row>
    <row r="813" spans="1:9" x14ac:dyDescent="0.2">
      <c r="A813" s="132"/>
      <c r="B813" s="133"/>
      <c r="C813" s="133"/>
      <c r="D813" s="133"/>
      <c r="E813" s="130"/>
      <c r="F813" s="133"/>
      <c r="G813" s="133"/>
      <c r="H813" s="133"/>
      <c r="I813" s="133"/>
    </row>
    <row r="814" spans="1:9" x14ac:dyDescent="0.2">
      <c r="A814" s="132"/>
      <c r="B814" s="133"/>
      <c r="C814" s="133"/>
      <c r="D814" s="133"/>
      <c r="E814" s="130"/>
      <c r="F814" s="133"/>
      <c r="G814" s="133"/>
      <c r="H814" s="133"/>
      <c r="I814" s="133"/>
    </row>
    <row r="815" spans="1:9" x14ac:dyDescent="0.2">
      <c r="A815" s="132"/>
      <c r="B815" s="133"/>
      <c r="C815" s="133"/>
      <c r="D815" s="133"/>
      <c r="E815" s="130"/>
      <c r="F815" s="133"/>
      <c r="G815" s="133"/>
      <c r="H815" s="133"/>
      <c r="I815" s="133"/>
    </row>
    <row r="816" spans="1:9" x14ac:dyDescent="0.2">
      <c r="A816" s="132"/>
      <c r="B816" s="133"/>
      <c r="C816" s="133"/>
      <c r="D816" s="133"/>
      <c r="E816" s="130"/>
      <c r="F816" s="133"/>
      <c r="G816" s="133"/>
      <c r="H816" s="133"/>
      <c r="I816" s="133"/>
    </row>
    <row r="817" spans="1:9" x14ac:dyDescent="0.2">
      <c r="A817" s="132"/>
      <c r="B817" s="133"/>
      <c r="C817" s="133"/>
      <c r="D817" s="133"/>
      <c r="E817" s="130"/>
      <c r="F817" s="133"/>
      <c r="G817" s="133"/>
      <c r="H817" s="133"/>
      <c r="I817" s="133"/>
    </row>
    <row r="818" spans="1:9" x14ac:dyDescent="0.2">
      <c r="A818" s="132"/>
      <c r="B818" s="133"/>
      <c r="C818" s="133"/>
      <c r="D818" s="133"/>
      <c r="E818" s="130"/>
      <c r="F818" s="133"/>
      <c r="G818" s="133"/>
      <c r="H818" s="133"/>
      <c r="I818" s="133"/>
    </row>
    <row r="819" spans="1:9" x14ac:dyDescent="0.2">
      <c r="A819" s="132"/>
      <c r="B819" s="133"/>
      <c r="C819" s="133"/>
      <c r="D819" s="133"/>
      <c r="E819" s="130"/>
      <c r="F819" s="133"/>
      <c r="G819" s="133"/>
      <c r="H819" s="133"/>
      <c r="I819" s="133"/>
    </row>
    <row r="820" spans="1:9" x14ac:dyDescent="0.2">
      <c r="A820" s="132"/>
      <c r="B820" s="133"/>
      <c r="C820" s="133"/>
      <c r="D820" s="133"/>
      <c r="E820" s="130"/>
      <c r="F820" s="133"/>
      <c r="G820" s="133"/>
      <c r="H820" s="133"/>
      <c r="I820" s="133"/>
    </row>
    <row r="821" spans="1:9" x14ac:dyDescent="0.2">
      <c r="A821" s="132"/>
      <c r="B821" s="133"/>
      <c r="C821" s="133"/>
      <c r="D821" s="133"/>
      <c r="E821" s="130"/>
      <c r="F821" s="133"/>
      <c r="G821" s="133"/>
      <c r="H821" s="133"/>
      <c r="I821" s="133"/>
    </row>
    <row r="822" spans="1:9" x14ac:dyDescent="0.2">
      <c r="A822" s="132"/>
      <c r="B822" s="133"/>
      <c r="C822" s="133"/>
      <c r="D822" s="133"/>
      <c r="E822" s="130"/>
      <c r="F822" s="133"/>
      <c r="G822" s="133"/>
      <c r="H822" s="133"/>
      <c r="I822" s="133"/>
    </row>
    <row r="823" spans="1:9" x14ac:dyDescent="0.2">
      <c r="A823" s="132"/>
      <c r="B823" s="133"/>
      <c r="C823" s="133"/>
      <c r="D823" s="133"/>
      <c r="E823" s="130"/>
      <c r="F823" s="133"/>
      <c r="G823" s="133"/>
      <c r="H823" s="133"/>
      <c r="I823" s="133"/>
    </row>
    <row r="824" spans="1:9" x14ac:dyDescent="0.2">
      <c r="A824" s="132"/>
      <c r="B824" s="133"/>
      <c r="C824" s="133"/>
      <c r="D824" s="133"/>
      <c r="E824" s="130"/>
      <c r="F824" s="133"/>
      <c r="G824" s="133"/>
      <c r="H824" s="133"/>
      <c r="I824" s="133"/>
    </row>
    <row r="825" spans="1:9" x14ac:dyDescent="0.2">
      <c r="A825" s="132"/>
      <c r="B825" s="133"/>
      <c r="C825" s="133"/>
      <c r="D825" s="133"/>
      <c r="E825" s="130"/>
      <c r="F825" s="133"/>
      <c r="G825" s="133"/>
      <c r="H825" s="133"/>
      <c r="I825" s="133"/>
    </row>
    <row r="826" spans="1:9" x14ac:dyDescent="0.2">
      <c r="A826" s="132"/>
      <c r="B826" s="133"/>
      <c r="C826" s="133"/>
      <c r="D826" s="133"/>
      <c r="E826" s="130"/>
      <c r="F826" s="133"/>
      <c r="G826" s="133"/>
      <c r="H826" s="133"/>
      <c r="I826" s="133"/>
    </row>
    <row r="827" spans="1:9" x14ac:dyDescent="0.2">
      <c r="A827" s="132"/>
      <c r="B827" s="133"/>
      <c r="C827" s="133"/>
      <c r="D827" s="133"/>
      <c r="E827" s="130"/>
      <c r="F827" s="133"/>
      <c r="G827" s="133"/>
      <c r="H827" s="133"/>
      <c r="I827" s="133"/>
    </row>
    <row r="828" spans="1:9" x14ac:dyDescent="0.2">
      <c r="A828" s="132"/>
      <c r="B828" s="133"/>
      <c r="C828" s="133"/>
      <c r="D828" s="133"/>
      <c r="E828" s="130"/>
      <c r="F828" s="133"/>
      <c r="G828" s="133"/>
      <c r="H828" s="133"/>
      <c r="I828" s="133"/>
    </row>
    <row r="829" spans="1:9" x14ac:dyDescent="0.2">
      <c r="A829" s="132"/>
      <c r="B829" s="133"/>
      <c r="C829" s="133"/>
      <c r="D829" s="133"/>
      <c r="E829" s="130"/>
      <c r="F829" s="133"/>
      <c r="G829" s="133"/>
      <c r="H829" s="133"/>
      <c r="I829" s="133"/>
    </row>
    <row r="830" spans="1:9" x14ac:dyDescent="0.2">
      <c r="A830" s="132"/>
      <c r="B830" s="133"/>
      <c r="C830" s="133"/>
      <c r="D830" s="133"/>
      <c r="E830" s="130"/>
      <c r="F830" s="133"/>
      <c r="G830" s="133"/>
      <c r="H830" s="133"/>
      <c r="I830" s="133"/>
    </row>
    <row r="831" spans="1:9" x14ac:dyDescent="0.2">
      <c r="A831" s="132"/>
      <c r="B831" s="133"/>
      <c r="C831" s="133"/>
      <c r="D831" s="133"/>
      <c r="E831" s="130"/>
      <c r="F831" s="133"/>
      <c r="G831" s="133"/>
      <c r="H831" s="133"/>
      <c r="I831" s="133"/>
    </row>
    <row r="832" spans="1:9" x14ac:dyDescent="0.2">
      <c r="A832" s="132"/>
      <c r="B832" s="133"/>
      <c r="C832" s="133"/>
      <c r="D832" s="133"/>
      <c r="E832" s="130"/>
      <c r="F832" s="133"/>
      <c r="G832" s="133"/>
      <c r="H832" s="133"/>
      <c r="I832" s="133"/>
    </row>
    <row r="833" spans="1:9" x14ac:dyDescent="0.2">
      <c r="A833" s="132"/>
      <c r="B833" s="133"/>
      <c r="C833" s="133"/>
      <c r="D833" s="133"/>
      <c r="E833" s="130"/>
      <c r="F833" s="133"/>
      <c r="G833" s="133"/>
      <c r="H833" s="133"/>
      <c r="I833" s="133"/>
    </row>
    <row r="834" spans="1:9" x14ac:dyDescent="0.2">
      <c r="A834" s="132"/>
      <c r="B834" s="133"/>
      <c r="C834" s="133"/>
      <c r="D834" s="133"/>
      <c r="E834" s="130"/>
      <c r="F834" s="133"/>
      <c r="G834" s="133"/>
      <c r="H834" s="133"/>
      <c r="I834" s="133"/>
    </row>
    <row r="835" spans="1:9" x14ac:dyDescent="0.2">
      <c r="A835" s="132"/>
      <c r="B835" s="133"/>
      <c r="C835" s="133"/>
      <c r="D835" s="133"/>
      <c r="E835" s="130"/>
      <c r="F835" s="133"/>
      <c r="G835" s="133"/>
      <c r="H835" s="133"/>
      <c r="I835" s="133"/>
    </row>
    <row r="836" spans="1:9" x14ac:dyDescent="0.2">
      <c r="A836" s="132"/>
      <c r="B836" s="133"/>
      <c r="C836" s="133"/>
      <c r="D836" s="133"/>
      <c r="E836" s="130"/>
      <c r="F836" s="133"/>
      <c r="G836" s="133"/>
      <c r="H836" s="133"/>
      <c r="I836" s="133"/>
    </row>
    <row r="837" spans="1:9" x14ac:dyDescent="0.2">
      <c r="A837" s="132"/>
      <c r="B837" s="133"/>
      <c r="C837" s="133"/>
      <c r="D837" s="133"/>
      <c r="E837" s="130"/>
      <c r="F837" s="133"/>
      <c r="G837" s="133"/>
      <c r="H837" s="133"/>
      <c r="I837" s="133"/>
    </row>
    <row r="838" spans="1:9" x14ac:dyDescent="0.2">
      <c r="A838" s="132"/>
      <c r="B838" s="133"/>
      <c r="C838" s="133"/>
      <c r="D838" s="133"/>
      <c r="E838" s="130"/>
      <c r="F838" s="133"/>
      <c r="G838" s="133"/>
      <c r="H838" s="133"/>
      <c r="I838" s="133"/>
    </row>
    <row r="839" spans="1:9" x14ac:dyDescent="0.2">
      <c r="A839" s="132"/>
      <c r="B839" s="133"/>
      <c r="C839" s="133"/>
      <c r="D839" s="133"/>
      <c r="E839" s="130"/>
      <c r="F839" s="133"/>
      <c r="G839" s="133"/>
      <c r="H839" s="133"/>
      <c r="I839" s="133"/>
    </row>
    <row r="840" spans="1:9" x14ac:dyDescent="0.2">
      <c r="A840" s="132"/>
      <c r="B840" s="133"/>
      <c r="C840" s="133"/>
      <c r="D840" s="133"/>
      <c r="E840" s="130"/>
      <c r="F840" s="133"/>
      <c r="G840" s="133"/>
      <c r="H840" s="133"/>
      <c r="I840" s="133"/>
    </row>
    <row r="841" spans="1:9" x14ac:dyDescent="0.2">
      <c r="A841" s="132"/>
      <c r="B841" s="133"/>
      <c r="C841" s="133"/>
      <c r="D841" s="133"/>
      <c r="E841" s="130"/>
      <c r="F841" s="133"/>
      <c r="G841" s="133"/>
      <c r="H841" s="133"/>
      <c r="I841" s="133"/>
    </row>
    <row r="842" spans="1:9" x14ac:dyDescent="0.2">
      <c r="A842" s="132"/>
      <c r="B842" s="133"/>
      <c r="C842" s="133"/>
      <c r="D842" s="133"/>
      <c r="E842" s="130"/>
      <c r="F842" s="133"/>
      <c r="G842" s="133"/>
      <c r="H842" s="133"/>
      <c r="I842" s="133"/>
    </row>
    <row r="843" spans="1:9" x14ac:dyDescent="0.2">
      <c r="A843" s="132"/>
      <c r="B843" s="133"/>
      <c r="C843" s="133"/>
      <c r="D843" s="133"/>
      <c r="E843" s="130"/>
      <c r="F843" s="133"/>
      <c r="G843" s="133"/>
      <c r="H843" s="133"/>
      <c r="I843" s="133"/>
    </row>
    <row r="844" spans="1:9" x14ac:dyDescent="0.2">
      <c r="A844" s="132"/>
      <c r="B844" s="133"/>
      <c r="C844" s="133"/>
      <c r="D844" s="133"/>
      <c r="E844" s="130"/>
      <c r="F844" s="133"/>
      <c r="G844" s="133"/>
      <c r="H844" s="133"/>
      <c r="I844" s="133"/>
    </row>
    <row r="845" spans="1:9" x14ac:dyDescent="0.2">
      <c r="A845" s="132"/>
      <c r="B845" s="133"/>
      <c r="C845" s="133"/>
      <c r="D845" s="133"/>
      <c r="E845" s="130"/>
      <c r="F845" s="133"/>
      <c r="G845" s="133"/>
      <c r="H845" s="133"/>
      <c r="I845" s="133"/>
    </row>
    <row r="846" spans="1:9" x14ac:dyDescent="0.2">
      <c r="A846" s="132"/>
      <c r="B846" s="133"/>
      <c r="C846" s="133"/>
      <c r="D846" s="133"/>
      <c r="E846" s="130"/>
      <c r="F846" s="133"/>
      <c r="G846" s="133"/>
      <c r="H846" s="133"/>
      <c r="I846" s="133"/>
    </row>
    <row r="847" spans="1:9" x14ac:dyDescent="0.2">
      <c r="A847" s="132"/>
      <c r="B847" s="133"/>
      <c r="C847" s="133"/>
      <c r="D847" s="133"/>
      <c r="E847" s="130"/>
      <c r="F847" s="133"/>
      <c r="G847" s="133"/>
      <c r="H847" s="133"/>
      <c r="I847" s="133"/>
    </row>
    <row r="848" spans="1:9" x14ac:dyDescent="0.2">
      <c r="A848" s="132"/>
      <c r="B848" s="133"/>
      <c r="C848" s="133"/>
      <c r="D848" s="133"/>
      <c r="E848" s="130"/>
      <c r="F848" s="133"/>
      <c r="G848" s="133"/>
      <c r="H848" s="133"/>
      <c r="I848" s="133"/>
    </row>
    <row r="849" spans="1:9" x14ac:dyDescent="0.2">
      <c r="A849" s="132"/>
      <c r="B849" s="133"/>
      <c r="C849" s="133"/>
      <c r="D849" s="133"/>
      <c r="E849" s="130"/>
      <c r="F849" s="133"/>
      <c r="G849" s="133"/>
      <c r="H849" s="133"/>
      <c r="I849" s="133"/>
    </row>
    <row r="850" spans="1:9" x14ac:dyDescent="0.2">
      <c r="A850" s="132"/>
      <c r="B850" s="133"/>
      <c r="C850" s="133"/>
      <c r="D850" s="133"/>
      <c r="E850" s="130"/>
      <c r="F850" s="133"/>
      <c r="G850" s="133"/>
      <c r="H850" s="133"/>
      <c r="I850" s="133"/>
    </row>
    <row r="851" spans="1:9" x14ac:dyDescent="0.2">
      <c r="A851" s="132"/>
      <c r="B851" s="133"/>
      <c r="C851" s="133"/>
      <c r="D851" s="133"/>
      <c r="E851" s="130"/>
      <c r="F851" s="133"/>
      <c r="G851" s="133"/>
      <c r="H851" s="133"/>
      <c r="I851" s="133"/>
    </row>
    <row r="852" spans="1:9" x14ac:dyDescent="0.2">
      <c r="A852" s="132"/>
      <c r="B852" s="133"/>
      <c r="C852" s="133"/>
      <c r="D852" s="133"/>
      <c r="E852" s="130"/>
      <c r="F852" s="133"/>
      <c r="G852" s="133"/>
      <c r="H852" s="133"/>
      <c r="I852" s="133"/>
    </row>
    <row r="853" spans="1:9" x14ac:dyDescent="0.2">
      <c r="A853" s="132"/>
      <c r="B853" s="133"/>
      <c r="C853" s="133"/>
      <c r="D853" s="133"/>
      <c r="E853" s="130"/>
      <c r="F853" s="133"/>
      <c r="G853" s="133"/>
      <c r="H853" s="133"/>
      <c r="I853" s="133"/>
    </row>
    <row r="854" spans="1:9" x14ac:dyDescent="0.2">
      <c r="A854" s="132"/>
      <c r="B854" s="133"/>
      <c r="C854" s="133"/>
      <c r="D854" s="133"/>
      <c r="E854" s="130"/>
      <c r="F854" s="133"/>
      <c r="G854" s="133"/>
      <c r="H854" s="133"/>
      <c r="I854" s="133"/>
    </row>
    <row r="855" spans="1:9" x14ac:dyDescent="0.2">
      <c r="A855" s="132"/>
      <c r="B855" s="133"/>
      <c r="C855" s="133"/>
      <c r="D855" s="133"/>
      <c r="E855" s="130"/>
      <c r="F855" s="133"/>
      <c r="G855" s="133"/>
      <c r="H855" s="133"/>
      <c r="I855" s="133"/>
    </row>
    <row r="856" spans="1:9" x14ac:dyDescent="0.2">
      <c r="A856" s="132"/>
      <c r="B856" s="133"/>
      <c r="C856" s="133"/>
      <c r="D856" s="133"/>
      <c r="E856" s="130"/>
      <c r="F856" s="133"/>
      <c r="G856" s="133"/>
      <c r="H856" s="133"/>
      <c r="I856" s="133"/>
    </row>
    <row r="857" spans="1:9" x14ac:dyDescent="0.2">
      <c r="A857" s="132"/>
      <c r="B857" s="133"/>
      <c r="C857" s="133"/>
      <c r="D857" s="133"/>
      <c r="E857" s="130"/>
      <c r="F857" s="133"/>
      <c r="G857" s="133"/>
      <c r="H857" s="133"/>
      <c r="I857" s="133"/>
    </row>
    <row r="858" spans="1:9" x14ac:dyDescent="0.2">
      <c r="A858" s="132"/>
      <c r="B858" s="133"/>
      <c r="C858" s="133"/>
      <c r="D858" s="133"/>
      <c r="E858" s="130"/>
      <c r="F858" s="133"/>
      <c r="G858" s="133"/>
      <c r="H858" s="133"/>
      <c r="I858" s="133"/>
    </row>
    <row r="859" spans="1:9" x14ac:dyDescent="0.2">
      <c r="A859" s="132"/>
      <c r="B859" s="133"/>
      <c r="C859" s="133"/>
      <c r="D859" s="133"/>
      <c r="E859" s="130"/>
      <c r="F859" s="133"/>
      <c r="G859" s="133"/>
      <c r="H859" s="133"/>
      <c r="I859" s="133"/>
    </row>
    <row r="860" spans="1:9" x14ac:dyDescent="0.2">
      <c r="A860" s="132"/>
      <c r="B860" s="133"/>
      <c r="C860" s="133"/>
      <c r="D860" s="133"/>
      <c r="E860" s="130"/>
      <c r="F860" s="133"/>
      <c r="G860" s="133"/>
      <c r="H860" s="133"/>
      <c r="I860" s="133"/>
    </row>
    <row r="861" spans="1:9" x14ac:dyDescent="0.2">
      <c r="A861" s="132"/>
      <c r="B861" s="133"/>
      <c r="C861" s="133"/>
      <c r="D861" s="133"/>
      <c r="E861" s="130"/>
      <c r="F861" s="133"/>
      <c r="G861" s="133"/>
      <c r="H861" s="133"/>
      <c r="I861" s="133"/>
    </row>
    <row r="862" spans="1:9" x14ac:dyDescent="0.2">
      <c r="A862" s="132"/>
      <c r="B862" s="133"/>
      <c r="C862" s="133"/>
      <c r="D862" s="133"/>
      <c r="E862" s="130"/>
      <c r="F862" s="133"/>
      <c r="G862" s="133"/>
      <c r="H862" s="133"/>
      <c r="I862" s="133"/>
    </row>
    <row r="863" spans="1:9" x14ac:dyDescent="0.2">
      <c r="A863" s="132"/>
      <c r="B863" s="133"/>
      <c r="C863" s="133"/>
      <c r="D863" s="133"/>
      <c r="E863" s="130"/>
      <c r="F863" s="133"/>
      <c r="G863" s="133"/>
      <c r="H863" s="133"/>
      <c r="I863" s="133"/>
    </row>
    <row r="864" spans="1:9" x14ac:dyDescent="0.2">
      <c r="A864" s="132"/>
      <c r="B864" s="133"/>
      <c r="C864" s="133"/>
      <c r="D864" s="133"/>
      <c r="E864" s="130"/>
      <c r="F864" s="133"/>
      <c r="G864" s="133"/>
      <c r="H864" s="133"/>
      <c r="I864" s="133"/>
    </row>
    <row r="865" spans="1:9" x14ac:dyDescent="0.2">
      <c r="A865" s="132"/>
      <c r="B865" s="133"/>
      <c r="C865" s="133"/>
      <c r="D865" s="133"/>
      <c r="E865" s="130"/>
      <c r="F865" s="133"/>
      <c r="G865" s="133"/>
      <c r="H865" s="133"/>
      <c r="I865" s="133"/>
    </row>
    <row r="866" spans="1:9" x14ac:dyDescent="0.2">
      <c r="A866" s="132"/>
      <c r="B866" s="133"/>
      <c r="C866" s="133"/>
      <c r="D866" s="133"/>
      <c r="E866" s="130"/>
      <c r="F866" s="133"/>
      <c r="G866" s="133"/>
      <c r="H866" s="133"/>
      <c r="I866" s="133"/>
    </row>
    <row r="867" spans="1:9" x14ac:dyDescent="0.2">
      <c r="A867" s="178"/>
      <c r="B867" s="179"/>
      <c r="C867" s="179"/>
      <c r="D867" s="179"/>
      <c r="E867" s="180"/>
      <c r="F867" s="179"/>
      <c r="G867" s="179"/>
      <c r="H867" s="179"/>
      <c r="I867" s="179"/>
    </row>
  </sheetData>
  <mergeCells count="3">
    <mergeCell ref="Z1:AC1"/>
    <mergeCell ref="AE1:AH1"/>
    <mergeCell ref="Z15:AA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768"/>
  <sheetViews>
    <sheetView showGridLines="0" zoomScale="85" zoomScaleNormal="85" workbookViewId="0">
      <pane ySplit="3" topLeftCell="A4" activePane="bottomLeft" state="frozen"/>
      <selection activeCell="A4" sqref="A4"/>
      <selection pane="bottomLeft" activeCell="H9" sqref="H9"/>
    </sheetView>
  </sheetViews>
  <sheetFormatPr defaultRowHeight="12.75" x14ac:dyDescent="0.2"/>
  <cols>
    <col min="1" max="1" width="13.28515625" style="70" customWidth="1"/>
    <col min="2" max="2" width="10.5703125" style="1" customWidth="1"/>
    <col min="3" max="5" width="9.140625" style="1"/>
    <col min="6" max="6" width="9.7109375" style="2" customWidth="1"/>
    <col min="7" max="8" width="9.140625" style="2"/>
    <col min="9" max="9" width="9.140625" style="19"/>
    <col min="10" max="10" width="9.140625" style="112"/>
    <col min="11" max="12" width="9.140625" style="139"/>
    <col min="13" max="13" width="9.140625" style="113"/>
    <col min="14" max="14" width="10" style="113" customWidth="1"/>
    <col min="15" max="15" width="11.140625" style="113" customWidth="1"/>
    <col min="16" max="16" width="14" style="172" customWidth="1"/>
    <col min="17" max="19" width="9.140625" style="16"/>
    <col min="20" max="20" width="12.85546875" style="16" bestFit="1" customWidth="1"/>
    <col min="21" max="21" width="9.140625" style="16"/>
    <col min="22" max="22" width="12" style="16" customWidth="1"/>
    <col min="23" max="23" width="9.140625" style="36"/>
    <col min="24" max="16384" width="9.140625" style="16"/>
  </cols>
  <sheetData>
    <row r="1" spans="1:23" ht="28.5" customHeight="1" x14ac:dyDescent="0.2">
      <c r="A1" s="81" t="s">
        <v>151</v>
      </c>
      <c r="B1" s="82"/>
      <c r="C1" s="82"/>
      <c r="D1" s="82"/>
      <c r="E1" s="82"/>
      <c r="F1" s="82"/>
      <c r="G1" s="82"/>
      <c r="H1" s="82"/>
      <c r="I1" s="21"/>
      <c r="J1" s="21"/>
      <c r="K1" s="21"/>
      <c r="L1" s="21"/>
      <c r="M1" s="21"/>
      <c r="N1" s="21"/>
      <c r="O1" s="21"/>
      <c r="P1" s="170"/>
      <c r="Q1" s="67"/>
      <c r="R1" s="67"/>
      <c r="S1" s="114"/>
      <c r="T1" s="114"/>
      <c r="U1" s="114"/>
      <c r="V1" s="114"/>
    </row>
    <row r="2" spans="1:23" ht="3.75" customHeight="1" x14ac:dyDescent="0.2">
      <c r="A2" s="88"/>
      <c r="B2" s="89"/>
      <c r="C2" s="16"/>
      <c r="D2" s="16"/>
      <c r="E2" s="16"/>
      <c r="F2" s="89"/>
      <c r="G2" s="16"/>
      <c r="H2" s="16"/>
      <c r="I2" s="16"/>
      <c r="J2" s="16"/>
      <c r="K2" s="16"/>
      <c r="L2" s="16"/>
      <c r="M2" s="16"/>
      <c r="N2" s="16"/>
      <c r="O2" s="16"/>
      <c r="P2" s="171"/>
    </row>
    <row r="3" spans="1:23" ht="35.25" customHeight="1" x14ac:dyDescent="0.2">
      <c r="A3" s="115" t="s">
        <v>28</v>
      </c>
      <c r="B3" s="115" t="s">
        <v>29</v>
      </c>
      <c r="C3" s="115" t="s">
        <v>69</v>
      </c>
      <c r="D3" s="115" t="s">
        <v>70</v>
      </c>
      <c r="E3" s="115" t="s">
        <v>44</v>
      </c>
      <c r="F3" s="115" t="s">
        <v>73</v>
      </c>
      <c r="G3" s="115" t="s">
        <v>74</v>
      </c>
      <c r="H3" s="115" t="s">
        <v>72</v>
      </c>
      <c r="I3" s="115" t="s">
        <v>30</v>
      </c>
      <c r="J3" s="115" t="s">
        <v>75</v>
      </c>
      <c r="K3" s="116" t="s">
        <v>52</v>
      </c>
      <c r="L3" s="116" t="s">
        <v>76</v>
      </c>
      <c r="M3" s="116" t="s">
        <v>53</v>
      </c>
      <c r="N3" s="116" t="s">
        <v>44</v>
      </c>
      <c r="O3" s="116" t="s">
        <v>34</v>
      </c>
      <c r="P3" s="116" t="s">
        <v>57</v>
      </c>
      <c r="T3" s="240" t="s">
        <v>152</v>
      </c>
      <c r="U3" s="240"/>
    </row>
    <row r="4" spans="1:23" s="19" customFormat="1" ht="15" x14ac:dyDescent="0.2">
      <c r="A4" s="174">
        <v>40911</v>
      </c>
      <c r="B4" s="56">
        <f>DAY(A4)</f>
        <v>3</v>
      </c>
      <c r="C4" s="56">
        <f>IF(ROUNDUP((DAY(A4)+WEEKDAY(DATE(YEAR(A4),MONTH(A4),0)))/7,0)=6,5,ROUNDUP((DAY(A4)+WEEKDAY(DATE(YEAR(A4),MONTH(A4),0)))/7,0))</f>
        <v>2</v>
      </c>
      <c r="D4" s="56">
        <f>MONTH(A4)</f>
        <v>1</v>
      </c>
      <c r="E4" s="56" t="str">
        <f>D4&amp;C4</f>
        <v>12</v>
      </c>
      <c r="F4" s="66">
        <f ca="1">VLOOKUP(B4,Factors!$B:$I,6,0)</f>
        <v>1.2613953488372094</v>
      </c>
      <c r="G4" s="66">
        <f ca="1">VLOOKUP(E4,Factors!$E:$I,4,0)</f>
        <v>0.81913621262458469</v>
      </c>
      <c r="H4" s="66">
        <f ca="1">VLOOKUP(D4,Factors!D:I,6,0)</f>
        <v>1.2451170785233958</v>
      </c>
      <c r="I4" s="175">
        <v>452</v>
      </c>
      <c r="J4" s="122">
        <f ca="1">$U$4+(B4*$U$5)+($U$6*C4)+($U$7*D4)+($U$8*F4)+($U$9*G4)+($U$10*H4)</f>
        <v>440.74737991551092</v>
      </c>
      <c r="K4" s="117">
        <f ca="1">J4-I4</f>
        <v>-11.252620084489081</v>
      </c>
      <c r="L4" s="118">
        <f ca="1">(K4)^2</f>
        <v>126.62145876584705</v>
      </c>
      <c r="M4" s="119">
        <f ca="1">IF(ISERROR(ABS(K4)/I4),"",ABS(K4)/I4)</f>
        <v>2.4895177178073189E-2</v>
      </c>
      <c r="N4" s="55"/>
      <c r="O4" s="55"/>
      <c r="P4" s="173"/>
      <c r="T4" s="134" t="s">
        <v>47</v>
      </c>
      <c r="U4" s="135">
        <v>-218.11455855887019</v>
      </c>
      <c r="W4" s="38"/>
    </row>
    <row r="5" spans="1:23" s="19" customFormat="1" ht="15" x14ac:dyDescent="0.2">
      <c r="A5" s="120">
        <v>40912</v>
      </c>
      <c r="B5" s="56">
        <f t="shared" ref="B5:B68" si="0">DAY(A5)</f>
        <v>4</v>
      </c>
      <c r="C5" s="56">
        <f t="shared" ref="C5:C68" si="1">IF(ROUNDUP((DAY(A5)+WEEKDAY(DATE(YEAR(A5),MONTH(A5),0)))/7,0)=6,5,ROUNDUP((DAY(A5)+WEEKDAY(DATE(YEAR(A5),MONTH(A5),0)))/7,0))</f>
        <v>2</v>
      </c>
      <c r="D5" s="56">
        <f t="shared" ref="D5:D68" si="2">MONTH(A5)</f>
        <v>1</v>
      </c>
      <c r="E5" s="56" t="str">
        <f t="shared" ref="E5:E68" si="3">D5&amp;C5</f>
        <v>12</v>
      </c>
      <c r="F5" s="66">
        <f ca="1">VLOOKUP(B5,Factors!$B:$I,6,0)</f>
        <v>1.1051162790697675</v>
      </c>
      <c r="G5" s="66">
        <f ca="1">VLOOKUP(E5,Factors!$E:$I,4,0)</f>
        <v>0.81913621262458469</v>
      </c>
      <c r="H5" s="66">
        <f ca="1">VLOOKUP(D5,Factors!D:I,6,0)</f>
        <v>1.2451170785233958</v>
      </c>
      <c r="I5" s="121">
        <v>396</v>
      </c>
      <c r="J5" s="122">
        <f t="shared" ref="J5:J68" ca="1" si="4">$U$4+(B5*$U$5)+($U$6*C5)+($U$7*D5)+($U$8*F5)+($U$9*G5)+($U$10*H5)</f>
        <v>397.18181605995278</v>
      </c>
      <c r="K5" s="117">
        <f t="shared" ref="K5:K68" ca="1" si="5">J5-I5</f>
        <v>1.1818160599527801</v>
      </c>
      <c r="L5" s="118">
        <f t="shared" ref="L5:L68" ca="1" si="6">(K5)^2</f>
        <v>1.396689199562313</v>
      </c>
      <c r="M5" s="119">
        <f t="shared" ref="M5:M68" ca="1" si="7">IF(ISERROR(ABS(K5)/I5),"",ABS(K5)/I5)</f>
        <v>2.9843839897797475E-3</v>
      </c>
      <c r="N5" s="55"/>
      <c r="O5" s="55"/>
      <c r="P5" s="173"/>
      <c r="T5" s="134" t="s">
        <v>29</v>
      </c>
      <c r="U5" s="135">
        <v>-2.0449354985440933</v>
      </c>
      <c r="W5" s="38"/>
    </row>
    <row r="6" spans="1:23" s="19" customFormat="1" ht="15" x14ac:dyDescent="0.2">
      <c r="A6" s="120">
        <v>40913</v>
      </c>
      <c r="B6" s="56">
        <f t="shared" si="0"/>
        <v>5</v>
      </c>
      <c r="C6" s="56">
        <f t="shared" si="1"/>
        <v>2</v>
      </c>
      <c r="D6" s="56">
        <f t="shared" si="2"/>
        <v>1</v>
      </c>
      <c r="E6" s="56" t="str">
        <f t="shared" si="3"/>
        <v>12</v>
      </c>
      <c r="F6" s="66">
        <f ca="1">VLOOKUP(B6,Factors!$B:$I,6,0)</f>
        <v>0.95441860465116279</v>
      </c>
      <c r="G6" s="66">
        <f ca="1">VLOOKUP(E6,Factors!$E:$I,4,0)</f>
        <v>0.81913621262458469</v>
      </c>
      <c r="H6" s="66">
        <f ca="1">VLOOKUP(D6,Factors!D:I,6,0)</f>
        <v>1.2451170785233958</v>
      </c>
      <c r="I6" s="121">
        <v>342</v>
      </c>
      <c r="J6" s="122">
        <f t="shared" ca="1" si="4"/>
        <v>355.09913178857369</v>
      </c>
      <c r="K6" s="117">
        <f t="shared" ca="1" si="5"/>
        <v>13.099131788573686</v>
      </c>
      <c r="L6" s="118">
        <f t="shared" ca="1" si="6"/>
        <v>171.58725361442166</v>
      </c>
      <c r="M6" s="119">
        <f t="shared" ca="1" si="7"/>
        <v>3.8301554937349963E-2</v>
      </c>
      <c r="N6" s="55"/>
      <c r="O6" s="55"/>
      <c r="P6" s="173"/>
      <c r="T6" s="134" t="s">
        <v>69</v>
      </c>
      <c r="U6" s="135">
        <v>14.07495250828663</v>
      </c>
      <c r="W6" s="38"/>
    </row>
    <row r="7" spans="1:23" s="19" customFormat="1" ht="15" x14ac:dyDescent="0.2">
      <c r="A7" s="120">
        <v>40914</v>
      </c>
      <c r="B7" s="56">
        <f t="shared" si="0"/>
        <v>6</v>
      </c>
      <c r="C7" s="56">
        <f t="shared" si="1"/>
        <v>2</v>
      </c>
      <c r="D7" s="56">
        <f t="shared" si="2"/>
        <v>1</v>
      </c>
      <c r="E7" s="56" t="str">
        <f t="shared" si="3"/>
        <v>12</v>
      </c>
      <c r="F7" s="66">
        <f ca="1">VLOOKUP(B7,Factors!$B:$I,6,0)</f>
        <v>0.97953488372093034</v>
      </c>
      <c r="G7" s="66">
        <f ca="1">VLOOKUP(E7,Factors!$E:$I,4,0)</f>
        <v>0.81913621262458469</v>
      </c>
      <c r="H7" s="66">
        <f ca="1">VLOOKUP(D7,Factors!D:I,6,0)</f>
        <v>1.2451170785233958</v>
      </c>
      <c r="I7" s="121">
        <v>351</v>
      </c>
      <c r="J7" s="122">
        <f t="shared" ca="1" si="4"/>
        <v>359.72715441883548</v>
      </c>
      <c r="K7" s="117">
        <f t="shared" ca="1" si="5"/>
        <v>8.7271544188354824</v>
      </c>
      <c r="L7" s="118">
        <f t="shared" ca="1" si="6"/>
        <v>76.16322425019969</v>
      </c>
      <c r="M7" s="119">
        <f t="shared" ca="1" si="7"/>
        <v>2.4863687802950091E-2</v>
      </c>
      <c r="N7" s="55"/>
      <c r="O7" s="55"/>
      <c r="P7" s="173"/>
      <c r="T7" s="134" t="s">
        <v>70</v>
      </c>
      <c r="U7" s="135">
        <v>-2.3919202014902643</v>
      </c>
      <c r="W7" s="38"/>
    </row>
    <row r="8" spans="1:23" s="19" customFormat="1" ht="15" x14ac:dyDescent="0.2">
      <c r="A8" s="120">
        <v>40917</v>
      </c>
      <c r="B8" s="56">
        <f t="shared" si="0"/>
        <v>9</v>
      </c>
      <c r="C8" s="56">
        <f t="shared" si="1"/>
        <v>3</v>
      </c>
      <c r="D8" s="56">
        <f t="shared" si="2"/>
        <v>1</v>
      </c>
      <c r="E8" s="56" t="str">
        <f t="shared" si="3"/>
        <v>13</v>
      </c>
      <c r="F8" s="66">
        <f ca="1">VLOOKUP(B8,Factors!$B:$I,6,0)</f>
        <v>1.08</v>
      </c>
      <c r="G8" s="66">
        <f ca="1">VLOOKUP(E8,Factors!$E:$I,4,0)</f>
        <v>0.97913621262458472</v>
      </c>
      <c r="H8" s="66">
        <f ca="1">VLOOKUP(D8,Factors!D:I,6,0)</f>
        <v>1.2451170785233958</v>
      </c>
      <c r="I8" s="121">
        <v>387</v>
      </c>
      <c r="J8" s="122">
        <f t="shared" ca="1" si="4"/>
        <v>396.61112534803902</v>
      </c>
      <c r="K8" s="117">
        <f t="shared" ca="1" si="5"/>
        <v>9.6111253480390246</v>
      </c>
      <c r="L8" s="118">
        <f t="shared" ca="1" si="6"/>
        <v>92.37373045571826</v>
      </c>
      <c r="M8" s="119">
        <f t="shared" ca="1" si="7"/>
        <v>2.4834949219739083E-2</v>
      </c>
      <c r="N8" s="55"/>
      <c r="O8" s="55"/>
      <c r="P8" s="173"/>
      <c r="T8" s="134" t="s">
        <v>73</v>
      </c>
      <c r="U8" s="135">
        <v>265.68259216541736</v>
      </c>
      <c r="W8" s="38"/>
    </row>
    <row r="9" spans="1:23" s="19" customFormat="1" ht="15" x14ac:dyDescent="0.2">
      <c r="A9" s="120">
        <v>40918</v>
      </c>
      <c r="B9" s="56">
        <f t="shared" si="0"/>
        <v>10</v>
      </c>
      <c r="C9" s="56">
        <f t="shared" si="1"/>
        <v>3</v>
      </c>
      <c r="D9" s="56">
        <f t="shared" si="2"/>
        <v>1</v>
      </c>
      <c r="E9" s="56" t="str">
        <f t="shared" si="3"/>
        <v>13</v>
      </c>
      <c r="F9" s="66">
        <f ca="1">VLOOKUP(B9,Factors!$B:$I,6,0)</f>
        <v>1.0911627906976744</v>
      </c>
      <c r="G9" s="66">
        <f ca="1">VLOOKUP(E9,Factors!$E:$I,4,0)</f>
        <v>0.97913621262458472</v>
      </c>
      <c r="H9" s="66">
        <f ca="1">VLOOKUP(D9,Factors!D:I,6,0)</f>
        <v>1.2451170785233958</v>
      </c>
      <c r="I9" s="121">
        <v>391</v>
      </c>
      <c r="J9" s="122">
        <f t="shared" ca="1" si="4"/>
        <v>397.53194901785309</v>
      </c>
      <c r="K9" s="117">
        <f t="shared" ca="1" si="5"/>
        <v>6.5319490178530941</v>
      </c>
      <c r="L9" s="118">
        <f t="shared" ca="1" si="6"/>
        <v>42.666357971831999</v>
      </c>
      <c r="M9" s="119">
        <f t="shared" ca="1" si="7"/>
        <v>1.6705751963818655E-2</v>
      </c>
      <c r="N9" s="55"/>
      <c r="O9" s="55"/>
      <c r="P9" s="173"/>
      <c r="T9" s="134" t="s">
        <v>71</v>
      </c>
      <c r="U9" s="135">
        <v>14.07495250828663</v>
      </c>
      <c r="W9" s="38"/>
    </row>
    <row r="10" spans="1:23" s="19" customFormat="1" ht="15" x14ac:dyDescent="0.2">
      <c r="A10" s="120">
        <v>40919</v>
      </c>
      <c r="B10" s="56">
        <f t="shared" si="0"/>
        <v>11</v>
      </c>
      <c r="C10" s="56">
        <f t="shared" si="1"/>
        <v>3</v>
      </c>
      <c r="D10" s="56">
        <f t="shared" si="2"/>
        <v>1</v>
      </c>
      <c r="E10" s="56" t="str">
        <f t="shared" si="3"/>
        <v>13</v>
      </c>
      <c r="F10" s="66">
        <f ca="1">VLOOKUP(B10,Factors!$B:$I,6,0)</f>
        <v>1.0827906976744186</v>
      </c>
      <c r="G10" s="66">
        <f ca="1">VLOOKUP(E10,Factors!$E:$I,4,0)</f>
        <v>0.97913621262458472</v>
      </c>
      <c r="H10" s="66">
        <f ca="1">VLOOKUP(D10,Factors!D:I,6,0)</f>
        <v>1.2451170785233958</v>
      </c>
      <c r="I10" s="121">
        <v>388</v>
      </c>
      <c r="J10" s="122">
        <f t="shared" ca="1" si="4"/>
        <v>393.26269414304033</v>
      </c>
      <c r="K10" s="117">
        <f t="shared" ca="1" si="5"/>
        <v>5.2626941430403349</v>
      </c>
      <c r="L10" s="118">
        <f t="shared" ca="1" si="6"/>
        <v>27.695949643191046</v>
      </c>
      <c r="M10" s="119">
        <f t="shared" ca="1" si="7"/>
        <v>1.3563644698557564E-2</v>
      </c>
      <c r="N10" s="55"/>
      <c r="O10" s="55"/>
      <c r="P10" s="173"/>
      <c r="T10" s="134" t="s">
        <v>72</v>
      </c>
      <c r="U10" s="135">
        <v>234.98085110753172</v>
      </c>
      <c r="W10" s="38"/>
    </row>
    <row r="11" spans="1:23" s="19" customFormat="1" ht="15" x14ac:dyDescent="0.2">
      <c r="A11" s="120">
        <v>40920</v>
      </c>
      <c r="B11" s="56">
        <f t="shared" si="0"/>
        <v>12</v>
      </c>
      <c r="C11" s="56">
        <f t="shared" si="1"/>
        <v>3</v>
      </c>
      <c r="D11" s="56">
        <f t="shared" si="2"/>
        <v>1</v>
      </c>
      <c r="E11" s="56" t="str">
        <f t="shared" si="3"/>
        <v>13</v>
      </c>
      <c r="F11" s="66">
        <f ca="1">VLOOKUP(B11,Factors!$B:$I,6,0)</f>
        <v>1.0297674418604652</v>
      </c>
      <c r="G11" s="66">
        <f ca="1">VLOOKUP(E11,Factors!$E:$I,4,0)</f>
        <v>0.97913621262458472</v>
      </c>
      <c r="H11" s="66">
        <f ca="1">VLOOKUP(D11,Factors!D:I,6,0)</f>
        <v>1.2451170785233958</v>
      </c>
      <c r="I11" s="121">
        <v>369</v>
      </c>
      <c r="J11" s="122">
        <f t="shared" ca="1" si="4"/>
        <v>377.1304025947951</v>
      </c>
      <c r="K11" s="117">
        <f t="shared" ca="1" si="5"/>
        <v>8.1304025947951004</v>
      </c>
      <c r="L11" s="118">
        <f t="shared" ca="1" si="6"/>
        <v>66.103446353450906</v>
      </c>
      <c r="M11" s="119">
        <f t="shared" ca="1" si="7"/>
        <v>2.2033611368008403E-2</v>
      </c>
      <c r="N11" s="55"/>
      <c r="O11" s="55"/>
      <c r="P11" s="173"/>
      <c r="T11" s="136" t="s">
        <v>60</v>
      </c>
      <c r="U11" s="137">
        <f ca="1">IF(ISERROR(AVERAGE($M$4:$M$1048576)),"",AVERAGE($M$4:$M$1048576))</f>
        <v>0.26639531975491376</v>
      </c>
      <c r="W11" s="38"/>
    </row>
    <row r="12" spans="1:23" s="19" customFormat="1" x14ac:dyDescent="0.2">
      <c r="A12" s="120">
        <v>40921</v>
      </c>
      <c r="B12" s="56">
        <f t="shared" si="0"/>
        <v>13</v>
      </c>
      <c r="C12" s="56">
        <f t="shared" si="1"/>
        <v>3</v>
      </c>
      <c r="D12" s="56">
        <f t="shared" si="2"/>
        <v>1</v>
      </c>
      <c r="E12" s="56" t="str">
        <f t="shared" si="3"/>
        <v>13</v>
      </c>
      <c r="F12" s="66">
        <f ca="1">VLOOKUP(B12,Factors!$B:$I,6,0)</f>
        <v>0.8567441860465117</v>
      </c>
      <c r="G12" s="66">
        <f ca="1">VLOOKUP(E12,Factors!$E:$I,4,0)</f>
        <v>0.97913621262458472</v>
      </c>
      <c r="H12" s="66">
        <f ca="1">VLOOKUP(D12,Factors!D:I,6,0)</f>
        <v>1.2451170785233958</v>
      </c>
      <c r="I12" s="121">
        <v>307</v>
      </c>
      <c r="J12" s="122">
        <f t="shared" ca="1" si="4"/>
        <v>329.11619998669971</v>
      </c>
      <c r="K12" s="117">
        <f t="shared" ca="1" si="5"/>
        <v>22.116199986699712</v>
      </c>
      <c r="L12" s="118">
        <f t="shared" ca="1" si="6"/>
        <v>489.12630185169633</v>
      </c>
      <c r="M12" s="119">
        <f t="shared" ca="1" si="7"/>
        <v>7.2039739370357375E-2</v>
      </c>
      <c r="N12" s="55"/>
      <c r="O12" s="55"/>
      <c r="P12" s="173"/>
      <c r="W12" s="38"/>
    </row>
    <row r="13" spans="1:23" s="19" customFormat="1" x14ac:dyDescent="0.2">
      <c r="A13" s="120">
        <v>40924</v>
      </c>
      <c r="B13" s="56">
        <f t="shared" si="0"/>
        <v>16</v>
      </c>
      <c r="C13" s="56">
        <f t="shared" si="1"/>
        <v>4</v>
      </c>
      <c r="D13" s="56">
        <f t="shared" si="2"/>
        <v>1</v>
      </c>
      <c r="E13" s="56" t="str">
        <f t="shared" si="3"/>
        <v>14</v>
      </c>
      <c r="F13" s="66">
        <f ca="1">VLOOKUP(B13,Factors!$B:$I,6,0)</f>
        <v>0.19534883720930232</v>
      </c>
      <c r="G13" s="66">
        <f ca="1">VLOOKUP(E13,Factors!$E:$I,4,0)</f>
        <v>0.86219269102990037</v>
      </c>
      <c r="H13" s="66">
        <f ca="1">VLOOKUP(D13,Factors!D:I,6,0)</f>
        <v>1.2451170785233958</v>
      </c>
      <c r="I13" s="121">
        <v>70</v>
      </c>
      <c r="J13" s="122">
        <f t="shared" ca="1" si="4"/>
        <v>159.68914076153683</v>
      </c>
      <c r="K13" s="117">
        <f t="shared" ca="1" si="5"/>
        <v>89.689140761536834</v>
      </c>
      <c r="L13" s="118">
        <f t="shared" ca="1" si="6"/>
        <v>8044.1419705427679</v>
      </c>
      <c r="M13" s="119">
        <f t="shared" ca="1" si="7"/>
        <v>1.2812734394505263</v>
      </c>
      <c r="N13" s="55"/>
      <c r="O13" s="55"/>
      <c r="P13" s="173"/>
      <c r="W13" s="38"/>
    </row>
    <row r="14" spans="1:23" s="19" customFormat="1" x14ac:dyDescent="0.2">
      <c r="A14" s="120">
        <v>40925</v>
      </c>
      <c r="B14" s="56">
        <f t="shared" si="0"/>
        <v>17</v>
      </c>
      <c r="C14" s="56">
        <f t="shared" si="1"/>
        <v>4</v>
      </c>
      <c r="D14" s="56">
        <f t="shared" si="2"/>
        <v>1</v>
      </c>
      <c r="E14" s="56" t="str">
        <f t="shared" si="3"/>
        <v>14</v>
      </c>
      <c r="F14" s="66">
        <f ca="1">VLOOKUP(B14,Factors!$B:$I,6,0)</f>
        <v>1.2809302325581395</v>
      </c>
      <c r="G14" s="66">
        <f ca="1">VLOOKUP(E14,Factors!$E:$I,4,0)</f>
        <v>0.86219269102990037</v>
      </c>
      <c r="H14" s="66">
        <f ca="1">VLOOKUP(D14,Factors!D:I,6,0)</f>
        <v>1.2451170785233958</v>
      </c>
      <c r="I14" s="121">
        <v>459</v>
      </c>
      <c r="J14" s="122">
        <f t="shared" ca="1" si="4"/>
        <v>446.06428438582259</v>
      </c>
      <c r="K14" s="117">
        <f t="shared" ca="1" si="5"/>
        <v>-12.935715614177411</v>
      </c>
      <c r="L14" s="118">
        <f t="shared" ca="1" si="6"/>
        <v>167.33273845087328</v>
      </c>
      <c r="M14" s="119">
        <f t="shared" ca="1" si="7"/>
        <v>2.8182386958992181E-2</v>
      </c>
      <c r="N14" s="55"/>
      <c r="O14" s="55"/>
      <c r="P14" s="173"/>
      <c r="W14" s="38"/>
    </row>
    <row r="15" spans="1:23" s="19" customFormat="1" x14ac:dyDescent="0.2">
      <c r="A15" s="120">
        <v>40926</v>
      </c>
      <c r="B15" s="56">
        <f t="shared" si="0"/>
        <v>18</v>
      </c>
      <c r="C15" s="56">
        <f t="shared" si="1"/>
        <v>4</v>
      </c>
      <c r="D15" s="56">
        <f t="shared" si="2"/>
        <v>1</v>
      </c>
      <c r="E15" s="56" t="str">
        <f t="shared" si="3"/>
        <v>14</v>
      </c>
      <c r="F15" s="66">
        <f ca="1">VLOOKUP(B15,Factors!$B:$I,6,0)</f>
        <v>1.2111627906976745</v>
      </c>
      <c r="G15" s="66">
        <f ca="1">VLOOKUP(E15,Factors!$E:$I,4,0)</f>
        <v>0.86219269102990037</v>
      </c>
      <c r="H15" s="66">
        <f ca="1">VLOOKUP(D15,Factors!D:I,6,0)</f>
        <v>1.2451170785233958</v>
      </c>
      <c r="I15" s="121">
        <v>434</v>
      </c>
      <c r="J15" s="122">
        <f t="shared" ca="1" si="4"/>
        <v>425.48335408504011</v>
      </c>
      <c r="K15" s="117">
        <f t="shared" ca="1" si="5"/>
        <v>-8.516645914959895</v>
      </c>
      <c r="L15" s="118">
        <f t="shared" ca="1" si="6"/>
        <v>72.533257640803072</v>
      </c>
      <c r="M15" s="119">
        <f t="shared" ca="1" si="7"/>
        <v>1.9623608098985935E-2</v>
      </c>
      <c r="N15" s="55"/>
      <c r="O15" s="55"/>
      <c r="P15" s="173"/>
      <c r="W15" s="38"/>
    </row>
    <row r="16" spans="1:23" s="19" customFormat="1" x14ac:dyDescent="0.2">
      <c r="A16" s="120">
        <v>40927</v>
      </c>
      <c r="B16" s="56">
        <f t="shared" si="0"/>
        <v>19</v>
      </c>
      <c r="C16" s="56">
        <f t="shared" si="1"/>
        <v>4</v>
      </c>
      <c r="D16" s="56">
        <f t="shared" si="2"/>
        <v>1</v>
      </c>
      <c r="E16" s="56" t="str">
        <f t="shared" si="3"/>
        <v>14</v>
      </c>
      <c r="F16" s="66">
        <f ca="1">VLOOKUP(B16,Factors!$B:$I,6,0)</f>
        <v>0.99069767441860468</v>
      </c>
      <c r="G16" s="66">
        <f ca="1">VLOOKUP(E16,Factors!$E:$I,4,0)</f>
        <v>0.86219269102990037</v>
      </c>
      <c r="H16" s="66">
        <f ca="1">VLOOKUP(D16,Factors!D:I,6,0)</f>
        <v>1.2451170785233958</v>
      </c>
      <c r="I16" s="121">
        <v>355</v>
      </c>
      <c r="J16" s="122">
        <f t="shared" ca="1" si="4"/>
        <v>364.86467501142255</v>
      </c>
      <c r="K16" s="117">
        <f t="shared" ca="1" si="5"/>
        <v>9.8646750114225483</v>
      </c>
      <c r="L16" s="118">
        <f t="shared" ca="1" si="6"/>
        <v>97.31181308098445</v>
      </c>
      <c r="M16" s="119">
        <f t="shared" ca="1" si="7"/>
        <v>2.7787816933584644E-2</v>
      </c>
      <c r="N16" s="55"/>
      <c r="O16" s="55"/>
      <c r="P16" s="173"/>
      <c r="W16" s="38"/>
    </row>
    <row r="17" spans="1:23" s="19" customFormat="1" x14ac:dyDescent="0.2">
      <c r="A17" s="120">
        <v>40928</v>
      </c>
      <c r="B17" s="56">
        <f t="shared" si="0"/>
        <v>20</v>
      </c>
      <c r="C17" s="56">
        <f t="shared" si="1"/>
        <v>4</v>
      </c>
      <c r="D17" s="56">
        <f t="shared" si="2"/>
        <v>1</v>
      </c>
      <c r="E17" s="56" t="str">
        <f t="shared" si="3"/>
        <v>14</v>
      </c>
      <c r="F17" s="66">
        <f ca="1">VLOOKUP(B17,Factors!$B:$I,6,0)</f>
        <v>0.84837209302325589</v>
      </c>
      <c r="G17" s="66">
        <f ca="1">VLOOKUP(E17,Factors!$E:$I,4,0)</f>
        <v>0.86219269102990037</v>
      </c>
      <c r="H17" s="66">
        <f ca="1">VLOOKUP(D17,Factors!D:I,6,0)</f>
        <v>1.2451170785233958</v>
      </c>
      <c r="I17" s="121">
        <v>304</v>
      </c>
      <c r="J17" s="122">
        <f t="shared" ca="1" si="4"/>
        <v>325.00631011631208</v>
      </c>
      <c r="K17" s="117">
        <f t="shared" ca="1" si="5"/>
        <v>21.006310116312079</v>
      </c>
      <c r="L17" s="118">
        <f t="shared" ca="1" si="6"/>
        <v>441.2650647026752</v>
      </c>
      <c r="M17" s="119">
        <f t="shared" ca="1" si="7"/>
        <v>6.9099704329973949E-2</v>
      </c>
      <c r="N17" s="55"/>
      <c r="O17" s="55"/>
      <c r="P17" s="173"/>
      <c r="W17" s="38"/>
    </row>
    <row r="18" spans="1:23" s="19" customFormat="1" x14ac:dyDescent="0.2">
      <c r="A18" s="120">
        <v>40931</v>
      </c>
      <c r="B18" s="56">
        <f t="shared" si="0"/>
        <v>23</v>
      </c>
      <c r="C18" s="56">
        <f t="shared" si="1"/>
        <v>5</v>
      </c>
      <c r="D18" s="56">
        <f t="shared" si="2"/>
        <v>1</v>
      </c>
      <c r="E18" s="56" t="str">
        <f t="shared" si="3"/>
        <v>15</v>
      </c>
      <c r="F18" s="66">
        <f ca="1">VLOOKUP(B18,Factors!$B:$I,6,0)</f>
        <v>1.0213953488372094</v>
      </c>
      <c r="G18" s="66">
        <f ca="1">VLOOKUP(E18,Factors!$E:$I,4,0)</f>
        <v>1.3395348837209302</v>
      </c>
      <c r="H18" s="66">
        <f ca="1">VLOOKUP(D18,Factors!D:I,6,0)</f>
        <v>1.2451170785233958</v>
      </c>
      <c r="I18" s="121">
        <v>366</v>
      </c>
      <c r="J18" s="122">
        <f t="shared" ca="1" si="4"/>
        <v>385.63429193084539</v>
      </c>
      <c r="K18" s="117">
        <f t="shared" ca="1" si="5"/>
        <v>19.634291930845393</v>
      </c>
      <c r="L18" s="118">
        <f t="shared" ca="1" si="6"/>
        <v>385.50541962566052</v>
      </c>
      <c r="M18" s="119">
        <f t="shared" ca="1" si="7"/>
        <v>5.3645606368430035E-2</v>
      </c>
      <c r="N18" s="55"/>
      <c r="O18" s="55"/>
      <c r="P18" s="173"/>
      <c r="W18" s="38"/>
    </row>
    <row r="19" spans="1:23" s="19" customFormat="1" x14ac:dyDescent="0.2">
      <c r="A19" s="120">
        <v>40932</v>
      </c>
      <c r="B19" s="56">
        <f t="shared" si="0"/>
        <v>24</v>
      </c>
      <c r="C19" s="56">
        <f t="shared" si="1"/>
        <v>5</v>
      </c>
      <c r="D19" s="56">
        <f t="shared" si="2"/>
        <v>1</v>
      </c>
      <c r="E19" s="56" t="str">
        <f t="shared" si="3"/>
        <v>15</v>
      </c>
      <c r="F19" s="66">
        <f ca="1">VLOOKUP(B19,Factors!$B:$I,6,0)</f>
        <v>1.1162790697674418</v>
      </c>
      <c r="G19" s="66">
        <f ca="1">VLOOKUP(E19,Factors!$E:$I,4,0)</f>
        <v>1.3395348837209302</v>
      </c>
      <c r="H19" s="66">
        <f ca="1">VLOOKUP(D19,Factors!D:I,6,0)</f>
        <v>1.2451170785233958</v>
      </c>
      <c r="I19" s="121">
        <v>400</v>
      </c>
      <c r="J19" s="122">
        <f t="shared" ca="1" si="4"/>
        <v>408.79830936334554</v>
      </c>
      <c r="K19" s="117">
        <f t="shared" ca="1" si="5"/>
        <v>8.7983093633455383</v>
      </c>
      <c r="L19" s="118">
        <f t="shared" ca="1" si="6"/>
        <v>77.410247653133766</v>
      </c>
      <c r="M19" s="119">
        <f t="shared" ca="1" si="7"/>
        <v>2.1995773408363846E-2</v>
      </c>
      <c r="N19" s="55"/>
      <c r="O19" s="55"/>
      <c r="P19" s="173"/>
      <c r="W19" s="38"/>
    </row>
    <row r="20" spans="1:23" s="19" customFormat="1" x14ac:dyDescent="0.2">
      <c r="A20" s="120">
        <v>40933</v>
      </c>
      <c r="B20" s="56">
        <f t="shared" si="0"/>
        <v>25</v>
      </c>
      <c r="C20" s="56">
        <f t="shared" si="1"/>
        <v>5</v>
      </c>
      <c r="D20" s="56">
        <f t="shared" si="2"/>
        <v>1</v>
      </c>
      <c r="E20" s="56" t="str">
        <f t="shared" si="3"/>
        <v>15</v>
      </c>
      <c r="F20" s="66">
        <f ca="1">VLOOKUP(B20,Factors!$B:$I,6,0)</f>
        <v>0.9767441860465117</v>
      </c>
      <c r="G20" s="66">
        <f ca="1">VLOOKUP(E20,Factors!$E:$I,4,0)</f>
        <v>1.3395348837209302</v>
      </c>
      <c r="H20" s="66">
        <f ca="1">VLOOKUP(D20,Factors!D:I,6,0)</f>
        <v>1.2451170785233958</v>
      </c>
      <c r="I20" s="121">
        <v>350</v>
      </c>
      <c r="J20" s="122">
        <f t="shared" ca="1" si="4"/>
        <v>369.68138426032465</v>
      </c>
      <c r="K20" s="117">
        <f t="shared" ca="1" si="5"/>
        <v>19.681384260324648</v>
      </c>
      <c r="L20" s="118">
        <f t="shared" ca="1" si="6"/>
        <v>387.35688640255484</v>
      </c>
      <c r="M20" s="119">
        <f t="shared" ca="1" si="7"/>
        <v>5.6232526458070427E-2</v>
      </c>
      <c r="N20" s="55"/>
      <c r="O20" s="55"/>
      <c r="P20" s="173"/>
      <c r="W20" s="38"/>
    </row>
    <row r="21" spans="1:23" s="19" customFormat="1" x14ac:dyDescent="0.2">
      <c r="A21" s="120">
        <v>40934</v>
      </c>
      <c r="B21" s="56">
        <f t="shared" si="0"/>
        <v>26</v>
      </c>
      <c r="C21" s="56">
        <f t="shared" si="1"/>
        <v>5</v>
      </c>
      <c r="D21" s="56">
        <f t="shared" si="2"/>
        <v>1</v>
      </c>
      <c r="E21" s="56" t="str">
        <f t="shared" si="3"/>
        <v>15</v>
      </c>
      <c r="F21" s="66">
        <f ca="1">VLOOKUP(B21,Factors!$B:$I,6,0)</f>
        <v>0.91255813953488374</v>
      </c>
      <c r="G21" s="66">
        <f ca="1">VLOOKUP(E21,Factors!$E:$I,4,0)</f>
        <v>1.3395348837209302</v>
      </c>
      <c r="H21" s="66">
        <f ca="1">VLOOKUP(D21,Factors!D:I,6,0)</f>
        <v>1.2451170785233958</v>
      </c>
      <c r="I21" s="121">
        <v>327</v>
      </c>
      <c r="J21" s="122">
        <f t="shared" ca="1" si="4"/>
        <v>350.5833335437211</v>
      </c>
      <c r="K21" s="117">
        <f t="shared" ca="1" si="5"/>
        <v>23.583333543721096</v>
      </c>
      <c r="L21" s="118">
        <f t="shared" ca="1" si="6"/>
        <v>556.17362103440064</v>
      </c>
      <c r="M21" s="119">
        <f t="shared" ca="1" si="7"/>
        <v>7.2120286066425371E-2</v>
      </c>
      <c r="N21" s="55"/>
      <c r="O21" s="55"/>
      <c r="P21" s="173"/>
      <c r="W21" s="38"/>
    </row>
    <row r="22" spans="1:23" s="19" customFormat="1" x14ac:dyDescent="0.2">
      <c r="A22" s="120">
        <v>40935</v>
      </c>
      <c r="B22" s="56">
        <f t="shared" si="0"/>
        <v>27</v>
      </c>
      <c r="C22" s="56">
        <f t="shared" si="1"/>
        <v>5</v>
      </c>
      <c r="D22" s="56">
        <f t="shared" si="2"/>
        <v>1</v>
      </c>
      <c r="E22" s="56" t="str">
        <f t="shared" si="3"/>
        <v>15</v>
      </c>
      <c r="F22" s="66">
        <f ca="1">VLOOKUP(B22,Factors!$B:$I,6,0)</f>
        <v>0.76744186046511631</v>
      </c>
      <c r="G22" s="66">
        <f ca="1">VLOOKUP(E22,Factors!$E:$I,4,0)</f>
        <v>1.3395348837209302</v>
      </c>
      <c r="H22" s="66">
        <f ca="1">VLOOKUP(D22,Factors!D:I,6,0)</f>
        <v>1.2451170785233958</v>
      </c>
      <c r="I22" s="121">
        <v>275</v>
      </c>
      <c r="J22" s="122">
        <f t="shared" ca="1" si="4"/>
        <v>309.98352885652116</v>
      </c>
      <c r="K22" s="117">
        <f t="shared" ca="1" si="5"/>
        <v>34.983528856521161</v>
      </c>
      <c r="L22" s="118">
        <f t="shared" ca="1" si="6"/>
        <v>1223.8472912550487</v>
      </c>
      <c r="M22" s="119">
        <f t="shared" ca="1" si="7"/>
        <v>0.12721283220553151</v>
      </c>
      <c r="N22" s="55"/>
      <c r="O22" s="55"/>
      <c r="P22" s="173"/>
      <c r="W22" s="38"/>
    </row>
    <row r="23" spans="1:23" s="19" customFormat="1" x14ac:dyDescent="0.2">
      <c r="A23" s="120">
        <v>40938</v>
      </c>
      <c r="B23" s="56">
        <f t="shared" si="0"/>
        <v>30</v>
      </c>
      <c r="C23" s="56">
        <f t="shared" si="1"/>
        <v>5</v>
      </c>
      <c r="D23" s="56">
        <f t="shared" si="2"/>
        <v>1</v>
      </c>
      <c r="E23" s="56" t="str">
        <f t="shared" si="3"/>
        <v>15</v>
      </c>
      <c r="F23" s="66">
        <f ca="1">VLOOKUP(B23,Factors!$B:$I,6,0)</f>
        <v>1.1162790697674418</v>
      </c>
      <c r="G23" s="66">
        <f ca="1">VLOOKUP(E23,Factors!$E:$I,4,0)</f>
        <v>1.3395348837209302</v>
      </c>
      <c r="H23" s="66">
        <f ca="1">VLOOKUP(D23,Factors!D:I,6,0)</f>
        <v>1.2451170785233958</v>
      </c>
      <c r="I23" s="121">
        <v>400</v>
      </c>
      <c r="J23" s="122">
        <f t="shared" ca="1" si="4"/>
        <v>396.52869637208096</v>
      </c>
      <c r="K23" s="117">
        <f t="shared" ca="1" si="5"/>
        <v>-3.4713036279190419</v>
      </c>
      <c r="L23" s="118">
        <f t="shared" ca="1" si="6"/>
        <v>12.049948877203903</v>
      </c>
      <c r="M23" s="119">
        <f t="shared" ca="1" si="7"/>
        <v>8.6782590697976041E-3</v>
      </c>
      <c r="N23" s="55"/>
      <c r="O23" s="55"/>
      <c r="P23" s="173"/>
      <c r="W23" s="38"/>
    </row>
    <row r="24" spans="1:23" s="19" customFormat="1" x14ac:dyDescent="0.2">
      <c r="A24" s="120">
        <v>40939</v>
      </c>
      <c r="B24" s="56">
        <f t="shared" si="0"/>
        <v>31</v>
      </c>
      <c r="C24" s="56">
        <f t="shared" si="1"/>
        <v>5</v>
      </c>
      <c r="D24" s="56">
        <f t="shared" si="2"/>
        <v>1</v>
      </c>
      <c r="E24" s="56" t="str">
        <f t="shared" si="3"/>
        <v>15</v>
      </c>
      <c r="F24" s="66">
        <f ca="1">VLOOKUP(B24,Factors!$B:$I,6,0)</f>
        <v>1.1218604651162791</v>
      </c>
      <c r="G24" s="66">
        <f ca="1">VLOOKUP(E24,Factors!$E:$I,4,0)</f>
        <v>1.3395348837209302</v>
      </c>
      <c r="H24" s="66">
        <f ca="1">VLOOKUP(D24,Factors!D:I,6,0)</f>
        <v>1.2451170785233958</v>
      </c>
      <c r="I24" s="121">
        <v>402</v>
      </c>
      <c r="J24" s="122">
        <f t="shared" ca="1" si="4"/>
        <v>395.96664045771593</v>
      </c>
      <c r="K24" s="117">
        <f t="shared" ca="1" si="5"/>
        <v>-6.0333595422840745</v>
      </c>
      <c r="L24" s="118">
        <f t="shared" ca="1" si="6"/>
        <v>36.401427366470294</v>
      </c>
      <c r="M24" s="119">
        <f t="shared" ca="1" si="7"/>
        <v>1.5008357070358394E-2</v>
      </c>
      <c r="N24" s="55"/>
      <c r="O24" s="55"/>
      <c r="P24" s="173"/>
      <c r="W24" s="38"/>
    </row>
    <row r="25" spans="1:23" s="19" customFormat="1" x14ac:dyDescent="0.2">
      <c r="A25" s="120">
        <v>40940</v>
      </c>
      <c r="B25" s="56">
        <f t="shared" si="0"/>
        <v>1</v>
      </c>
      <c r="C25" s="56">
        <f t="shared" si="1"/>
        <v>1</v>
      </c>
      <c r="D25" s="56">
        <f t="shared" si="2"/>
        <v>2</v>
      </c>
      <c r="E25" s="56" t="str">
        <f t="shared" si="3"/>
        <v>21</v>
      </c>
      <c r="F25" s="66">
        <f ca="1">VLOOKUP(B25,Factors!$B:$I,6,0)</f>
        <v>1.0923276983094929</v>
      </c>
      <c r="G25" s="66">
        <f ca="1">VLOOKUP(E25,Factors!$E:$I,4,0)</f>
        <v>0.7289409044935703</v>
      </c>
      <c r="H25" s="66">
        <f ca="1">VLOOKUP(D25,Factors!D:I,6,0)</f>
        <v>1.1451767841143417</v>
      </c>
      <c r="I25" s="121">
        <v>360</v>
      </c>
      <c r="J25" s="122">
        <f t="shared" ca="1" si="4"/>
        <v>358.69849644071053</v>
      </c>
      <c r="K25" s="117">
        <f t="shared" ca="1" si="5"/>
        <v>-1.3015035592894719</v>
      </c>
      <c r="L25" s="118">
        <f t="shared" ca="1" si="6"/>
        <v>1.693911514843164</v>
      </c>
      <c r="M25" s="119">
        <f t="shared" ca="1" si="7"/>
        <v>3.6152876646929778E-3</v>
      </c>
      <c r="N25" s="55"/>
      <c r="O25" s="55"/>
      <c r="P25" s="173"/>
      <c r="W25" s="38"/>
    </row>
    <row r="26" spans="1:23" s="19" customFormat="1" x14ac:dyDescent="0.2">
      <c r="A26" s="120">
        <v>40941</v>
      </c>
      <c r="B26" s="56">
        <f t="shared" si="0"/>
        <v>2</v>
      </c>
      <c r="C26" s="56">
        <f t="shared" si="1"/>
        <v>1</v>
      </c>
      <c r="D26" s="56">
        <f t="shared" si="2"/>
        <v>2</v>
      </c>
      <c r="E26" s="56" t="str">
        <f t="shared" si="3"/>
        <v>21</v>
      </c>
      <c r="F26" s="66">
        <f ca="1">VLOOKUP(B26,Factors!$B:$I,6,0)</f>
        <v>1.0953619419159082</v>
      </c>
      <c r="G26" s="66">
        <f ca="1">VLOOKUP(E26,Factors!$E:$I,4,0)</f>
        <v>0.7289409044935703</v>
      </c>
      <c r="H26" s="66">
        <f ca="1">VLOOKUP(D26,Factors!D:I,6,0)</f>
        <v>1.1451767841143417</v>
      </c>
      <c r="I26" s="121">
        <v>361</v>
      </c>
      <c r="J26" s="122">
        <f t="shared" ca="1" si="4"/>
        <v>357.45970664878018</v>
      </c>
      <c r="K26" s="117">
        <f t="shared" ca="1" si="5"/>
        <v>-3.540293351219816</v>
      </c>
      <c r="L26" s="118">
        <f t="shared" ca="1" si="6"/>
        <v>12.533677012691236</v>
      </c>
      <c r="M26" s="119">
        <f t="shared" ca="1" si="7"/>
        <v>9.8069067900825938E-3</v>
      </c>
      <c r="N26" s="55"/>
      <c r="O26" s="55"/>
      <c r="P26" s="173"/>
      <c r="W26" s="38"/>
    </row>
    <row r="27" spans="1:23" s="19" customFormat="1" x14ac:dyDescent="0.2">
      <c r="A27" s="120">
        <v>40942</v>
      </c>
      <c r="B27" s="56">
        <f t="shared" si="0"/>
        <v>3</v>
      </c>
      <c r="C27" s="56">
        <f t="shared" si="1"/>
        <v>1</v>
      </c>
      <c r="D27" s="56">
        <f t="shared" si="2"/>
        <v>2</v>
      </c>
      <c r="E27" s="56" t="str">
        <f t="shared" si="3"/>
        <v>21</v>
      </c>
      <c r="F27" s="66">
        <f ca="1">VLOOKUP(B27,Factors!$B:$I,6,0)</f>
        <v>1.2613953488372094</v>
      </c>
      <c r="G27" s="66">
        <f ca="1">VLOOKUP(E27,Factors!$E:$I,4,0)</f>
        <v>0.7289409044935703</v>
      </c>
      <c r="H27" s="66">
        <f ca="1">VLOOKUP(D27,Factors!D:I,6,0)</f>
        <v>1.1451767841143417</v>
      </c>
      <c r="I27" s="121">
        <v>288</v>
      </c>
      <c r="J27" s="122">
        <f t="shared" ca="1" si="4"/>
        <v>399.52695708714288</v>
      </c>
      <c r="K27" s="117">
        <f t="shared" ca="1" si="5"/>
        <v>111.52695708714288</v>
      </c>
      <c r="L27" s="118">
        <f t="shared" ca="1" si="6"/>
        <v>12438.262157117408</v>
      </c>
      <c r="M27" s="119">
        <f t="shared" ca="1" si="7"/>
        <v>0.38724637877480167</v>
      </c>
      <c r="N27" s="55"/>
      <c r="O27" s="55"/>
      <c r="P27" s="173"/>
      <c r="W27" s="38"/>
    </row>
    <row r="28" spans="1:23" s="19" customFormat="1" x14ac:dyDescent="0.2">
      <c r="A28" s="120">
        <v>40945</v>
      </c>
      <c r="B28" s="56">
        <f t="shared" si="0"/>
        <v>6</v>
      </c>
      <c r="C28" s="56">
        <f t="shared" si="1"/>
        <v>2</v>
      </c>
      <c r="D28" s="56">
        <f t="shared" si="2"/>
        <v>2</v>
      </c>
      <c r="E28" s="56" t="str">
        <f t="shared" si="3"/>
        <v>22</v>
      </c>
      <c r="F28" s="66">
        <f ca="1">VLOOKUP(B28,Factors!$B:$I,6,0)</f>
        <v>0.97953488372093034</v>
      </c>
      <c r="G28" s="66">
        <f ca="1">VLOOKUP(E28,Factors!$E:$I,4,0)</f>
        <v>1.3271203583297211</v>
      </c>
      <c r="H28" s="66">
        <f ca="1">VLOOKUP(D28,Factors!D:I,6,0)</f>
        <v>1.1451767841143417</v>
      </c>
      <c r="I28" s="121">
        <v>412</v>
      </c>
      <c r="J28" s="122">
        <f t="shared" ca="1" si="4"/>
        <v>341.00103150293069</v>
      </c>
      <c r="K28" s="117">
        <f t="shared" ca="1" si="5"/>
        <v>-70.998968497069313</v>
      </c>
      <c r="L28" s="118">
        <f t="shared" ca="1" si="6"/>
        <v>5040.8535276478406</v>
      </c>
      <c r="M28" s="119">
        <f t="shared" ca="1" si="7"/>
        <v>0.17232759343948861</v>
      </c>
      <c r="N28" s="55"/>
      <c r="O28" s="55"/>
      <c r="P28" s="173"/>
      <c r="W28" s="38"/>
    </row>
    <row r="29" spans="1:23" s="19" customFormat="1" x14ac:dyDescent="0.2">
      <c r="A29" s="120">
        <v>40946</v>
      </c>
      <c r="B29" s="56">
        <f t="shared" si="0"/>
        <v>7</v>
      </c>
      <c r="C29" s="56">
        <f t="shared" si="1"/>
        <v>2</v>
      </c>
      <c r="D29" s="56">
        <f t="shared" si="2"/>
        <v>2</v>
      </c>
      <c r="E29" s="56" t="str">
        <f t="shared" si="3"/>
        <v>22</v>
      </c>
      <c r="F29" s="66">
        <f ca="1">VLOOKUP(B29,Factors!$B:$I,6,0)</f>
        <v>1.1772865192891202</v>
      </c>
      <c r="G29" s="66">
        <f ca="1">VLOOKUP(E29,Factors!$E:$I,4,0)</f>
        <v>1.3271203583297211</v>
      </c>
      <c r="H29" s="66">
        <f ca="1">VLOOKUP(D29,Factors!D:I,6,0)</f>
        <v>1.1451767841143417</v>
      </c>
      <c r="I29" s="121">
        <v>388</v>
      </c>
      <c r="J29" s="122">
        <f t="shared" ca="1" si="4"/>
        <v>391.49526314709419</v>
      </c>
      <c r="K29" s="117">
        <f t="shared" ca="1" si="5"/>
        <v>3.4952631470941924</v>
      </c>
      <c r="L29" s="118">
        <f t="shared" ca="1" si="6"/>
        <v>12.216864467434798</v>
      </c>
      <c r="M29" s="119">
        <f t="shared" ca="1" si="7"/>
        <v>9.0084101729231755E-3</v>
      </c>
      <c r="N29" s="55"/>
      <c r="O29" s="55"/>
      <c r="P29" s="173"/>
      <c r="W29" s="38"/>
    </row>
    <row r="30" spans="1:23" s="19" customFormat="1" x14ac:dyDescent="0.2">
      <c r="A30" s="120">
        <v>40947</v>
      </c>
      <c r="B30" s="56">
        <f t="shared" si="0"/>
        <v>8</v>
      </c>
      <c r="C30" s="56">
        <f t="shared" si="1"/>
        <v>2</v>
      </c>
      <c r="D30" s="56">
        <f t="shared" si="2"/>
        <v>2</v>
      </c>
      <c r="E30" s="56" t="str">
        <f t="shared" si="3"/>
        <v>22</v>
      </c>
      <c r="F30" s="66">
        <f ca="1">VLOOKUP(B30,Factors!$B:$I,6,0)</f>
        <v>1.1469440832249675</v>
      </c>
      <c r="G30" s="66">
        <f ca="1">VLOOKUP(E30,Factors!$E:$I,4,0)</f>
        <v>1.3271203583297211</v>
      </c>
      <c r="H30" s="66">
        <f ca="1">VLOOKUP(D30,Factors!D:I,6,0)</f>
        <v>1.1451767841143417</v>
      </c>
      <c r="I30" s="121">
        <v>378</v>
      </c>
      <c r="J30" s="122">
        <f t="shared" ca="1" si="4"/>
        <v>381.38887058241266</v>
      </c>
      <c r="K30" s="117">
        <f t="shared" ca="1" si="5"/>
        <v>3.3888705824126646</v>
      </c>
      <c r="L30" s="118">
        <f t="shared" ca="1" si="6"/>
        <v>11.484443824341952</v>
      </c>
      <c r="M30" s="119">
        <f t="shared" ca="1" si="7"/>
        <v>8.9652660910387958E-3</v>
      </c>
      <c r="N30" s="55"/>
      <c r="O30" s="55"/>
      <c r="P30" s="173"/>
      <c r="W30" s="38"/>
    </row>
    <row r="31" spans="1:23" s="19" customFormat="1" x14ac:dyDescent="0.2">
      <c r="A31" s="120">
        <v>40948</v>
      </c>
      <c r="B31" s="56">
        <f t="shared" si="0"/>
        <v>9</v>
      </c>
      <c r="C31" s="56">
        <f t="shared" si="1"/>
        <v>2</v>
      </c>
      <c r="D31" s="56">
        <f t="shared" si="2"/>
        <v>2</v>
      </c>
      <c r="E31" s="56" t="str">
        <f t="shared" si="3"/>
        <v>22</v>
      </c>
      <c r="F31" s="66">
        <f ca="1">VLOOKUP(B31,Factors!$B:$I,6,0)</f>
        <v>1.08</v>
      </c>
      <c r="G31" s="66">
        <f ca="1">VLOOKUP(E31,Factors!$E:$I,4,0)</f>
        <v>1.3271203583297211</v>
      </c>
      <c r="H31" s="66">
        <f ca="1">VLOOKUP(D31,Factors!D:I,6,0)</f>
        <v>1.1451767841143417</v>
      </c>
      <c r="I31" s="121">
        <v>342</v>
      </c>
      <c r="J31" s="122">
        <f t="shared" ca="1" si="4"/>
        <v>361.55805752252172</v>
      </c>
      <c r="K31" s="117">
        <f t="shared" ca="1" si="5"/>
        <v>19.558057522521722</v>
      </c>
      <c r="L31" s="118">
        <f t="shared" ca="1" si="6"/>
        <v>382.51761405426851</v>
      </c>
      <c r="M31" s="119">
        <f t="shared" ca="1" si="7"/>
        <v>5.7187302697431934E-2</v>
      </c>
      <c r="N31" s="55"/>
      <c r="O31" s="55"/>
      <c r="P31" s="173"/>
      <c r="W31" s="38"/>
    </row>
    <row r="32" spans="1:23" s="19" customFormat="1" x14ac:dyDescent="0.2">
      <c r="A32" s="120">
        <v>40949</v>
      </c>
      <c r="B32" s="56">
        <f t="shared" si="0"/>
        <v>10</v>
      </c>
      <c r="C32" s="56">
        <f t="shared" si="1"/>
        <v>2</v>
      </c>
      <c r="D32" s="56">
        <f t="shared" si="2"/>
        <v>2</v>
      </c>
      <c r="E32" s="56" t="str">
        <f t="shared" si="3"/>
        <v>22</v>
      </c>
      <c r="F32" s="66">
        <f ca="1">VLOOKUP(B32,Factors!$B:$I,6,0)</f>
        <v>1.0911627906976744</v>
      </c>
      <c r="G32" s="66">
        <f ca="1">VLOOKUP(E32,Factors!$E:$I,4,0)</f>
        <v>1.3271203583297211</v>
      </c>
      <c r="H32" s="66">
        <f ca="1">VLOOKUP(D32,Factors!D:I,6,0)</f>
        <v>1.1451767841143417</v>
      </c>
      <c r="I32" s="121">
        <v>317</v>
      </c>
      <c r="J32" s="122">
        <f t="shared" ca="1" si="4"/>
        <v>362.47888119233579</v>
      </c>
      <c r="K32" s="117">
        <f t="shared" ca="1" si="5"/>
        <v>45.478881192335791</v>
      </c>
      <c r="L32" s="118">
        <f t="shared" ca="1" si="6"/>
        <v>2068.328634506594</v>
      </c>
      <c r="M32" s="119">
        <f t="shared" ca="1" si="7"/>
        <v>0.14346650218402457</v>
      </c>
      <c r="N32" s="55"/>
      <c r="O32" s="55"/>
      <c r="P32" s="173"/>
      <c r="W32" s="38"/>
    </row>
    <row r="33" spans="1:23" s="19" customFormat="1" x14ac:dyDescent="0.2">
      <c r="A33" s="120">
        <v>40952</v>
      </c>
      <c r="B33" s="56">
        <f t="shared" si="0"/>
        <v>13</v>
      </c>
      <c r="C33" s="56">
        <f t="shared" si="1"/>
        <v>3</v>
      </c>
      <c r="D33" s="56">
        <f t="shared" si="2"/>
        <v>2</v>
      </c>
      <c r="E33" s="56" t="str">
        <f t="shared" si="3"/>
        <v>23</v>
      </c>
      <c r="F33" s="66">
        <f ca="1">VLOOKUP(B33,Factors!$B:$I,6,0)</f>
        <v>0.8567441860465117</v>
      </c>
      <c r="G33" s="66">
        <f ca="1">VLOOKUP(E33,Factors!$E:$I,4,0)</f>
        <v>1.2346481722294467</v>
      </c>
      <c r="H33" s="66">
        <f ca="1">VLOOKUP(D33,Factors!D:I,6,0)</f>
        <v>1.1451767841143417</v>
      </c>
      <c r="I33" s="121">
        <v>414</v>
      </c>
      <c r="J33" s="122">
        <f t="shared" ca="1" si="4"/>
        <v>306.83654304177026</v>
      </c>
      <c r="K33" s="117">
        <f t="shared" ca="1" si="5"/>
        <v>-107.16345695822974</v>
      </c>
      <c r="L33" s="118">
        <f t="shared" ca="1" si="6"/>
        <v>11484.006507238359</v>
      </c>
      <c r="M33" s="119">
        <f t="shared" ca="1" si="7"/>
        <v>0.25884892985079649</v>
      </c>
      <c r="N33" s="55"/>
      <c r="O33" s="55"/>
      <c r="P33" s="173"/>
      <c r="W33" s="38"/>
    </row>
    <row r="34" spans="1:23" s="19" customFormat="1" x14ac:dyDescent="0.2">
      <c r="A34" s="120">
        <v>40953</v>
      </c>
      <c r="B34" s="56">
        <f t="shared" si="0"/>
        <v>14</v>
      </c>
      <c r="C34" s="56">
        <f t="shared" si="1"/>
        <v>3</v>
      </c>
      <c r="D34" s="56">
        <f t="shared" si="2"/>
        <v>2</v>
      </c>
      <c r="E34" s="56" t="str">
        <f t="shared" si="3"/>
        <v>23</v>
      </c>
      <c r="F34" s="66">
        <f ca="1">VLOOKUP(B34,Factors!$B:$I,6,0)</f>
        <v>0.97702644126571314</v>
      </c>
      <c r="G34" s="66">
        <f ca="1">VLOOKUP(E34,Factors!$E:$I,4,0)</f>
        <v>1.2346481722294467</v>
      </c>
      <c r="H34" s="66">
        <f ca="1">VLOOKUP(D34,Factors!D:I,6,0)</f>
        <v>1.1451767841143417</v>
      </c>
      <c r="I34" s="121">
        <v>322</v>
      </c>
      <c r="J34" s="122">
        <f t="shared" ca="1" si="4"/>
        <v>336.74850890136588</v>
      </c>
      <c r="K34" s="117">
        <f t="shared" ca="1" si="5"/>
        <v>14.748508901365881</v>
      </c>
      <c r="L34" s="118">
        <f t="shared" ca="1" si="6"/>
        <v>217.51851481366862</v>
      </c>
      <c r="M34" s="119">
        <f t="shared" ca="1" si="7"/>
        <v>4.5802822675049322E-2</v>
      </c>
      <c r="N34" s="55"/>
      <c r="O34" s="55"/>
      <c r="P34" s="173"/>
      <c r="W34" s="38"/>
    </row>
    <row r="35" spans="1:23" s="19" customFormat="1" x14ac:dyDescent="0.2">
      <c r="A35" s="120">
        <v>40954</v>
      </c>
      <c r="B35" s="56">
        <f t="shared" si="0"/>
        <v>15</v>
      </c>
      <c r="C35" s="56">
        <f t="shared" si="1"/>
        <v>3</v>
      </c>
      <c r="D35" s="56">
        <f t="shared" si="2"/>
        <v>2</v>
      </c>
      <c r="E35" s="56" t="str">
        <f t="shared" si="3"/>
        <v>23</v>
      </c>
      <c r="F35" s="66">
        <f ca="1">VLOOKUP(B35,Factors!$B:$I,6,0)</f>
        <v>1.0225400953619419</v>
      </c>
      <c r="G35" s="66">
        <f ca="1">VLOOKUP(E35,Factors!$E:$I,4,0)</f>
        <v>1.2346481722294467</v>
      </c>
      <c r="H35" s="66">
        <f ca="1">VLOOKUP(D35,Factors!D:I,6,0)</f>
        <v>1.1451767841143417</v>
      </c>
      <c r="I35" s="121">
        <v>337</v>
      </c>
      <c r="J35" s="122">
        <f t="shared" ca="1" si="4"/>
        <v>346.79575900202803</v>
      </c>
      <c r="K35" s="117">
        <f t="shared" ca="1" si="5"/>
        <v>9.795759002028035</v>
      </c>
      <c r="L35" s="118">
        <f t="shared" ca="1" si="6"/>
        <v>95.956894425813289</v>
      </c>
      <c r="M35" s="119">
        <f t="shared" ca="1" si="7"/>
        <v>2.9067534130646989E-2</v>
      </c>
      <c r="N35" s="55"/>
      <c r="O35" s="55"/>
      <c r="P35" s="173"/>
      <c r="W35" s="38"/>
    </row>
    <row r="36" spans="1:23" s="19" customFormat="1" x14ac:dyDescent="0.2">
      <c r="A36" s="120">
        <v>40955</v>
      </c>
      <c r="B36" s="56">
        <f t="shared" si="0"/>
        <v>16</v>
      </c>
      <c r="C36" s="56">
        <f t="shared" si="1"/>
        <v>3</v>
      </c>
      <c r="D36" s="56">
        <f t="shared" si="2"/>
        <v>2</v>
      </c>
      <c r="E36" s="56" t="str">
        <f t="shared" si="3"/>
        <v>23</v>
      </c>
      <c r="F36" s="66">
        <f ca="1">VLOOKUP(B36,Factors!$B:$I,6,0)</f>
        <v>0.19534883720930232</v>
      </c>
      <c r="G36" s="66">
        <f ca="1">VLOOKUP(E36,Factors!$E:$I,4,0)</f>
        <v>1.2346481722294467</v>
      </c>
      <c r="H36" s="66">
        <f ca="1">VLOOKUP(D36,Factors!D:I,6,0)</f>
        <v>1.1451767841143417</v>
      </c>
      <c r="I36" s="121">
        <v>387</v>
      </c>
      <c r="J36" s="122">
        <f t="shared" ca="1" si="4"/>
        <v>124.9805058209177</v>
      </c>
      <c r="K36" s="117">
        <f t="shared" ca="1" si="5"/>
        <v>-262.0194941790823</v>
      </c>
      <c r="L36" s="118">
        <f t="shared" ca="1" si="6"/>
        <v>68654.215329862142</v>
      </c>
      <c r="M36" s="119">
        <f t="shared" ca="1" si="7"/>
        <v>0.67705295653509634</v>
      </c>
      <c r="N36" s="55"/>
      <c r="O36" s="55"/>
      <c r="P36" s="173"/>
      <c r="W36" s="38"/>
    </row>
    <row r="37" spans="1:23" s="19" customFormat="1" x14ac:dyDescent="0.2">
      <c r="A37" s="120">
        <v>40956</v>
      </c>
      <c r="B37" s="56">
        <f t="shared" si="0"/>
        <v>17</v>
      </c>
      <c r="C37" s="56">
        <f t="shared" si="1"/>
        <v>3</v>
      </c>
      <c r="D37" s="56">
        <f t="shared" si="2"/>
        <v>2</v>
      </c>
      <c r="E37" s="56" t="str">
        <f t="shared" si="3"/>
        <v>23</v>
      </c>
      <c r="F37" s="66">
        <f ca="1">VLOOKUP(B37,Factors!$B:$I,6,0)</f>
        <v>1.2809302325581395</v>
      </c>
      <c r="G37" s="66">
        <f ca="1">VLOOKUP(E37,Factors!$E:$I,4,0)</f>
        <v>1.2346481722294467</v>
      </c>
      <c r="H37" s="66">
        <f ca="1">VLOOKUP(D37,Factors!D:I,6,0)</f>
        <v>1.1451767841143417</v>
      </c>
      <c r="I37" s="121">
        <v>249</v>
      </c>
      <c r="J37" s="122">
        <f t="shared" ca="1" si="4"/>
        <v>411.35564944520348</v>
      </c>
      <c r="K37" s="117">
        <f t="shared" ca="1" si="5"/>
        <v>162.35564944520348</v>
      </c>
      <c r="L37" s="118">
        <f t="shared" ca="1" si="6"/>
        <v>26359.356906773803</v>
      </c>
      <c r="M37" s="119">
        <f t="shared" ca="1" si="7"/>
        <v>0.65203072066346779</v>
      </c>
      <c r="N37" s="55"/>
      <c r="O37" s="55"/>
      <c r="P37" s="173"/>
      <c r="W37" s="38"/>
    </row>
    <row r="38" spans="1:23" s="19" customFormat="1" x14ac:dyDescent="0.2">
      <c r="A38" s="120">
        <v>40959</v>
      </c>
      <c r="B38" s="56">
        <f t="shared" si="0"/>
        <v>20</v>
      </c>
      <c r="C38" s="56">
        <f t="shared" si="1"/>
        <v>4</v>
      </c>
      <c r="D38" s="56">
        <f t="shared" si="2"/>
        <v>2</v>
      </c>
      <c r="E38" s="56" t="str">
        <f t="shared" si="3"/>
        <v>24</v>
      </c>
      <c r="F38" s="66">
        <f ca="1">VLOOKUP(B38,Factors!$B:$I,6,0)</f>
        <v>0.84837209302325589</v>
      </c>
      <c r="G38" s="66">
        <f ca="1">VLOOKUP(E38,Factors!$E:$I,4,0)</f>
        <v>0.95795405288253144</v>
      </c>
      <c r="H38" s="66">
        <f ca="1">VLOOKUP(D38,Factors!D:I,6,0)</f>
        <v>1.1451767841143417</v>
      </c>
      <c r="I38" s="121">
        <v>52</v>
      </c>
      <c r="J38" s="122">
        <f t="shared" ca="1" si="4"/>
        <v>300.47817109484959</v>
      </c>
      <c r="K38" s="117">
        <f t="shared" ca="1" si="5"/>
        <v>248.47817109484959</v>
      </c>
      <c r="L38" s="118">
        <f t="shared" ca="1" si="6"/>
        <v>61741.401510641343</v>
      </c>
      <c r="M38" s="119">
        <f t="shared" ca="1" si="7"/>
        <v>4.7784263672086462</v>
      </c>
      <c r="N38" s="55"/>
      <c r="O38" s="55"/>
      <c r="P38" s="173"/>
      <c r="W38" s="38"/>
    </row>
    <row r="39" spans="1:23" s="19" customFormat="1" x14ac:dyDescent="0.2">
      <c r="A39" s="120">
        <v>40960</v>
      </c>
      <c r="B39" s="56">
        <f t="shared" si="0"/>
        <v>21</v>
      </c>
      <c r="C39" s="56">
        <f t="shared" si="1"/>
        <v>4</v>
      </c>
      <c r="D39" s="56">
        <f t="shared" si="2"/>
        <v>2</v>
      </c>
      <c r="E39" s="56" t="str">
        <f t="shared" si="3"/>
        <v>24</v>
      </c>
      <c r="F39" s="66">
        <f ca="1">VLOOKUP(B39,Factors!$B:$I,6,0)</f>
        <v>1.1772865192891202</v>
      </c>
      <c r="G39" s="66">
        <f ca="1">VLOOKUP(E39,Factors!$E:$I,4,0)</f>
        <v>0.95795405288253144</v>
      </c>
      <c r="H39" s="66">
        <f ca="1">VLOOKUP(D39,Factors!D:I,6,0)</f>
        <v>1.1451767841143417</v>
      </c>
      <c r="I39" s="121">
        <v>388</v>
      </c>
      <c r="J39" s="122">
        <f t="shared" ca="1" si="4"/>
        <v>385.82007296722134</v>
      </c>
      <c r="K39" s="117">
        <f t="shared" ca="1" si="5"/>
        <v>-2.1799270327786644</v>
      </c>
      <c r="L39" s="118">
        <f t="shared" ca="1" si="6"/>
        <v>4.7520818682391921</v>
      </c>
      <c r="M39" s="119">
        <f t="shared" ca="1" si="7"/>
        <v>5.6183686411821251E-3</v>
      </c>
      <c r="N39" s="55"/>
      <c r="O39" s="55"/>
      <c r="P39" s="173"/>
      <c r="W39" s="38"/>
    </row>
    <row r="40" spans="1:23" s="19" customFormat="1" x14ac:dyDescent="0.2">
      <c r="A40" s="120">
        <v>40961</v>
      </c>
      <c r="B40" s="56">
        <f t="shared" si="0"/>
        <v>22</v>
      </c>
      <c r="C40" s="56">
        <f t="shared" si="1"/>
        <v>4</v>
      </c>
      <c r="D40" s="56">
        <f t="shared" si="2"/>
        <v>2</v>
      </c>
      <c r="E40" s="56" t="str">
        <f t="shared" si="3"/>
        <v>24</v>
      </c>
      <c r="F40" s="66">
        <f ca="1">VLOOKUP(B40,Factors!$B:$I,6,0)</f>
        <v>0.90420459471174686</v>
      </c>
      <c r="G40" s="66">
        <f ca="1">VLOOKUP(E40,Factors!$E:$I,4,0)</f>
        <v>0.95795405288253144</v>
      </c>
      <c r="H40" s="66">
        <f ca="1">VLOOKUP(D40,Factors!D:I,6,0)</f>
        <v>1.1451767841143417</v>
      </c>
      <c r="I40" s="121">
        <v>298</v>
      </c>
      <c r="J40" s="122">
        <f t="shared" ca="1" si="4"/>
        <v>311.22202387343975</v>
      </c>
      <c r="K40" s="117">
        <f t="shared" ca="1" si="5"/>
        <v>13.222023873439753</v>
      </c>
      <c r="L40" s="118">
        <f t="shared" ca="1" si="6"/>
        <v>174.82191530981075</v>
      </c>
      <c r="M40" s="119">
        <f t="shared" ca="1" si="7"/>
        <v>4.4369207628992456E-2</v>
      </c>
      <c r="N40" s="55"/>
      <c r="O40" s="55"/>
      <c r="P40" s="173"/>
      <c r="W40" s="38"/>
    </row>
    <row r="41" spans="1:23" s="19" customFormat="1" x14ac:dyDescent="0.2">
      <c r="A41" s="120">
        <v>40962</v>
      </c>
      <c r="B41" s="56">
        <f t="shared" si="0"/>
        <v>23</v>
      </c>
      <c r="C41" s="56">
        <f t="shared" si="1"/>
        <v>4</v>
      </c>
      <c r="D41" s="56">
        <f t="shared" si="2"/>
        <v>2</v>
      </c>
      <c r="E41" s="56" t="str">
        <f t="shared" si="3"/>
        <v>24</v>
      </c>
      <c r="F41" s="66">
        <f ca="1">VLOOKUP(B41,Factors!$B:$I,6,0)</f>
        <v>1.0213953488372094</v>
      </c>
      <c r="G41" s="66">
        <f ca="1">VLOOKUP(E41,Factors!$E:$I,4,0)</f>
        <v>0.95795405288253144</v>
      </c>
      <c r="H41" s="66">
        <f ca="1">VLOOKUP(D41,Factors!D:I,6,0)</f>
        <v>1.1451767841143417</v>
      </c>
      <c r="I41" s="121">
        <v>330</v>
      </c>
      <c r="J41" s="122">
        <f t="shared" ca="1" si="4"/>
        <v>340.31263170876855</v>
      </c>
      <c r="K41" s="117">
        <f t="shared" ca="1" si="5"/>
        <v>10.312631708768549</v>
      </c>
      <c r="L41" s="118">
        <f t="shared" ca="1" si="6"/>
        <v>106.35037276069853</v>
      </c>
      <c r="M41" s="119">
        <f t="shared" ca="1" si="7"/>
        <v>3.1250399117480454E-2</v>
      </c>
      <c r="N41" s="55"/>
      <c r="O41" s="55"/>
      <c r="P41" s="173"/>
      <c r="W41" s="38"/>
    </row>
    <row r="42" spans="1:23" s="19" customFormat="1" x14ac:dyDescent="0.2">
      <c r="A42" s="120">
        <v>40963</v>
      </c>
      <c r="B42" s="56">
        <f t="shared" si="0"/>
        <v>24</v>
      </c>
      <c r="C42" s="56">
        <f t="shared" si="1"/>
        <v>4</v>
      </c>
      <c r="D42" s="56">
        <f t="shared" si="2"/>
        <v>2</v>
      </c>
      <c r="E42" s="56" t="str">
        <f t="shared" si="3"/>
        <v>24</v>
      </c>
      <c r="F42" s="66">
        <f ca="1">VLOOKUP(B42,Factors!$B:$I,6,0)</f>
        <v>1.1162790697674418</v>
      </c>
      <c r="G42" s="66">
        <f ca="1">VLOOKUP(E42,Factors!$E:$I,4,0)</f>
        <v>0.95795405288253144</v>
      </c>
      <c r="H42" s="66">
        <f ca="1">VLOOKUP(D42,Factors!D:I,6,0)</f>
        <v>1.1451767841143417</v>
      </c>
      <c r="I42" s="121">
        <v>258</v>
      </c>
      <c r="J42" s="122">
        <f t="shared" ca="1" si="4"/>
        <v>363.47664914126869</v>
      </c>
      <c r="K42" s="117">
        <f t="shared" ca="1" si="5"/>
        <v>105.47664914126869</v>
      </c>
      <c r="L42" s="118">
        <f t="shared" ca="1" si="6"/>
        <v>11125.323514070298</v>
      </c>
      <c r="M42" s="119">
        <f t="shared" ca="1" si="7"/>
        <v>0.40882422147778563</v>
      </c>
      <c r="N42" s="55"/>
      <c r="O42" s="55"/>
      <c r="P42" s="173"/>
      <c r="W42" s="38"/>
    </row>
    <row r="43" spans="1:23" s="19" customFormat="1" x14ac:dyDescent="0.2">
      <c r="A43" s="120">
        <v>40966</v>
      </c>
      <c r="B43" s="56">
        <f t="shared" si="0"/>
        <v>27</v>
      </c>
      <c r="C43" s="56">
        <f t="shared" si="1"/>
        <v>5</v>
      </c>
      <c r="D43" s="56">
        <f t="shared" si="2"/>
        <v>2</v>
      </c>
      <c r="E43" s="56" t="str">
        <f t="shared" si="3"/>
        <v>25</v>
      </c>
      <c r="F43" s="66">
        <f ca="1">VLOOKUP(B43,Factors!$B:$I,6,0)</f>
        <v>0.76744186046511631</v>
      </c>
      <c r="G43" s="66">
        <f ca="1">VLOOKUP(E43,Factors!$E:$I,4,0)</f>
        <v>0.75133651206473051</v>
      </c>
      <c r="H43" s="66">
        <f ca="1">VLOOKUP(D43,Factors!D:I,6,0)</f>
        <v>1.1451767841143417</v>
      </c>
      <c r="I43" s="121">
        <v>348</v>
      </c>
      <c r="J43" s="122">
        <f t="shared" ca="1" si="4"/>
        <v>275.82868906834148</v>
      </c>
      <c r="K43" s="117">
        <f t="shared" ca="1" si="5"/>
        <v>-72.171310931658525</v>
      </c>
      <c r="L43" s="118">
        <f t="shared" ca="1" si="6"/>
        <v>5208.6981215941332</v>
      </c>
      <c r="M43" s="119">
        <f t="shared" ca="1" si="7"/>
        <v>0.20738882451626012</v>
      </c>
      <c r="N43" s="55"/>
      <c r="O43" s="55"/>
      <c r="P43" s="173"/>
      <c r="W43" s="38"/>
    </row>
    <row r="44" spans="1:23" s="19" customFormat="1" x14ac:dyDescent="0.2">
      <c r="A44" s="120">
        <v>40967</v>
      </c>
      <c r="B44" s="56">
        <f t="shared" si="0"/>
        <v>28</v>
      </c>
      <c r="C44" s="56">
        <f t="shared" si="1"/>
        <v>5</v>
      </c>
      <c r="D44" s="56">
        <f t="shared" si="2"/>
        <v>2</v>
      </c>
      <c r="E44" s="56" t="str">
        <f t="shared" si="3"/>
        <v>25</v>
      </c>
      <c r="F44" s="66">
        <f ca="1">VLOOKUP(B44,Factors!$B:$I,6,0)</f>
        <v>1.1014304291287387</v>
      </c>
      <c r="G44" s="66">
        <f ca="1">VLOOKUP(E44,Factors!$E:$I,4,0)</f>
        <v>0.75133651206473051</v>
      </c>
      <c r="H44" s="66">
        <f ca="1">VLOOKUP(D44,Factors!D:I,6,0)</f>
        <v>1.1451767841143417</v>
      </c>
      <c r="I44" s="121">
        <v>363</v>
      </c>
      <c r="J44" s="122">
        <f t="shared" ca="1" si="4"/>
        <v>362.5187022459661</v>
      </c>
      <c r="K44" s="117">
        <f t="shared" ca="1" si="5"/>
        <v>-0.4812977540339034</v>
      </c>
      <c r="L44" s="118">
        <f t="shared" ca="1" si="6"/>
        <v>0.23164752803807978</v>
      </c>
      <c r="M44" s="119">
        <f t="shared" ca="1" si="7"/>
        <v>1.3258891295699819E-3</v>
      </c>
      <c r="N44" s="55"/>
      <c r="O44" s="55"/>
      <c r="P44" s="173"/>
      <c r="W44" s="38"/>
    </row>
    <row r="45" spans="1:23" s="19" customFormat="1" x14ac:dyDescent="0.2">
      <c r="A45" s="120">
        <v>40968</v>
      </c>
      <c r="B45" s="56">
        <f t="shared" si="0"/>
        <v>29</v>
      </c>
      <c r="C45" s="56">
        <f t="shared" si="1"/>
        <v>5</v>
      </c>
      <c r="D45" s="56">
        <f t="shared" si="2"/>
        <v>2</v>
      </c>
      <c r="E45" s="56" t="str">
        <f t="shared" si="3"/>
        <v>25</v>
      </c>
      <c r="F45" s="66">
        <f ca="1">VLOOKUP(B45,Factors!$B:$I,6,0)</f>
        <v>0.99826614651061996</v>
      </c>
      <c r="G45" s="66">
        <f ca="1">VLOOKUP(E45,Factors!$E:$I,4,0)</f>
        <v>0.75133651206473051</v>
      </c>
      <c r="H45" s="66">
        <f ca="1">VLOOKUP(D45,Factors!D:I,6,0)</f>
        <v>1.1451767841143417</v>
      </c>
      <c r="I45" s="121">
        <v>329</v>
      </c>
      <c r="J45" s="122">
        <f t="shared" ca="1" si="4"/>
        <v>333.06481272255451</v>
      </c>
      <c r="K45" s="117">
        <f t="shared" ca="1" si="5"/>
        <v>4.0648127225545068</v>
      </c>
      <c r="L45" s="118">
        <f t="shared" ca="1" si="6"/>
        <v>16.522702469440983</v>
      </c>
      <c r="M45" s="119">
        <f t="shared" ca="1" si="7"/>
        <v>1.2355053867946829E-2</v>
      </c>
      <c r="N45" s="55"/>
      <c r="O45" s="55"/>
      <c r="P45" s="173"/>
      <c r="W45" s="38"/>
    </row>
    <row r="46" spans="1:23" s="19" customFormat="1" x14ac:dyDescent="0.2">
      <c r="A46" s="120">
        <v>40969</v>
      </c>
      <c r="B46" s="56">
        <f t="shared" si="0"/>
        <v>1</v>
      </c>
      <c r="C46" s="56">
        <f t="shared" si="1"/>
        <v>1</v>
      </c>
      <c r="D46" s="56">
        <f t="shared" si="2"/>
        <v>3</v>
      </c>
      <c r="E46" s="56" t="str">
        <f t="shared" si="3"/>
        <v>31</v>
      </c>
      <c r="F46" s="66">
        <f ca="1">VLOOKUP(B46,Factors!$B:$I,6,0)</f>
        <v>1.0923276983094929</v>
      </c>
      <c r="G46" s="66">
        <f ca="1">VLOOKUP(E46,Factors!$E:$I,4,0)</f>
        <v>0.4245352071439028</v>
      </c>
      <c r="H46" s="66">
        <f ca="1">VLOOKUP(D46,Factors!D:I,6,0)</f>
        <v>1.1302850183911384</v>
      </c>
      <c r="I46" s="121">
        <v>316</v>
      </c>
      <c r="J46" s="122">
        <f t="shared" ca="1" si="4"/>
        <v>348.52280072163956</v>
      </c>
      <c r="K46" s="117">
        <f t="shared" ca="1" si="5"/>
        <v>32.522800721639555</v>
      </c>
      <c r="L46" s="118">
        <f t="shared" ca="1" si="6"/>
        <v>1057.7325667794785</v>
      </c>
      <c r="M46" s="119">
        <f t="shared" ca="1" si="7"/>
        <v>0.10292025544822644</v>
      </c>
      <c r="N46" s="55"/>
      <c r="O46" s="55"/>
      <c r="P46" s="173"/>
      <c r="W46" s="38"/>
    </row>
    <row r="47" spans="1:23" s="19" customFormat="1" x14ac:dyDescent="0.2">
      <c r="A47" s="120">
        <v>40970</v>
      </c>
      <c r="B47" s="56">
        <f t="shared" si="0"/>
        <v>2</v>
      </c>
      <c r="C47" s="56">
        <f t="shared" si="1"/>
        <v>1</v>
      </c>
      <c r="D47" s="56">
        <f t="shared" si="2"/>
        <v>3</v>
      </c>
      <c r="E47" s="56" t="str">
        <f t="shared" si="3"/>
        <v>31</v>
      </c>
      <c r="F47" s="66">
        <f ca="1">VLOOKUP(B47,Factors!$B:$I,6,0)</f>
        <v>1.0953619419159082</v>
      </c>
      <c r="G47" s="66">
        <f ca="1">VLOOKUP(E47,Factors!$E:$I,4,0)</f>
        <v>0.4245352071439028</v>
      </c>
      <c r="H47" s="66">
        <f ca="1">VLOOKUP(D47,Factors!D:I,6,0)</f>
        <v>1.1302850183911384</v>
      </c>
      <c r="I47" s="121">
        <v>264</v>
      </c>
      <c r="J47" s="122">
        <f t="shared" ca="1" si="4"/>
        <v>347.28401092970921</v>
      </c>
      <c r="K47" s="117">
        <f t="shared" ca="1" si="5"/>
        <v>83.284010929709211</v>
      </c>
      <c r="L47" s="118">
        <f t="shared" ca="1" si="6"/>
        <v>6936.2264765399232</v>
      </c>
      <c r="M47" s="119">
        <f t="shared" ca="1" si="7"/>
        <v>0.31546973837011066</v>
      </c>
      <c r="N47" s="55"/>
      <c r="O47" s="55"/>
      <c r="P47" s="173"/>
      <c r="W47" s="38"/>
    </row>
    <row r="48" spans="1:23" s="19" customFormat="1" x14ac:dyDescent="0.2">
      <c r="A48" s="120">
        <v>40973</v>
      </c>
      <c r="B48" s="56">
        <f t="shared" si="0"/>
        <v>5</v>
      </c>
      <c r="C48" s="56">
        <f t="shared" si="1"/>
        <v>2</v>
      </c>
      <c r="D48" s="56">
        <f t="shared" si="2"/>
        <v>3</v>
      </c>
      <c r="E48" s="56" t="str">
        <f t="shared" si="3"/>
        <v>32</v>
      </c>
      <c r="F48" s="66">
        <f ca="1">VLOOKUP(B48,Factors!$B:$I,6,0)</f>
        <v>0.95441860465116279</v>
      </c>
      <c r="G48" s="66">
        <f ca="1">VLOOKUP(E48,Factors!$E:$I,4,0)</f>
        <v>1.2048016395842482</v>
      </c>
      <c r="H48" s="66">
        <f ca="1">VLOOKUP(D48,Factors!D:I,6,0)</f>
        <v>1.1302850183911384</v>
      </c>
      <c r="I48" s="121">
        <v>374</v>
      </c>
      <c r="J48" s="122">
        <f t="shared" ca="1" si="4"/>
        <v>328.76017872982936</v>
      </c>
      <c r="K48" s="117">
        <f t="shared" ca="1" si="5"/>
        <v>-45.239821270170637</v>
      </c>
      <c r="L48" s="118">
        <f t="shared" ca="1" si="6"/>
        <v>2046.6414285569836</v>
      </c>
      <c r="M48" s="119">
        <f t="shared" ca="1" si="7"/>
        <v>0.1209620889576755</v>
      </c>
      <c r="N48" s="55"/>
      <c r="O48" s="55"/>
      <c r="P48" s="173"/>
      <c r="W48" s="38"/>
    </row>
    <row r="49" spans="1:23" s="19" customFormat="1" x14ac:dyDescent="0.2">
      <c r="A49" s="120">
        <v>40974</v>
      </c>
      <c r="B49" s="56">
        <f t="shared" si="0"/>
        <v>6</v>
      </c>
      <c r="C49" s="56">
        <f t="shared" si="1"/>
        <v>2</v>
      </c>
      <c r="D49" s="56">
        <f t="shared" si="2"/>
        <v>3</v>
      </c>
      <c r="E49" s="56" t="str">
        <f t="shared" si="3"/>
        <v>32</v>
      </c>
      <c r="F49" s="66">
        <f ca="1">VLOOKUP(B49,Factors!$B:$I,6,0)</f>
        <v>0.97953488372093034</v>
      </c>
      <c r="G49" s="66">
        <f ca="1">VLOOKUP(E49,Factors!$E:$I,4,0)</f>
        <v>1.2048016395842482</v>
      </c>
      <c r="H49" s="66">
        <f ca="1">VLOOKUP(D49,Factors!D:I,6,0)</f>
        <v>1.1302850183911384</v>
      </c>
      <c r="I49" s="121">
        <v>382</v>
      </c>
      <c r="J49" s="122">
        <f t="shared" ca="1" si="4"/>
        <v>333.38820136009116</v>
      </c>
      <c r="K49" s="117">
        <f t="shared" ca="1" si="5"/>
        <v>-48.611798639908841</v>
      </c>
      <c r="L49" s="118">
        <f t="shared" ca="1" si="6"/>
        <v>2363.1069670070428</v>
      </c>
      <c r="M49" s="119">
        <f t="shared" ca="1" si="7"/>
        <v>0.12725601738196032</v>
      </c>
      <c r="N49" s="55"/>
      <c r="O49" s="55"/>
      <c r="P49" s="173"/>
      <c r="W49" s="38"/>
    </row>
    <row r="50" spans="1:23" s="19" customFormat="1" x14ac:dyDescent="0.2">
      <c r="A50" s="120">
        <v>40975</v>
      </c>
      <c r="B50" s="56">
        <f t="shared" si="0"/>
        <v>7</v>
      </c>
      <c r="C50" s="56">
        <f t="shared" si="1"/>
        <v>2</v>
      </c>
      <c r="D50" s="56">
        <f t="shared" si="2"/>
        <v>3</v>
      </c>
      <c r="E50" s="56" t="str">
        <f t="shared" si="3"/>
        <v>32</v>
      </c>
      <c r="F50" s="66">
        <f ca="1">VLOOKUP(B50,Factors!$B:$I,6,0)</f>
        <v>1.1772865192891202</v>
      </c>
      <c r="G50" s="66">
        <f ca="1">VLOOKUP(E50,Factors!$E:$I,4,0)</f>
        <v>1.2048016395842482</v>
      </c>
      <c r="H50" s="66">
        <f ca="1">VLOOKUP(D50,Factors!D:I,6,0)</f>
        <v>1.1302850183911384</v>
      </c>
      <c r="I50" s="121">
        <v>337</v>
      </c>
      <c r="J50" s="122">
        <f t="shared" ca="1" si="4"/>
        <v>383.88243300425472</v>
      </c>
      <c r="K50" s="117">
        <f t="shared" ca="1" si="5"/>
        <v>46.882433004254722</v>
      </c>
      <c r="L50" s="118">
        <f t="shared" ca="1" si="6"/>
        <v>2197.9625243984324</v>
      </c>
      <c r="M50" s="119">
        <f t="shared" ca="1" si="7"/>
        <v>0.13911701188206149</v>
      </c>
      <c r="N50" s="55"/>
      <c r="O50" s="55"/>
      <c r="P50" s="173"/>
      <c r="W50" s="38"/>
    </row>
    <row r="51" spans="1:23" s="19" customFormat="1" x14ac:dyDescent="0.2">
      <c r="A51" s="120">
        <v>40976</v>
      </c>
      <c r="B51" s="56">
        <f t="shared" si="0"/>
        <v>8</v>
      </c>
      <c r="C51" s="56">
        <f t="shared" si="1"/>
        <v>2</v>
      </c>
      <c r="D51" s="56">
        <f t="shared" si="2"/>
        <v>3</v>
      </c>
      <c r="E51" s="56" t="str">
        <f t="shared" si="3"/>
        <v>32</v>
      </c>
      <c r="F51" s="66">
        <f ca="1">VLOOKUP(B51,Factors!$B:$I,6,0)</f>
        <v>1.1469440832249675</v>
      </c>
      <c r="G51" s="66">
        <f ca="1">VLOOKUP(E51,Factors!$E:$I,4,0)</f>
        <v>1.2048016395842482</v>
      </c>
      <c r="H51" s="66">
        <f ca="1">VLOOKUP(D51,Factors!D:I,6,0)</f>
        <v>1.1302850183911384</v>
      </c>
      <c r="I51" s="121">
        <v>294</v>
      </c>
      <c r="J51" s="122">
        <f t="shared" ca="1" si="4"/>
        <v>373.77604043957308</v>
      </c>
      <c r="K51" s="117">
        <f t="shared" ca="1" si="5"/>
        <v>79.77604043957308</v>
      </c>
      <c r="L51" s="118">
        <f t="shared" ca="1" si="6"/>
        <v>6364.2166282163998</v>
      </c>
      <c r="M51" s="119">
        <f t="shared" ca="1" si="7"/>
        <v>0.27134707632507848</v>
      </c>
      <c r="N51" s="55"/>
      <c r="O51" s="55"/>
      <c r="P51" s="173"/>
      <c r="W51" s="38"/>
    </row>
    <row r="52" spans="1:23" s="19" customFormat="1" x14ac:dyDescent="0.2">
      <c r="A52" s="120">
        <v>40977</v>
      </c>
      <c r="B52" s="56">
        <f t="shared" si="0"/>
        <v>9</v>
      </c>
      <c r="C52" s="56">
        <f t="shared" si="1"/>
        <v>2</v>
      </c>
      <c r="D52" s="56">
        <f t="shared" si="2"/>
        <v>3</v>
      </c>
      <c r="E52" s="56" t="str">
        <f t="shared" si="3"/>
        <v>32</v>
      </c>
      <c r="F52" s="66">
        <f ca="1">VLOOKUP(B52,Factors!$B:$I,6,0)</f>
        <v>1.08</v>
      </c>
      <c r="G52" s="66">
        <f ca="1">VLOOKUP(E52,Factors!$E:$I,4,0)</f>
        <v>1.2048016395842482</v>
      </c>
      <c r="H52" s="66">
        <f ca="1">VLOOKUP(D52,Factors!D:I,6,0)</f>
        <v>1.1302850183911384</v>
      </c>
      <c r="I52" s="121">
        <v>259</v>
      </c>
      <c r="J52" s="122">
        <f t="shared" ca="1" si="4"/>
        <v>353.94522737968219</v>
      </c>
      <c r="K52" s="117">
        <f t="shared" ca="1" si="5"/>
        <v>94.945227379682194</v>
      </c>
      <c r="L52" s="118">
        <f t="shared" ca="1" si="6"/>
        <v>9014.5962021795531</v>
      </c>
      <c r="M52" s="119">
        <f t="shared" ca="1" si="7"/>
        <v>0.36658388949684245</v>
      </c>
      <c r="N52" s="55"/>
      <c r="O52" s="55"/>
      <c r="P52" s="173"/>
      <c r="W52" s="38"/>
    </row>
    <row r="53" spans="1:23" s="19" customFormat="1" x14ac:dyDescent="0.2">
      <c r="A53" s="120">
        <v>40980</v>
      </c>
      <c r="B53" s="56">
        <f t="shared" si="0"/>
        <v>12</v>
      </c>
      <c r="C53" s="56">
        <f t="shared" si="1"/>
        <v>3</v>
      </c>
      <c r="D53" s="56">
        <f t="shared" si="2"/>
        <v>3</v>
      </c>
      <c r="E53" s="56" t="str">
        <f t="shared" si="3"/>
        <v>33</v>
      </c>
      <c r="F53" s="66">
        <f ca="1">VLOOKUP(B53,Factors!$B:$I,6,0)</f>
        <v>1.0297674418604652</v>
      </c>
      <c r="G53" s="66">
        <f ca="1">VLOOKUP(E53,Factors!$E:$I,4,0)</f>
        <v>1.1440491875274483</v>
      </c>
      <c r="H53" s="66">
        <f ca="1">VLOOKUP(D53,Factors!D:I,6,0)</f>
        <v>1.1302850183911384</v>
      </c>
      <c r="I53" s="121">
        <v>364</v>
      </c>
      <c r="J53" s="122">
        <f t="shared" ca="1" si="4"/>
        <v>347.68436925726348</v>
      </c>
      <c r="K53" s="117">
        <f t="shared" ca="1" si="5"/>
        <v>-16.315630742736516</v>
      </c>
      <c r="L53" s="118">
        <f t="shared" ca="1" si="6"/>
        <v>266.19980653332891</v>
      </c>
      <c r="M53" s="119">
        <f t="shared" ca="1" si="7"/>
        <v>4.4823161381144276E-2</v>
      </c>
      <c r="N53" s="55"/>
      <c r="O53" s="55"/>
      <c r="P53" s="173"/>
      <c r="W53" s="38"/>
    </row>
    <row r="54" spans="1:23" s="19" customFormat="1" x14ac:dyDescent="0.2">
      <c r="A54" s="120">
        <v>40981</v>
      </c>
      <c r="B54" s="56">
        <f t="shared" si="0"/>
        <v>13</v>
      </c>
      <c r="C54" s="56">
        <f t="shared" si="1"/>
        <v>3</v>
      </c>
      <c r="D54" s="56">
        <f t="shared" si="2"/>
        <v>3</v>
      </c>
      <c r="E54" s="56" t="str">
        <f t="shared" si="3"/>
        <v>33</v>
      </c>
      <c r="F54" s="66">
        <f ca="1">VLOOKUP(B54,Factors!$B:$I,6,0)</f>
        <v>0.8567441860465117</v>
      </c>
      <c r="G54" s="66">
        <f ca="1">VLOOKUP(E54,Factors!$E:$I,4,0)</f>
        <v>1.1440491875274483</v>
      </c>
      <c r="H54" s="66">
        <f ca="1">VLOOKUP(D54,Factors!D:I,6,0)</f>
        <v>1.1302850183911384</v>
      </c>
      <c r="I54" s="121">
        <v>328</v>
      </c>
      <c r="J54" s="122">
        <f t="shared" ca="1" si="4"/>
        <v>299.6701666491681</v>
      </c>
      <c r="K54" s="117">
        <f t="shared" ca="1" si="5"/>
        <v>-28.329833350831905</v>
      </c>
      <c r="L54" s="118">
        <f t="shared" ca="1" si="6"/>
        <v>802.57945768590764</v>
      </c>
      <c r="M54" s="119">
        <f t="shared" ca="1" si="7"/>
        <v>8.6371443142780197E-2</v>
      </c>
      <c r="N54" s="55"/>
      <c r="O54" s="55"/>
      <c r="P54" s="173"/>
      <c r="W54" s="38"/>
    </row>
    <row r="55" spans="1:23" s="19" customFormat="1" x14ac:dyDescent="0.2">
      <c r="A55" s="120">
        <v>40982</v>
      </c>
      <c r="B55" s="56">
        <f t="shared" si="0"/>
        <v>14</v>
      </c>
      <c r="C55" s="56">
        <f t="shared" si="1"/>
        <v>3</v>
      </c>
      <c r="D55" s="56">
        <f t="shared" si="2"/>
        <v>3</v>
      </c>
      <c r="E55" s="56" t="str">
        <f t="shared" si="3"/>
        <v>33</v>
      </c>
      <c r="F55" s="66">
        <f ca="1">VLOOKUP(B55,Factors!$B:$I,6,0)</f>
        <v>0.97702644126571314</v>
      </c>
      <c r="G55" s="66">
        <f ca="1">VLOOKUP(E55,Factors!$E:$I,4,0)</f>
        <v>1.1440491875274483</v>
      </c>
      <c r="H55" s="66">
        <f ca="1">VLOOKUP(D55,Factors!D:I,6,0)</f>
        <v>1.1302850183911384</v>
      </c>
      <c r="I55" s="121">
        <v>346</v>
      </c>
      <c r="J55" s="122">
        <f t="shared" ca="1" si="4"/>
        <v>329.58213250876372</v>
      </c>
      <c r="K55" s="117">
        <f t="shared" ca="1" si="5"/>
        <v>-16.417867491236279</v>
      </c>
      <c r="L55" s="118">
        <f t="shared" ca="1" si="6"/>
        <v>269.54637295979302</v>
      </c>
      <c r="M55" s="119">
        <f t="shared" ca="1" si="7"/>
        <v>4.7450484078717568E-2</v>
      </c>
      <c r="N55" s="55"/>
      <c r="O55" s="55"/>
      <c r="P55" s="173"/>
      <c r="W55" s="38"/>
    </row>
    <row r="56" spans="1:23" s="19" customFormat="1" x14ac:dyDescent="0.2">
      <c r="A56" s="120">
        <v>40983</v>
      </c>
      <c r="B56" s="56">
        <f t="shared" si="0"/>
        <v>15</v>
      </c>
      <c r="C56" s="56">
        <f t="shared" si="1"/>
        <v>3</v>
      </c>
      <c r="D56" s="56">
        <f t="shared" si="2"/>
        <v>3</v>
      </c>
      <c r="E56" s="56" t="str">
        <f t="shared" si="3"/>
        <v>33</v>
      </c>
      <c r="F56" s="66">
        <f ca="1">VLOOKUP(B56,Factors!$B:$I,6,0)</f>
        <v>1.0225400953619419</v>
      </c>
      <c r="G56" s="66">
        <f ca="1">VLOOKUP(E56,Factors!$E:$I,4,0)</f>
        <v>1.1440491875274483</v>
      </c>
      <c r="H56" s="66">
        <f ca="1">VLOOKUP(D56,Factors!D:I,6,0)</f>
        <v>1.1302850183911384</v>
      </c>
      <c r="I56" s="121">
        <v>285</v>
      </c>
      <c r="J56" s="122">
        <f t="shared" ca="1" si="4"/>
        <v>339.62938260942587</v>
      </c>
      <c r="K56" s="117">
        <f t="shared" ca="1" si="5"/>
        <v>54.629382609425875</v>
      </c>
      <c r="L56" s="118">
        <f t="shared" ca="1" si="6"/>
        <v>2984.3694442870424</v>
      </c>
      <c r="M56" s="119">
        <f t="shared" ca="1" si="7"/>
        <v>0.19168204424359955</v>
      </c>
      <c r="N56" s="55"/>
      <c r="O56" s="55"/>
      <c r="P56" s="173"/>
      <c r="W56" s="38"/>
    </row>
    <row r="57" spans="1:23" s="19" customFormat="1" x14ac:dyDescent="0.2">
      <c r="A57" s="120">
        <v>40984</v>
      </c>
      <c r="B57" s="56">
        <f t="shared" si="0"/>
        <v>16</v>
      </c>
      <c r="C57" s="56">
        <f t="shared" si="1"/>
        <v>3</v>
      </c>
      <c r="D57" s="56">
        <f t="shared" si="2"/>
        <v>3</v>
      </c>
      <c r="E57" s="56" t="str">
        <f t="shared" si="3"/>
        <v>33</v>
      </c>
      <c r="F57" s="66">
        <f ca="1">VLOOKUP(B57,Factors!$B:$I,6,0)</f>
        <v>0.19534883720930232</v>
      </c>
      <c r="G57" s="66">
        <f ca="1">VLOOKUP(E57,Factors!$E:$I,4,0)</f>
        <v>1.1440491875274483</v>
      </c>
      <c r="H57" s="66">
        <f ca="1">VLOOKUP(D57,Factors!D:I,6,0)</f>
        <v>1.1302850183911384</v>
      </c>
      <c r="I57" s="121">
        <v>240</v>
      </c>
      <c r="J57" s="122">
        <f t="shared" ca="1" si="4"/>
        <v>117.81412942831557</v>
      </c>
      <c r="K57" s="117">
        <f t="shared" ca="1" si="5"/>
        <v>-122.18587057168443</v>
      </c>
      <c r="L57" s="118">
        <f t="shared" ca="1" si="6"/>
        <v>14929.38696736042</v>
      </c>
      <c r="M57" s="119">
        <f t="shared" ca="1" si="7"/>
        <v>0.50910779404868511</v>
      </c>
      <c r="N57" s="55"/>
      <c r="O57" s="55"/>
      <c r="P57" s="173"/>
      <c r="W57" s="38"/>
    </row>
    <row r="58" spans="1:23" s="19" customFormat="1" x14ac:dyDescent="0.2">
      <c r="A58" s="120">
        <v>40987</v>
      </c>
      <c r="B58" s="56">
        <f t="shared" si="0"/>
        <v>19</v>
      </c>
      <c r="C58" s="56">
        <f t="shared" si="1"/>
        <v>4</v>
      </c>
      <c r="D58" s="56">
        <f t="shared" si="2"/>
        <v>3</v>
      </c>
      <c r="E58" s="56" t="str">
        <f t="shared" si="3"/>
        <v>34</v>
      </c>
      <c r="F58" s="66">
        <f ca="1">VLOOKUP(B58,Factors!$B:$I,6,0)</f>
        <v>0.99069767441860468</v>
      </c>
      <c r="G58" s="66">
        <f ca="1">VLOOKUP(E58,Factors!$E:$I,4,0)</f>
        <v>1.1191626409017712</v>
      </c>
      <c r="H58" s="66">
        <f ca="1">VLOOKUP(D58,Factors!D:I,6,0)</f>
        <v>1.1302850183911384</v>
      </c>
      <c r="I58" s="121">
        <v>360</v>
      </c>
      <c r="J58" s="122">
        <f t="shared" ca="1" si="4"/>
        <v>336.71433922463621</v>
      </c>
      <c r="K58" s="117">
        <f t="shared" ca="1" si="5"/>
        <v>-23.285660775363795</v>
      </c>
      <c r="L58" s="118">
        <f t="shared" ca="1" si="6"/>
        <v>542.221997745316</v>
      </c>
      <c r="M58" s="119">
        <f t="shared" ca="1" si="7"/>
        <v>6.4682391042677201E-2</v>
      </c>
      <c r="N58" s="55"/>
      <c r="O58" s="55"/>
      <c r="P58" s="173"/>
      <c r="W58" s="38"/>
    </row>
    <row r="59" spans="1:23" s="19" customFormat="1" x14ac:dyDescent="0.2">
      <c r="A59" s="120">
        <v>40988</v>
      </c>
      <c r="B59" s="56">
        <f t="shared" si="0"/>
        <v>20</v>
      </c>
      <c r="C59" s="56">
        <f t="shared" si="1"/>
        <v>4</v>
      </c>
      <c r="D59" s="56">
        <f t="shared" si="2"/>
        <v>3</v>
      </c>
      <c r="E59" s="56" t="str">
        <f t="shared" si="3"/>
        <v>34</v>
      </c>
      <c r="F59" s="66">
        <f ca="1">VLOOKUP(B59,Factors!$B:$I,6,0)</f>
        <v>0.84837209302325589</v>
      </c>
      <c r="G59" s="66">
        <f ca="1">VLOOKUP(E59,Factors!$E:$I,4,0)</f>
        <v>1.1191626409017712</v>
      </c>
      <c r="H59" s="66">
        <f ca="1">VLOOKUP(D59,Factors!D:I,6,0)</f>
        <v>1.1302850183911384</v>
      </c>
      <c r="I59" s="121">
        <v>341</v>
      </c>
      <c r="J59" s="122">
        <f t="shared" ca="1" si="4"/>
        <v>296.85597432952579</v>
      </c>
      <c r="K59" s="117">
        <f t="shared" ca="1" si="5"/>
        <v>-44.144025670474207</v>
      </c>
      <c r="L59" s="118">
        <f t="shared" ca="1" si="6"/>
        <v>1948.6950023954857</v>
      </c>
      <c r="M59" s="119">
        <f t="shared" ca="1" si="7"/>
        <v>0.12945462073452846</v>
      </c>
      <c r="N59" s="55"/>
      <c r="O59" s="55"/>
      <c r="P59" s="173"/>
      <c r="W59" s="38"/>
    </row>
    <row r="60" spans="1:23" s="19" customFormat="1" x14ac:dyDescent="0.2">
      <c r="A60" s="120">
        <v>40989</v>
      </c>
      <c r="B60" s="56">
        <f t="shared" si="0"/>
        <v>21</v>
      </c>
      <c r="C60" s="56">
        <f t="shared" si="1"/>
        <v>4</v>
      </c>
      <c r="D60" s="56">
        <f t="shared" si="2"/>
        <v>3</v>
      </c>
      <c r="E60" s="56" t="str">
        <f t="shared" si="3"/>
        <v>34</v>
      </c>
      <c r="F60" s="66">
        <f ca="1">VLOOKUP(B60,Factors!$B:$I,6,0)</f>
        <v>1.1772865192891202</v>
      </c>
      <c r="G60" s="66">
        <f ca="1">VLOOKUP(E60,Factors!$E:$I,4,0)</f>
        <v>1.1191626409017712</v>
      </c>
      <c r="H60" s="66">
        <f ca="1">VLOOKUP(D60,Factors!D:I,6,0)</f>
        <v>1.1302850183911384</v>
      </c>
      <c r="I60" s="121">
        <v>312</v>
      </c>
      <c r="J60" s="122">
        <f t="shared" ca="1" si="4"/>
        <v>382.19787620189754</v>
      </c>
      <c r="K60" s="117">
        <f t="shared" ca="1" si="5"/>
        <v>70.197876201897543</v>
      </c>
      <c r="L60" s="118">
        <f t="shared" ca="1" si="6"/>
        <v>4927.7418232569335</v>
      </c>
      <c r="M60" s="119">
        <f t="shared" ca="1" si="7"/>
        <v>0.22499319295479983</v>
      </c>
      <c r="N60" s="55"/>
      <c r="O60" s="55"/>
      <c r="P60" s="173"/>
      <c r="W60" s="38"/>
    </row>
    <row r="61" spans="1:23" s="19" customFormat="1" x14ac:dyDescent="0.2">
      <c r="A61" s="120">
        <v>40990</v>
      </c>
      <c r="B61" s="56">
        <f t="shared" si="0"/>
        <v>22</v>
      </c>
      <c r="C61" s="56">
        <f t="shared" si="1"/>
        <v>4</v>
      </c>
      <c r="D61" s="56">
        <f t="shared" si="2"/>
        <v>3</v>
      </c>
      <c r="E61" s="56" t="str">
        <f t="shared" si="3"/>
        <v>34</v>
      </c>
      <c r="F61" s="66">
        <f ca="1">VLOOKUP(B61,Factors!$B:$I,6,0)</f>
        <v>0.90420459471174686</v>
      </c>
      <c r="G61" s="66">
        <f ca="1">VLOOKUP(E61,Factors!$E:$I,4,0)</f>
        <v>1.1191626409017712</v>
      </c>
      <c r="H61" s="66">
        <f ca="1">VLOOKUP(D61,Factors!D:I,6,0)</f>
        <v>1.1302850183911384</v>
      </c>
      <c r="I61" s="121">
        <v>279</v>
      </c>
      <c r="J61" s="122">
        <f t="shared" ca="1" si="4"/>
        <v>307.59982710811596</v>
      </c>
      <c r="K61" s="117">
        <f t="shared" ca="1" si="5"/>
        <v>28.59982710811596</v>
      </c>
      <c r="L61" s="118">
        <f t="shared" ca="1" si="6"/>
        <v>817.95011061412447</v>
      </c>
      <c r="M61" s="119">
        <f t="shared" ca="1" si="7"/>
        <v>0.10250834088930452</v>
      </c>
      <c r="N61" s="55"/>
      <c r="O61" s="55"/>
      <c r="P61" s="173"/>
      <c r="W61" s="38"/>
    </row>
    <row r="62" spans="1:23" s="19" customFormat="1" x14ac:dyDescent="0.2">
      <c r="A62" s="120">
        <v>40991</v>
      </c>
      <c r="B62" s="56">
        <f t="shared" si="0"/>
        <v>23</v>
      </c>
      <c r="C62" s="56">
        <f t="shared" si="1"/>
        <v>4</v>
      </c>
      <c r="D62" s="56">
        <f t="shared" si="2"/>
        <v>3</v>
      </c>
      <c r="E62" s="56" t="str">
        <f t="shared" si="3"/>
        <v>34</v>
      </c>
      <c r="F62" s="66">
        <f ca="1">VLOOKUP(B62,Factors!$B:$I,6,0)</f>
        <v>1.0213953488372094</v>
      </c>
      <c r="G62" s="66">
        <f ca="1">VLOOKUP(E62,Factors!$E:$I,4,0)</f>
        <v>1.1191626409017712</v>
      </c>
      <c r="H62" s="66">
        <f ca="1">VLOOKUP(D62,Factors!D:I,6,0)</f>
        <v>1.1302850183911384</v>
      </c>
      <c r="I62" s="121">
        <v>237</v>
      </c>
      <c r="J62" s="122">
        <f t="shared" ca="1" si="4"/>
        <v>336.69043494344476</v>
      </c>
      <c r="K62" s="117">
        <f t="shared" ca="1" si="5"/>
        <v>99.690434943444757</v>
      </c>
      <c r="L62" s="118">
        <f t="shared" ca="1" si="6"/>
        <v>9938.1828192131907</v>
      </c>
      <c r="M62" s="119">
        <f t="shared" ca="1" si="7"/>
        <v>0.42063474659681332</v>
      </c>
      <c r="N62" s="55"/>
      <c r="O62" s="55"/>
      <c r="P62" s="173"/>
      <c r="W62" s="38"/>
    </row>
    <row r="63" spans="1:23" s="19" customFormat="1" x14ac:dyDescent="0.2">
      <c r="A63" s="120">
        <v>40994</v>
      </c>
      <c r="B63" s="56">
        <f t="shared" si="0"/>
        <v>26</v>
      </c>
      <c r="C63" s="56">
        <f t="shared" si="1"/>
        <v>5</v>
      </c>
      <c r="D63" s="56">
        <f t="shared" si="2"/>
        <v>3</v>
      </c>
      <c r="E63" s="56" t="str">
        <f t="shared" si="3"/>
        <v>35</v>
      </c>
      <c r="F63" s="66">
        <f ca="1">VLOOKUP(B63,Factors!$B:$I,6,0)</f>
        <v>0.91255813953488374</v>
      </c>
      <c r="G63" s="66">
        <f ca="1">VLOOKUP(E63,Factors!$E:$I,4,0)</f>
        <v>1.1074513248426292</v>
      </c>
      <c r="H63" s="66">
        <f ca="1">VLOOKUP(D63,Factors!D:I,6,0)</f>
        <v>1.1302850183911384</v>
      </c>
      <c r="I63" s="121">
        <v>338</v>
      </c>
      <c r="J63" s="122">
        <f t="shared" ca="1" si="4"/>
        <v>315.54959284726522</v>
      </c>
      <c r="K63" s="117">
        <f t="shared" ca="1" si="5"/>
        <v>-22.450407152734783</v>
      </c>
      <c r="L63" s="118">
        <f t="shared" ca="1" si="6"/>
        <v>504.02078132356513</v>
      </c>
      <c r="M63" s="119">
        <f t="shared" ca="1" si="7"/>
        <v>6.6421322937085164E-2</v>
      </c>
      <c r="N63" s="55"/>
      <c r="O63" s="55"/>
      <c r="P63" s="173"/>
      <c r="W63" s="38"/>
    </row>
    <row r="64" spans="1:23" s="19" customFormat="1" x14ac:dyDescent="0.2">
      <c r="A64" s="120">
        <v>40995</v>
      </c>
      <c r="B64" s="56">
        <f t="shared" si="0"/>
        <v>27</v>
      </c>
      <c r="C64" s="56">
        <f t="shared" si="1"/>
        <v>5</v>
      </c>
      <c r="D64" s="56">
        <f t="shared" si="2"/>
        <v>3</v>
      </c>
      <c r="E64" s="56" t="str">
        <f t="shared" si="3"/>
        <v>35</v>
      </c>
      <c r="F64" s="66">
        <f ca="1">VLOOKUP(B64,Factors!$B:$I,6,0)</f>
        <v>0.76744186046511631</v>
      </c>
      <c r="G64" s="66">
        <f ca="1">VLOOKUP(E64,Factors!$E:$I,4,0)</f>
        <v>1.1074513248426292</v>
      </c>
      <c r="H64" s="66">
        <f ca="1">VLOOKUP(D64,Factors!D:I,6,0)</f>
        <v>1.1302850183911384</v>
      </c>
      <c r="I64" s="121">
        <v>319</v>
      </c>
      <c r="J64" s="122">
        <f t="shared" ca="1" si="4"/>
        <v>274.94978816006522</v>
      </c>
      <c r="K64" s="117">
        <f t="shared" ca="1" si="5"/>
        <v>-44.050211839934775</v>
      </c>
      <c r="L64" s="118">
        <f t="shared" ca="1" si="6"/>
        <v>1940.4211631431299</v>
      </c>
      <c r="M64" s="119">
        <f t="shared" ca="1" si="7"/>
        <v>0.1380884383697015</v>
      </c>
      <c r="N64" s="55"/>
      <c r="O64" s="55"/>
      <c r="P64" s="173"/>
      <c r="W64" s="38"/>
    </row>
    <row r="65" spans="1:23" s="19" customFormat="1" x14ac:dyDescent="0.2">
      <c r="A65" s="120">
        <v>40996</v>
      </c>
      <c r="B65" s="56">
        <f t="shared" si="0"/>
        <v>28</v>
      </c>
      <c r="C65" s="56">
        <f t="shared" si="1"/>
        <v>5</v>
      </c>
      <c r="D65" s="56">
        <f t="shared" si="2"/>
        <v>3</v>
      </c>
      <c r="E65" s="56" t="str">
        <f t="shared" si="3"/>
        <v>35</v>
      </c>
      <c r="F65" s="66">
        <f ca="1">VLOOKUP(B65,Factors!$B:$I,6,0)</f>
        <v>1.1014304291287387</v>
      </c>
      <c r="G65" s="66">
        <f ca="1">VLOOKUP(E65,Factors!$E:$I,4,0)</f>
        <v>1.1074513248426292</v>
      </c>
      <c r="H65" s="66">
        <f ca="1">VLOOKUP(D65,Factors!D:I,6,0)</f>
        <v>1.1302850183911384</v>
      </c>
      <c r="I65" s="121">
        <v>295</v>
      </c>
      <c r="J65" s="122">
        <f t="shared" ca="1" si="4"/>
        <v>361.63980133768985</v>
      </c>
      <c r="K65" s="117">
        <f t="shared" ca="1" si="5"/>
        <v>66.639801337689846</v>
      </c>
      <c r="L65" s="118">
        <f t="shared" ca="1" si="6"/>
        <v>4440.8631223267694</v>
      </c>
      <c r="M65" s="119">
        <f t="shared" ca="1" si="7"/>
        <v>0.22589763165318591</v>
      </c>
      <c r="N65" s="55"/>
      <c r="O65" s="55"/>
      <c r="P65" s="173"/>
      <c r="W65" s="38"/>
    </row>
    <row r="66" spans="1:23" s="19" customFormat="1" x14ac:dyDescent="0.2">
      <c r="A66" s="120">
        <v>40997</v>
      </c>
      <c r="B66" s="56">
        <f t="shared" si="0"/>
        <v>29</v>
      </c>
      <c r="C66" s="56">
        <f t="shared" si="1"/>
        <v>5</v>
      </c>
      <c r="D66" s="56">
        <f t="shared" si="2"/>
        <v>3</v>
      </c>
      <c r="E66" s="56" t="str">
        <f t="shared" si="3"/>
        <v>35</v>
      </c>
      <c r="F66" s="66">
        <f ca="1">VLOOKUP(B66,Factors!$B:$I,6,0)</f>
        <v>0.99826614651061996</v>
      </c>
      <c r="G66" s="66">
        <f ca="1">VLOOKUP(E66,Factors!$E:$I,4,0)</f>
        <v>1.1074513248426292</v>
      </c>
      <c r="H66" s="66">
        <f ca="1">VLOOKUP(D66,Factors!D:I,6,0)</f>
        <v>1.1302850183911384</v>
      </c>
      <c r="I66" s="121">
        <v>324</v>
      </c>
      <c r="J66" s="122">
        <f t="shared" ca="1" si="4"/>
        <v>332.18591181427826</v>
      </c>
      <c r="K66" s="117">
        <f t="shared" ca="1" si="5"/>
        <v>8.1859118142782563</v>
      </c>
      <c r="L66" s="118">
        <f t="shared" ca="1" si="6"/>
        <v>67.009152231140334</v>
      </c>
      <c r="M66" s="119">
        <f t="shared" ca="1" si="7"/>
        <v>2.5265159920611902E-2</v>
      </c>
      <c r="N66" s="55"/>
      <c r="O66" s="55"/>
      <c r="P66" s="173"/>
      <c r="W66" s="38"/>
    </row>
    <row r="67" spans="1:23" s="19" customFormat="1" x14ac:dyDescent="0.2">
      <c r="A67" s="120">
        <v>40998</v>
      </c>
      <c r="B67" s="56">
        <f t="shared" si="0"/>
        <v>30</v>
      </c>
      <c r="C67" s="56">
        <f t="shared" si="1"/>
        <v>5</v>
      </c>
      <c r="D67" s="56">
        <f t="shared" si="2"/>
        <v>3</v>
      </c>
      <c r="E67" s="56" t="str">
        <f t="shared" si="3"/>
        <v>35</v>
      </c>
      <c r="F67" s="66">
        <f ca="1">VLOOKUP(B67,Factors!$B:$I,6,0)</f>
        <v>1.1162790697674418</v>
      </c>
      <c r="G67" s="66">
        <f ca="1">VLOOKUP(E67,Factors!$E:$I,4,0)</f>
        <v>1.1074513248426292</v>
      </c>
      <c r="H67" s="66">
        <f ca="1">VLOOKUP(D67,Factors!D:I,6,0)</f>
        <v>1.1302850183911384</v>
      </c>
      <c r="I67" s="121">
        <v>237</v>
      </c>
      <c r="J67" s="122">
        <f t="shared" ca="1" si="4"/>
        <v>361.49495567562502</v>
      </c>
      <c r="K67" s="117">
        <f t="shared" ca="1" si="5"/>
        <v>124.49495567562502</v>
      </c>
      <c r="L67" s="118">
        <f t="shared" ca="1" si="6"/>
        <v>15498.993988675838</v>
      </c>
      <c r="M67" s="119">
        <f t="shared" ca="1" si="7"/>
        <v>0.52529517162710981</v>
      </c>
      <c r="N67" s="55"/>
      <c r="O67" s="55"/>
      <c r="P67" s="173"/>
      <c r="W67" s="38"/>
    </row>
    <row r="68" spans="1:23" s="19" customFormat="1" x14ac:dyDescent="0.2">
      <c r="A68" s="120">
        <v>41001</v>
      </c>
      <c r="B68" s="56">
        <f t="shared" si="0"/>
        <v>2</v>
      </c>
      <c r="C68" s="56">
        <f t="shared" si="1"/>
        <v>2</v>
      </c>
      <c r="D68" s="56">
        <f t="shared" si="2"/>
        <v>4</v>
      </c>
      <c r="E68" s="56" t="str">
        <f t="shared" si="3"/>
        <v>42</v>
      </c>
      <c r="F68" s="66">
        <f ca="1">VLOOKUP(B68,Factors!$B:$I,6,0)</f>
        <v>1.0953619419159082</v>
      </c>
      <c r="G68" s="66">
        <f ca="1">VLOOKUP(E68,Factors!$E:$I,4,0)</f>
        <v>0.91843288375080279</v>
      </c>
      <c r="H68" s="66">
        <f ca="1">VLOOKUP(D68,Factors!D:I,6,0)</f>
        <v>1.0305101880456755</v>
      </c>
      <c r="I68" s="121">
        <v>359</v>
      </c>
      <c r="J68" s="122">
        <f t="shared" ca="1" si="4"/>
        <v>342.47345502501435</v>
      </c>
      <c r="K68" s="117">
        <f t="shared" ca="1" si="5"/>
        <v>-16.526544974985654</v>
      </c>
      <c r="L68" s="118">
        <f t="shared" ca="1" si="6"/>
        <v>273.12668881022358</v>
      </c>
      <c r="M68" s="119">
        <f t="shared" ca="1" si="7"/>
        <v>4.603494422001575E-2</v>
      </c>
      <c r="N68" s="55"/>
      <c r="O68" s="55"/>
      <c r="P68" s="173"/>
      <c r="W68" s="38"/>
    </row>
    <row r="69" spans="1:23" s="19" customFormat="1" x14ac:dyDescent="0.2">
      <c r="A69" s="120">
        <v>41002</v>
      </c>
      <c r="B69" s="56">
        <f t="shared" ref="B69:B132" si="8">DAY(A69)</f>
        <v>3</v>
      </c>
      <c r="C69" s="56">
        <f t="shared" ref="C69:C132" si="9">IF(ROUNDUP((DAY(A69)+WEEKDAY(DATE(YEAR(A69),MONTH(A69),0)))/7,0)=6,5,ROUNDUP((DAY(A69)+WEEKDAY(DATE(YEAR(A69),MONTH(A69),0)))/7,0))</f>
        <v>2</v>
      </c>
      <c r="D69" s="56">
        <f t="shared" ref="D69:D132" si="10">MONTH(A69)</f>
        <v>4</v>
      </c>
      <c r="E69" s="56" t="str">
        <f t="shared" ref="E69:E132" si="11">D69&amp;C69</f>
        <v>42</v>
      </c>
      <c r="F69" s="66">
        <f ca="1">VLOOKUP(B69,Factors!$B:$I,6,0)</f>
        <v>1.2613953488372094</v>
      </c>
      <c r="G69" s="66">
        <f ca="1">VLOOKUP(E69,Factors!$E:$I,4,0)</f>
        <v>0.91843288375080279</v>
      </c>
      <c r="H69" s="66">
        <f ca="1">VLOOKUP(D69,Factors!D:I,6,0)</f>
        <v>1.0305101880456755</v>
      </c>
      <c r="I69" s="121">
        <v>357</v>
      </c>
      <c r="J69" s="122">
        <f t="shared" ref="J69:J132" ca="1" si="12">$U$4+(B69*$U$5)+($U$6*C69)+($U$7*D69)+($U$8*F69)+($U$9*G69)+($U$10*H69)</f>
        <v>384.54070546337704</v>
      </c>
      <c r="K69" s="117">
        <f t="shared" ref="K69:K132" ca="1" si="13">J69-I69</f>
        <v>27.540705463377037</v>
      </c>
      <c r="L69" s="118">
        <f t="shared" ref="L69:L132" ca="1" si="14">(K69)^2</f>
        <v>758.49045742048577</v>
      </c>
      <c r="M69" s="119">
        <f t="shared" ref="M69:M132" ca="1" si="15">IF(ISERROR(ABS(K69)/I69),"",ABS(K69)/I69)</f>
        <v>7.7144833230748E-2</v>
      </c>
      <c r="N69" s="55"/>
      <c r="O69" s="55"/>
      <c r="P69" s="173"/>
      <c r="W69" s="38"/>
    </row>
    <row r="70" spans="1:23" s="19" customFormat="1" x14ac:dyDescent="0.2">
      <c r="A70" s="120">
        <v>41003</v>
      </c>
      <c r="B70" s="56">
        <f t="shared" si="8"/>
        <v>4</v>
      </c>
      <c r="C70" s="56">
        <f t="shared" si="9"/>
        <v>2</v>
      </c>
      <c r="D70" s="56">
        <f t="shared" si="10"/>
        <v>4</v>
      </c>
      <c r="E70" s="56" t="str">
        <f t="shared" si="11"/>
        <v>42</v>
      </c>
      <c r="F70" s="66">
        <f ca="1">VLOOKUP(B70,Factors!$B:$I,6,0)</f>
        <v>1.1051162790697675</v>
      </c>
      <c r="G70" s="66">
        <f ca="1">VLOOKUP(E70,Factors!$E:$I,4,0)</f>
        <v>0.91843288375080279</v>
      </c>
      <c r="H70" s="66">
        <f ca="1">VLOOKUP(D70,Factors!D:I,6,0)</f>
        <v>1.0305101880456755</v>
      </c>
      <c r="I70" s="121">
        <v>344</v>
      </c>
      <c r="J70" s="122">
        <f t="shared" ca="1" si="12"/>
        <v>340.9751416078189</v>
      </c>
      <c r="K70" s="117">
        <f t="shared" ca="1" si="13"/>
        <v>-3.0248583921811019</v>
      </c>
      <c r="L70" s="118">
        <f t="shared" ca="1" si="14"/>
        <v>9.1497682927484405</v>
      </c>
      <c r="M70" s="119">
        <f t="shared" ca="1" si="15"/>
        <v>8.7931930005264586E-3</v>
      </c>
      <c r="N70" s="55"/>
      <c r="O70" s="55"/>
      <c r="P70" s="173"/>
      <c r="W70" s="38"/>
    </row>
    <row r="71" spans="1:23" s="19" customFormat="1" x14ac:dyDescent="0.2">
      <c r="A71" s="120">
        <v>41004</v>
      </c>
      <c r="B71" s="56">
        <f t="shared" si="8"/>
        <v>5</v>
      </c>
      <c r="C71" s="56">
        <f t="shared" si="9"/>
        <v>2</v>
      </c>
      <c r="D71" s="56">
        <f t="shared" si="10"/>
        <v>4</v>
      </c>
      <c r="E71" s="56" t="str">
        <f t="shared" si="11"/>
        <v>42</v>
      </c>
      <c r="F71" s="66">
        <f ca="1">VLOOKUP(B71,Factors!$B:$I,6,0)</f>
        <v>0.95441860465116279</v>
      </c>
      <c r="G71" s="66">
        <f ca="1">VLOOKUP(E71,Factors!$E:$I,4,0)</f>
        <v>0.91843288375080279</v>
      </c>
      <c r="H71" s="66">
        <f ca="1">VLOOKUP(D71,Factors!D:I,6,0)</f>
        <v>1.0305101880456755</v>
      </c>
      <c r="I71" s="121">
        <v>285</v>
      </c>
      <c r="J71" s="122">
        <f t="shared" ca="1" si="12"/>
        <v>298.8924573364398</v>
      </c>
      <c r="K71" s="117">
        <f t="shared" ca="1" si="13"/>
        <v>13.892457336439804</v>
      </c>
      <c r="L71" s="118">
        <f t="shared" ca="1" si="14"/>
        <v>193.00037084480013</v>
      </c>
      <c r="M71" s="119">
        <f t="shared" ca="1" si="15"/>
        <v>4.874546433838528E-2</v>
      </c>
      <c r="N71" s="55"/>
      <c r="O71" s="55"/>
      <c r="P71" s="173"/>
      <c r="W71" s="38"/>
    </row>
    <row r="72" spans="1:23" s="19" customFormat="1" x14ac:dyDescent="0.2">
      <c r="A72" s="120">
        <v>41005</v>
      </c>
      <c r="B72" s="56">
        <f t="shared" si="8"/>
        <v>6</v>
      </c>
      <c r="C72" s="56">
        <f t="shared" si="9"/>
        <v>2</v>
      </c>
      <c r="D72" s="56">
        <f t="shared" si="10"/>
        <v>4</v>
      </c>
      <c r="E72" s="56" t="str">
        <f t="shared" si="11"/>
        <v>42</v>
      </c>
      <c r="F72" s="66">
        <f ca="1">VLOOKUP(B72,Factors!$B:$I,6,0)</f>
        <v>0.97953488372093034</v>
      </c>
      <c r="G72" s="66">
        <f ca="1">VLOOKUP(E72,Factors!$E:$I,4,0)</f>
        <v>0.91843288375080279</v>
      </c>
      <c r="H72" s="66">
        <f ca="1">VLOOKUP(D72,Factors!D:I,6,0)</f>
        <v>1.0305101880456755</v>
      </c>
      <c r="I72" s="121">
        <v>85</v>
      </c>
      <c r="J72" s="122">
        <f t="shared" ca="1" si="12"/>
        <v>303.5204799667016</v>
      </c>
      <c r="K72" s="117">
        <f t="shared" ca="1" si="13"/>
        <v>218.5204799667016</v>
      </c>
      <c r="L72" s="118">
        <f t="shared" ca="1" si="14"/>
        <v>47751.200164877635</v>
      </c>
      <c r="M72" s="119">
        <f t="shared" ca="1" si="15"/>
        <v>2.5708291760788424</v>
      </c>
      <c r="N72" s="55"/>
      <c r="O72" s="55"/>
      <c r="P72" s="173"/>
      <c r="W72" s="38"/>
    </row>
    <row r="73" spans="1:23" s="19" customFormat="1" x14ac:dyDescent="0.2">
      <c r="A73" s="120">
        <v>41008</v>
      </c>
      <c r="B73" s="56">
        <f t="shared" si="8"/>
        <v>9</v>
      </c>
      <c r="C73" s="56">
        <f t="shared" si="9"/>
        <v>3</v>
      </c>
      <c r="D73" s="56">
        <f t="shared" si="10"/>
        <v>4</v>
      </c>
      <c r="E73" s="56" t="str">
        <f t="shared" si="11"/>
        <v>43</v>
      </c>
      <c r="F73" s="66">
        <f ca="1">VLOOKUP(B73,Factors!$B:$I,6,0)</f>
        <v>1.08</v>
      </c>
      <c r="G73" s="66">
        <f ca="1">VLOOKUP(E73,Factors!$E:$I,4,0)</f>
        <v>1.1008349389852281</v>
      </c>
      <c r="H73" s="66">
        <f ca="1">VLOOKUP(D73,Factors!D:I,6,0)</f>
        <v>1.0305101880456755</v>
      </c>
      <c r="I73" s="121">
        <v>393</v>
      </c>
      <c r="J73" s="122">
        <f t="shared" ca="1" si="12"/>
        <v>340.71975875941769</v>
      </c>
      <c r="K73" s="117">
        <f t="shared" ca="1" si="13"/>
        <v>-52.280241240582313</v>
      </c>
      <c r="L73" s="118">
        <f t="shared" ca="1" si="14"/>
        <v>2733.2236241734836</v>
      </c>
      <c r="M73" s="119">
        <f t="shared" ca="1" si="15"/>
        <v>0.13302860366560385</v>
      </c>
      <c r="N73" s="55"/>
      <c r="O73" s="55"/>
      <c r="P73" s="173"/>
      <c r="W73" s="38"/>
    </row>
    <row r="74" spans="1:23" s="19" customFormat="1" x14ac:dyDescent="0.2">
      <c r="A74" s="120">
        <v>41009</v>
      </c>
      <c r="B74" s="56">
        <f t="shared" si="8"/>
        <v>10</v>
      </c>
      <c r="C74" s="56">
        <f t="shared" si="9"/>
        <v>3</v>
      </c>
      <c r="D74" s="56">
        <f t="shared" si="10"/>
        <v>4</v>
      </c>
      <c r="E74" s="56" t="str">
        <f t="shared" si="11"/>
        <v>43</v>
      </c>
      <c r="F74" s="66">
        <f ca="1">VLOOKUP(B74,Factors!$B:$I,6,0)</f>
        <v>1.0911627906976744</v>
      </c>
      <c r="G74" s="66">
        <f ca="1">VLOOKUP(E74,Factors!$E:$I,4,0)</f>
        <v>1.1008349389852281</v>
      </c>
      <c r="H74" s="66">
        <f ca="1">VLOOKUP(D74,Factors!D:I,6,0)</f>
        <v>1.0305101880456755</v>
      </c>
      <c r="I74" s="121">
        <v>373</v>
      </c>
      <c r="J74" s="122">
        <f t="shared" ca="1" si="12"/>
        <v>341.6405824292317</v>
      </c>
      <c r="K74" s="117">
        <f t="shared" ca="1" si="13"/>
        <v>-31.359417570768301</v>
      </c>
      <c r="L74" s="118">
        <f t="shared" ca="1" si="14"/>
        <v>983.41307037781166</v>
      </c>
      <c r="M74" s="119">
        <f t="shared" ca="1" si="15"/>
        <v>8.4073505551657643E-2</v>
      </c>
      <c r="N74" s="55"/>
      <c r="O74" s="55"/>
      <c r="P74" s="173"/>
      <c r="W74" s="38"/>
    </row>
    <row r="75" spans="1:23" s="19" customFormat="1" x14ac:dyDescent="0.2">
      <c r="A75" s="120">
        <v>41010</v>
      </c>
      <c r="B75" s="56">
        <f t="shared" si="8"/>
        <v>11</v>
      </c>
      <c r="C75" s="56">
        <f t="shared" si="9"/>
        <v>3</v>
      </c>
      <c r="D75" s="56">
        <f t="shared" si="10"/>
        <v>4</v>
      </c>
      <c r="E75" s="56" t="str">
        <f t="shared" si="11"/>
        <v>43</v>
      </c>
      <c r="F75" s="66">
        <f ca="1">VLOOKUP(B75,Factors!$B:$I,6,0)</f>
        <v>1.0827906976744186</v>
      </c>
      <c r="G75" s="66">
        <f ca="1">VLOOKUP(E75,Factors!$E:$I,4,0)</f>
        <v>1.1008349389852281</v>
      </c>
      <c r="H75" s="66">
        <f ca="1">VLOOKUP(D75,Factors!D:I,6,0)</f>
        <v>1.0305101880456755</v>
      </c>
      <c r="I75" s="121">
        <v>347</v>
      </c>
      <c r="J75" s="122">
        <f t="shared" ca="1" si="12"/>
        <v>337.371327554419</v>
      </c>
      <c r="K75" s="117">
        <f t="shared" ca="1" si="13"/>
        <v>-9.6286724455810031</v>
      </c>
      <c r="L75" s="118">
        <f t="shared" ca="1" si="14"/>
        <v>92.711333064290855</v>
      </c>
      <c r="M75" s="119">
        <f t="shared" ca="1" si="15"/>
        <v>2.7748335578043237E-2</v>
      </c>
      <c r="N75" s="55"/>
      <c r="O75" s="55"/>
      <c r="P75" s="173"/>
      <c r="W75" s="38"/>
    </row>
    <row r="76" spans="1:23" s="19" customFormat="1" x14ac:dyDescent="0.2">
      <c r="A76" s="120">
        <v>41011</v>
      </c>
      <c r="B76" s="56">
        <f t="shared" si="8"/>
        <v>12</v>
      </c>
      <c r="C76" s="56">
        <f t="shared" si="9"/>
        <v>3</v>
      </c>
      <c r="D76" s="56">
        <f t="shared" si="10"/>
        <v>4</v>
      </c>
      <c r="E76" s="56" t="str">
        <f t="shared" si="11"/>
        <v>43</v>
      </c>
      <c r="F76" s="66">
        <f ca="1">VLOOKUP(B76,Factors!$B:$I,6,0)</f>
        <v>1.0297674418604652</v>
      </c>
      <c r="G76" s="66">
        <f ca="1">VLOOKUP(E76,Factors!$E:$I,4,0)</f>
        <v>1.1008349389852281</v>
      </c>
      <c r="H76" s="66">
        <f ca="1">VLOOKUP(D76,Factors!D:I,6,0)</f>
        <v>1.0305101880456755</v>
      </c>
      <c r="I76" s="121">
        <v>325</v>
      </c>
      <c r="J76" s="122">
        <f t="shared" ca="1" si="12"/>
        <v>321.23903600617371</v>
      </c>
      <c r="K76" s="117">
        <f t="shared" ca="1" si="13"/>
        <v>-3.7609639938262944</v>
      </c>
      <c r="L76" s="118">
        <f t="shared" ca="1" si="14"/>
        <v>14.144850162857832</v>
      </c>
      <c r="M76" s="119">
        <f t="shared" ca="1" si="15"/>
        <v>1.1572196904080905E-2</v>
      </c>
      <c r="N76" s="55"/>
      <c r="O76" s="55"/>
      <c r="P76" s="173"/>
      <c r="W76" s="38"/>
    </row>
    <row r="77" spans="1:23" s="19" customFormat="1" x14ac:dyDescent="0.2">
      <c r="A77" s="120">
        <v>41012</v>
      </c>
      <c r="B77" s="56">
        <f t="shared" si="8"/>
        <v>13</v>
      </c>
      <c r="C77" s="56">
        <f t="shared" si="9"/>
        <v>3</v>
      </c>
      <c r="D77" s="56">
        <f t="shared" si="10"/>
        <v>4</v>
      </c>
      <c r="E77" s="56" t="str">
        <f t="shared" si="11"/>
        <v>43</v>
      </c>
      <c r="F77" s="66">
        <f ca="1">VLOOKUP(B77,Factors!$B:$I,6,0)</f>
        <v>0.8567441860465117</v>
      </c>
      <c r="G77" s="66">
        <f ca="1">VLOOKUP(E77,Factors!$E:$I,4,0)</f>
        <v>1.1008349389852281</v>
      </c>
      <c r="H77" s="66">
        <f ca="1">VLOOKUP(D77,Factors!D:I,6,0)</f>
        <v>1.0305101880456755</v>
      </c>
      <c r="I77" s="121">
        <v>276</v>
      </c>
      <c r="J77" s="122">
        <f t="shared" ca="1" si="12"/>
        <v>273.22483339807832</v>
      </c>
      <c r="K77" s="117">
        <f t="shared" ca="1" si="13"/>
        <v>-2.7751666019216827</v>
      </c>
      <c r="L77" s="118">
        <f t="shared" ca="1" si="14"/>
        <v>7.7015496684215394</v>
      </c>
      <c r="M77" s="119">
        <f t="shared" ca="1" si="15"/>
        <v>1.0054951456237981E-2</v>
      </c>
      <c r="N77" s="55"/>
      <c r="O77" s="55"/>
      <c r="P77" s="173"/>
      <c r="W77" s="38"/>
    </row>
    <row r="78" spans="1:23" s="19" customFormat="1" x14ac:dyDescent="0.2">
      <c r="A78" s="120">
        <v>41015</v>
      </c>
      <c r="B78" s="56">
        <f t="shared" si="8"/>
        <v>16</v>
      </c>
      <c r="C78" s="56">
        <f t="shared" si="9"/>
        <v>4</v>
      </c>
      <c r="D78" s="56">
        <f t="shared" si="10"/>
        <v>4</v>
      </c>
      <c r="E78" s="56" t="str">
        <f t="shared" si="11"/>
        <v>44</v>
      </c>
      <c r="F78" s="66">
        <f ca="1">VLOOKUP(B78,Factors!$B:$I,6,0)</f>
        <v>0.19534883720930232</v>
      </c>
      <c r="G78" s="66">
        <f ca="1">VLOOKUP(E78,Factors!$E:$I,4,0)</f>
        <v>0.97495183044315992</v>
      </c>
      <c r="H78" s="66">
        <f ca="1">VLOOKUP(D78,Factors!D:I,6,0)</f>
        <v>1.0305101880456755</v>
      </c>
      <c r="I78" s="121">
        <v>377</v>
      </c>
      <c r="J78" s="122">
        <f t="shared" ca="1" si="12"/>
        <v>103.67194991118734</v>
      </c>
      <c r="K78" s="117">
        <f t="shared" ca="1" si="13"/>
        <v>-273.32805008881269</v>
      </c>
      <c r="L78" s="118">
        <f t="shared" ca="1" si="14"/>
        <v>74708.222965352499</v>
      </c>
      <c r="M78" s="119">
        <f t="shared" ca="1" si="15"/>
        <v>0.7250080904212538</v>
      </c>
      <c r="N78" s="55"/>
      <c r="O78" s="55"/>
      <c r="P78" s="173"/>
      <c r="W78" s="38"/>
    </row>
    <row r="79" spans="1:23" s="19" customFormat="1" x14ac:dyDescent="0.2">
      <c r="A79" s="120">
        <v>41016</v>
      </c>
      <c r="B79" s="56">
        <f t="shared" si="8"/>
        <v>17</v>
      </c>
      <c r="C79" s="56">
        <f t="shared" si="9"/>
        <v>4</v>
      </c>
      <c r="D79" s="56">
        <f t="shared" si="10"/>
        <v>4</v>
      </c>
      <c r="E79" s="56" t="str">
        <f t="shared" si="11"/>
        <v>44</v>
      </c>
      <c r="F79" s="66">
        <f ca="1">VLOOKUP(B79,Factors!$B:$I,6,0)</f>
        <v>1.2809302325581395</v>
      </c>
      <c r="G79" s="66">
        <f ca="1">VLOOKUP(E79,Factors!$E:$I,4,0)</f>
        <v>0.97495183044315992</v>
      </c>
      <c r="H79" s="66">
        <f ca="1">VLOOKUP(D79,Factors!D:I,6,0)</f>
        <v>1.0305101880456755</v>
      </c>
      <c r="I79" s="121">
        <v>330</v>
      </c>
      <c r="J79" s="122">
        <f t="shared" ca="1" si="12"/>
        <v>390.0470935354731</v>
      </c>
      <c r="K79" s="117">
        <f t="shared" ca="1" si="13"/>
        <v>60.047093535473095</v>
      </c>
      <c r="L79" s="118">
        <f t="shared" ca="1" si="14"/>
        <v>3605.6534420578546</v>
      </c>
      <c r="M79" s="119">
        <f t="shared" ca="1" si="15"/>
        <v>0.18196088950143363</v>
      </c>
      <c r="N79" s="55"/>
      <c r="O79" s="55"/>
      <c r="P79" s="173"/>
      <c r="W79" s="38"/>
    </row>
    <row r="80" spans="1:23" s="19" customFormat="1" x14ac:dyDescent="0.2">
      <c r="A80" s="120">
        <v>41017</v>
      </c>
      <c r="B80" s="56">
        <f t="shared" si="8"/>
        <v>18</v>
      </c>
      <c r="C80" s="56">
        <f t="shared" si="9"/>
        <v>4</v>
      </c>
      <c r="D80" s="56">
        <f t="shared" si="10"/>
        <v>4</v>
      </c>
      <c r="E80" s="56" t="str">
        <f t="shared" si="11"/>
        <v>44</v>
      </c>
      <c r="F80" s="66">
        <f ca="1">VLOOKUP(B80,Factors!$B:$I,6,0)</f>
        <v>1.2111627906976745</v>
      </c>
      <c r="G80" s="66">
        <f ca="1">VLOOKUP(E80,Factors!$E:$I,4,0)</f>
        <v>0.97495183044315992</v>
      </c>
      <c r="H80" s="66">
        <f ca="1">VLOOKUP(D80,Factors!D:I,6,0)</f>
        <v>1.0305101880456755</v>
      </c>
      <c r="I80" s="121">
        <v>294</v>
      </c>
      <c r="J80" s="122">
        <f t="shared" ca="1" si="12"/>
        <v>369.46616323469061</v>
      </c>
      <c r="K80" s="117">
        <f t="shared" ca="1" si="13"/>
        <v>75.466163234690612</v>
      </c>
      <c r="L80" s="118">
        <f t="shared" ca="1" si="14"/>
        <v>5695.1417933649691</v>
      </c>
      <c r="M80" s="119">
        <f t="shared" ca="1" si="15"/>
        <v>0.25668763004996809</v>
      </c>
      <c r="N80" s="55"/>
      <c r="O80" s="55"/>
      <c r="P80" s="173"/>
      <c r="W80" s="38"/>
    </row>
    <row r="81" spans="1:23" s="19" customFormat="1" x14ac:dyDescent="0.2">
      <c r="A81" s="120">
        <v>41018</v>
      </c>
      <c r="B81" s="56">
        <f t="shared" si="8"/>
        <v>19</v>
      </c>
      <c r="C81" s="56">
        <f t="shared" si="9"/>
        <v>4</v>
      </c>
      <c r="D81" s="56">
        <f t="shared" si="10"/>
        <v>4</v>
      </c>
      <c r="E81" s="56" t="str">
        <f t="shared" si="11"/>
        <v>44</v>
      </c>
      <c r="F81" s="66">
        <f ca="1">VLOOKUP(B81,Factors!$B:$I,6,0)</f>
        <v>0.99069767441860468</v>
      </c>
      <c r="G81" s="66">
        <f ca="1">VLOOKUP(E81,Factors!$E:$I,4,0)</f>
        <v>0.97495183044315992</v>
      </c>
      <c r="H81" s="66">
        <f ca="1">VLOOKUP(D81,Factors!D:I,6,0)</f>
        <v>1.0305101880456755</v>
      </c>
      <c r="I81" s="121">
        <v>294</v>
      </c>
      <c r="J81" s="122">
        <f t="shared" ca="1" si="12"/>
        <v>308.84748416107306</v>
      </c>
      <c r="K81" s="117">
        <f t="shared" ca="1" si="13"/>
        <v>14.847484161073055</v>
      </c>
      <c r="L81" s="118">
        <f t="shared" ca="1" si="14"/>
        <v>220.44778591331524</v>
      </c>
      <c r="M81" s="119">
        <f t="shared" ca="1" si="15"/>
        <v>5.0501646806370933E-2</v>
      </c>
      <c r="N81" s="55"/>
      <c r="O81" s="55"/>
      <c r="P81" s="173"/>
      <c r="W81" s="38"/>
    </row>
    <row r="82" spans="1:23" s="19" customFormat="1" x14ac:dyDescent="0.2">
      <c r="A82" s="120">
        <v>41019</v>
      </c>
      <c r="B82" s="56">
        <f t="shared" si="8"/>
        <v>20</v>
      </c>
      <c r="C82" s="56">
        <f t="shared" si="9"/>
        <v>4</v>
      </c>
      <c r="D82" s="56">
        <f t="shared" si="10"/>
        <v>4</v>
      </c>
      <c r="E82" s="56" t="str">
        <f t="shared" si="11"/>
        <v>44</v>
      </c>
      <c r="F82" s="66">
        <f ca="1">VLOOKUP(B82,Factors!$B:$I,6,0)</f>
        <v>0.84837209302325589</v>
      </c>
      <c r="G82" s="66">
        <f ca="1">VLOOKUP(E82,Factors!$E:$I,4,0)</f>
        <v>0.97495183044315992</v>
      </c>
      <c r="H82" s="66">
        <f ca="1">VLOOKUP(D82,Factors!D:I,6,0)</f>
        <v>1.0305101880456755</v>
      </c>
      <c r="I82" s="121">
        <v>223</v>
      </c>
      <c r="J82" s="122">
        <f t="shared" ca="1" si="12"/>
        <v>268.98911926596259</v>
      </c>
      <c r="K82" s="117">
        <f t="shared" ca="1" si="13"/>
        <v>45.989119265962586</v>
      </c>
      <c r="L82" s="118">
        <f t="shared" ca="1" si="14"/>
        <v>2114.9990908589311</v>
      </c>
      <c r="M82" s="119">
        <f t="shared" ca="1" si="15"/>
        <v>0.20622923437651383</v>
      </c>
      <c r="N82" s="55"/>
      <c r="O82" s="55"/>
      <c r="P82" s="173"/>
      <c r="W82" s="38"/>
    </row>
    <row r="83" spans="1:23" s="19" customFormat="1" x14ac:dyDescent="0.2">
      <c r="A83" s="120">
        <v>41022</v>
      </c>
      <c r="B83" s="56">
        <f t="shared" si="8"/>
        <v>23</v>
      </c>
      <c r="C83" s="56">
        <f t="shared" si="9"/>
        <v>5</v>
      </c>
      <c r="D83" s="56">
        <f t="shared" si="10"/>
        <v>4</v>
      </c>
      <c r="E83" s="56" t="str">
        <f t="shared" si="11"/>
        <v>45</v>
      </c>
      <c r="F83" s="66">
        <f ca="1">VLOOKUP(B83,Factors!$B:$I,6,0)</f>
        <v>1.0213953488372094</v>
      </c>
      <c r="G83" s="66">
        <f ca="1">VLOOKUP(E83,Factors!$E:$I,4,0)</f>
        <v>1.0057803468208093</v>
      </c>
      <c r="H83" s="66">
        <f ca="1">VLOOKUP(D83,Factors!D:I,6,0)</f>
        <v>1.0305101880456755</v>
      </c>
      <c r="I83" s="121">
        <v>291</v>
      </c>
      <c r="J83" s="122">
        <f t="shared" ca="1" si="12"/>
        <v>323.33244229208458</v>
      </c>
      <c r="K83" s="117">
        <f t="shared" ca="1" si="13"/>
        <v>32.332442292084579</v>
      </c>
      <c r="L83" s="118">
        <f t="shared" ca="1" si="14"/>
        <v>1045.3868245709796</v>
      </c>
      <c r="M83" s="119">
        <f t="shared" ca="1" si="15"/>
        <v>0.11110804911369271</v>
      </c>
      <c r="N83" s="55"/>
      <c r="O83" s="55"/>
      <c r="P83" s="173"/>
      <c r="W83" s="38"/>
    </row>
    <row r="84" spans="1:23" s="19" customFormat="1" x14ac:dyDescent="0.2">
      <c r="A84" s="120">
        <v>41023</v>
      </c>
      <c r="B84" s="56">
        <f t="shared" si="8"/>
        <v>24</v>
      </c>
      <c r="C84" s="56">
        <f t="shared" si="9"/>
        <v>5</v>
      </c>
      <c r="D84" s="56">
        <f t="shared" si="10"/>
        <v>4</v>
      </c>
      <c r="E84" s="56" t="str">
        <f t="shared" si="11"/>
        <v>45</v>
      </c>
      <c r="F84" s="66">
        <f ca="1">VLOOKUP(B84,Factors!$B:$I,6,0)</f>
        <v>1.1162790697674418</v>
      </c>
      <c r="G84" s="66">
        <f ca="1">VLOOKUP(E84,Factors!$E:$I,4,0)</f>
        <v>1.0057803468208093</v>
      </c>
      <c r="H84" s="66">
        <f ca="1">VLOOKUP(D84,Factors!D:I,6,0)</f>
        <v>1.0305101880456755</v>
      </c>
      <c r="I84" s="121">
        <v>257</v>
      </c>
      <c r="J84" s="122">
        <f t="shared" ca="1" si="12"/>
        <v>346.49645972458472</v>
      </c>
      <c r="K84" s="117">
        <f t="shared" ca="1" si="13"/>
        <v>89.496459724584724</v>
      </c>
      <c r="L84" s="118">
        <f t="shared" ca="1" si="14"/>
        <v>8009.6163032342156</v>
      </c>
      <c r="M84" s="119">
        <f t="shared" ca="1" si="15"/>
        <v>0.34823525184663318</v>
      </c>
      <c r="N84" s="55"/>
      <c r="O84" s="55"/>
      <c r="P84" s="173"/>
      <c r="W84" s="38"/>
    </row>
    <row r="85" spans="1:23" s="19" customFormat="1" x14ac:dyDescent="0.2">
      <c r="A85" s="120">
        <v>41024</v>
      </c>
      <c r="B85" s="56">
        <f t="shared" si="8"/>
        <v>25</v>
      </c>
      <c r="C85" s="56">
        <f t="shared" si="9"/>
        <v>5</v>
      </c>
      <c r="D85" s="56">
        <f t="shared" si="10"/>
        <v>4</v>
      </c>
      <c r="E85" s="56" t="str">
        <f t="shared" si="11"/>
        <v>45</v>
      </c>
      <c r="F85" s="66">
        <f ca="1">VLOOKUP(B85,Factors!$B:$I,6,0)</f>
        <v>0.9767441860465117</v>
      </c>
      <c r="G85" s="66">
        <f ca="1">VLOOKUP(E85,Factors!$E:$I,4,0)</f>
        <v>1.0057803468208093</v>
      </c>
      <c r="H85" s="66">
        <f ca="1">VLOOKUP(D85,Factors!D:I,6,0)</f>
        <v>1.0305101880456755</v>
      </c>
      <c r="I85" s="121">
        <v>252</v>
      </c>
      <c r="J85" s="122">
        <f t="shared" ca="1" si="12"/>
        <v>307.37953462156383</v>
      </c>
      <c r="K85" s="117">
        <f t="shared" ca="1" si="13"/>
        <v>55.379534621563835</v>
      </c>
      <c r="L85" s="118">
        <f t="shared" ca="1" si="14"/>
        <v>3066.8928549009875</v>
      </c>
      <c r="M85" s="119">
        <f t="shared" ca="1" si="15"/>
        <v>0.21976005802207871</v>
      </c>
      <c r="N85" s="55"/>
      <c r="O85" s="55"/>
      <c r="P85" s="173"/>
      <c r="W85" s="38"/>
    </row>
    <row r="86" spans="1:23" s="19" customFormat="1" x14ac:dyDescent="0.2">
      <c r="A86" s="120">
        <v>41025</v>
      </c>
      <c r="B86" s="56">
        <f t="shared" si="8"/>
        <v>26</v>
      </c>
      <c r="C86" s="56">
        <f t="shared" si="9"/>
        <v>5</v>
      </c>
      <c r="D86" s="56">
        <f t="shared" si="10"/>
        <v>4</v>
      </c>
      <c r="E86" s="56" t="str">
        <f t="shared" si="11"/>
        <v>45</v>
      </c>
      <c r="F86" s="66">
        <f ca="1">VLOOKUP(B86,Factors!$B:$I,6,0)</f>
        <v>0.91255813953488374</v>
      </c>
      <c r="G86" s="66">
        <f ca="1">VLOOKUP(E86,Factors!$E:$I,4,0)</f>
        <v>1.0057803468208093</v>
      </c>
      <c r="H86" s="66">
        <f ca="1">VLOOKUP(D86,Factors!D:I,6,0)</f>
        <v>1.0305101880456755</v>
      </c>
      <c r="I86" s="121">
        <v>276</v>
      </c>
      <c r="J86" s="122">
        <f t="shared" ca="1" si="12"/>
        <v>288.28148390496034</v>
      </c>
      <c r="K86" s="117">
        <f t="shared" ca="1" si="13"/>
        <v>12.281483904960339</v>
      </c>
      <c r="L86" s="118">
        <f t="shared" ca="1" si="14"/>
        <v>150.83484690779986</v>
      </c>
      <c r="M86" s="119">
        <f t="shared" ca="1" si="15"/>
        <v>4.449813009043601E-2</v>
      </c>
      <c r="N86" s="55"/>
      <c r="O86" s="55"/>
      <c r="P86" s="173"/>
      <c r="W86" s="38"/>
    </row>
    <row r="87" spans="1:23" s="19" customFormat="1" x14ac:dyDescent="0.2">
      <c r="A87" s="120">
        <v>41026</v>
      </c>
      <c r="B87" s="56">
        <f t="shared" si="8"/>
        <v>27</v>
      </c>
      <c r="C87" s="56">
        <f t="shared" si="9"/>
        <v>5</v>
      </c>
      <c r="D87" s="56">
        <f t="shared" si="10"/>
        <v>4</v>
      </c>
      <c r="E87" s="56" t="str">
        <f t="shared" si="11"/>
        <v>45</v>
      </c>
      <c r="F87" s="66">
        <f ca="1">VLOOKUP(B87,Factors!$B:$I,6,0)</f>
        <v>0.76744186046511631</v>
      </c>
      <c r="G87" s="66">
        <f ca="1">VLOOKUP(E87,Factors!$E:$I,4,0)</f>
        <v>1.0057803468208093</v>
      </c>
      <c r="H87" s="66">
        <f ca="1">VLOOKUP(D87,Factors!D:I,6,0)</f>
        <v>1.0305101880456755</v>
      </c>
      <c r="I87" s="121">
        <v>196</v>
      </c>
      <c r="J87" s="122">
        <f t="shared" ca="1" si="12"/>
        <v>247.68167921776035</v>
      </c>
      <c r="K87" s="117">
        <f t="shared" ca="1" si="13"/>
        <v>51.681679217760347</v>
      </c>
      <c r="L87" s="118">
        <f t="shared" ca="1" si="14"/>
        <v>2670.9959667674816</v>
      </c>
      <c r="M87" s="119">
        <f t="shared" ca="1" si="15"/>
        <v>0.26368203682530789</v>
      </c>
      <c r="N87" s="55"/>
      <c r="O87" s="55"/>
      <c r="P87" s="173"/>
      <c r="W87" s="38"/>
    </row>
    <row r="88" spans="1:23" s="19" customFormat="1" x14ac:dyDescent="0.2">
      <c r="A88" s="120">
        <v>41029</v>
      </c>
      <c r="B88" s="56">
        <f t="shared" si="8"/>
        <v>30</v>
      </c>
      <c r="C88" s="56">
        <f t="shared" si="9"/>
        <v>5</v>
      </c>
      <c r="D88" s="56">
        <f t="shared" si="10"/>
        <v>4</v>
      </c>
      <c r="E88" s="56" t="str">
        <f t="shared" si="11"/>
        <v>45</v>
      </c>
      <c r="F88" s="66">
        <f ca="1">VLOOKUP(B88,Factors!$B:$I,6,0)</f>
        <v>1.1162790697674418</v>
      </c>
      <c r="G88" s="66">
        <f ca="1">VLOOKUP(E88,Factors!$E:$I,4,0)</f>
        <v>1.0057803468208093</v>
      </c>
      <c r="H88" s="66">
        <f ca="1">VLOOKUP(D88,Factors!D:I,6,0)</f>
        <v>1.0305101880456755</v>
      </c>
      <c r="I88" s="121">
        <v>294</v>
      </c>
      <c r="J88" s="122">
        <f t="shared" ca="1" si="12"/>
        <v>334.22684673332014</v>
      </c>
      <c r="K88" s="117">
        <f t="shared" ca="1" si="13"/>
        <v>40.226846733320144</v>
      </c>
      <c r="L88" s="118">
        <f t="shared" ca="1" si="14"/>
        <v>1618.1991981060296</v>
      </c>
      <c r="M88" s="119">
        <f t="shared" ca="1" si="15"/>
        <v>0.13682600929700731</v>
      </c>
      <c r="N88" s="55"/>
      <c r="O88" s="55"/>
      <c r="P88" s="173"/>
      <c r="W88" s="38"/>
    </row>
    <row r="89" spans="1:23" s="19" customFormat="1" x14ac:dyDescent="0.2">
      <c r="A89" s="120">
        <v>41030</v>
      </c>
      <c r="B89" s="56">
        <f t="shared" si="8"/>
        <v>1</v>
      </c>
      <c r="C89" s="56">
        <f t="shared" si="9"/>
        <v>1</v>
      </c>
      <c r="D89" s="56">
        <f t="shared" si="10"/>
        <v>5</v>
      </c>
      <c r="E89" s="56" t="str">
        <f t="shared" si="11"/>
        <v>51</v>
      </c>
      <c r="F89" s="66">
        <f ca="1">VLOOKUP(B89,Factors!$B:$I,6,0)</f>
        <v>1.0923276983094929</v>
      </c>
      <c r="G89" s="66">
        <f ca="1">VLOOKUP(E89,Factors!$E:$I,4,0)</f>
        <v>0.91569783301434649</v>
      </c>
      <c r="H89" s="66">
        <f ca="1">VLOOKUP(D89,Factors!D:I,6,0)</f>
        <v>0.90707399660667842</v>
      </c>
      <c r="I89" s="121">
        <v>263</v>
      </c>
      <c r="J89" s="122">
        <f t="shared" ca="1" si="12"/>
        <v>298.20173507613663</v>
      </c>
      <c r="K89" s="117">
        <f t="shared" ca="1" si="13"/>
        <v>35.201735076136629</v>
      </c>
      <c r="L89" s="118">
        <f t="shared" ca="1" si="14"/>
        <v>1239.1621523705078</v>
      </c>
      <c r="M89" s="119">
        <f t="shared" ca="1" si="15"/>
        <v>0.1338469014301773</v>
      </c>
      <c r="N89" s="55"/>
      <c r="O89" s="55"/>
      <c r="P89" s="173"/>
      <c r="W89" s="38"/>
    </row>
    <row r="90" spans="1:23" s="19" customFormat="1" x14ac:dyDescent="0.2">
      <c r="A90" s="120">
        <v>41031</v>
      </c>
      <c r="B90" s="56">
        <f t="shared" si="8"/>
        <v>2</v>
      </c>
      <c r="C90" s="56">
        <f t="shared" si="9"/>
        <v>1</v>
      </c>
      <c r="D90" s="56">
        <f t="shared" si="10"/>
        <v>5</v>
      </c>
      <c r="E90" s="56" t="str">
        <f t="shared" si="11"/>
        <v>51</v>
      </c>
      <c r="F90" s="66">
        <f ca="1">VLOOKUP(B90,Factors!$B:$I,6,0)</f>
        <v>1.0953619419159082</v>
      </c>
      <c r="G90" s="66">
        <f ca="1">VLOOKUP(E90,Factors!$E:$I,4,0)</f>
        <v>0.91569783301434649</v>
      </c>
      <c r="H90" s="66">
        <f ca="1">VLOOKUP(D90,Factors!D:I,6,0)</f>
        <v>0.90707399660667842</v>
      </c>
      <c r="I90" s="121">
        <v>292</v>
      </c>
      <c r="J90" s="122">
        <f t="shared" ca="1" si="12"/>
        <v>296.96294528420628</v>
      </c>
      <c r="K90" s="117">
        <f t="shared" ca="1" si="13"/>
        <v>4.9629452842062847</v>
      </c>
      <c r="L90" s="118">
        <f t="shared" ca="1" si="14"/>
        <v>24.630825894025399</v>
      </c>
      <c r="M90" s="119">
        <f t="shared" ca="1" si="15"/>
        <v>1.6996387959610563E-2</v>
      </c>
      <c r="N90" s="55"/>
      <c r="O90" s="55"/>
      <c r="P90" s="173"/>
      <c r="W90" s="38"/>
    </row>
    <row r="91" spans="1:23" s="19" customFormat="1" x14ac:dyDescent="0.2">
      <c r="A91" s="120">
        <v>41032</v>
      </c>
      <c r="B91" s="56">
        <f t="shared" si="8"/>
        <v>3</v>
      </c>
      <c r="C91" s="56">
        <f t="shared" si="9"/>
        <v>1</v>
      </c>
      <c r="D91" s="56">
        <f t="shared" si="10"/>
        <v>5</v>
      </c>
      <c r="E91" s="56" t="str">
        <f t="shared" si="11"/>
        <v>51</v>
      </c>
      <c r="F91" s="66">
        <f ca="1">VLOOKUP(B91,Factors!$B:$I,6,0)</f>
        <v>1.2613953488372094</v>
      </c>
      <c r="G91" s="66">
        <f ca="1">VLOOKUP(E91,Factors!$E:$I,4,0)</f>
        <v>0.91569783301434649</v>
      </c>
      <c r="H91" s="66">
        <f ca="1">VLOOKUP(D91,Factors!D:I,6,0)</f>
        <v>0.90707399660667842</v>
      </c>
      <c r="I91" s="121">
        <v>239</v>
      </c>
      <c r="J91" s="122">
        <f t="shared" ca="1" si="12"/>
        <v>339.03019572256903</v>
      </c>
      <c r="K91" s="117">
        <f t="shared" ca="1" si="13"/>
        <v>100.03019572256903</v>
      </c>
      <c r="L91" s="118">
        <f t="shared" ca="1" si="14"/>
        <v>10006.040056295467</v>
      </c>
      <c r="M91" s="119">
        <f t="shared" ca="1" si="15"/>
        <v>0.41853638377643948</v>
      </c>
      <c r="N91" s="55"/>
      <c r="O91" s="55"/>
      <c r="P91" s="173"/>
      <c r="W91" s="38"/>
    </row>
    <row r="92" spans="1:23" s="19" customFormat="1" x14ac:dyDescent="0.2">
      <c r="A92" s="120">
        <v>41033</v>
      </c>
      <c r="B92" s="56">
        <f t="shared" si="8"/>
        <v>4</v>
      </c>
      <c r="C92" s="56">
        <f t="shared" si="9"/>
        <v>1</v>
      </c>
      <c r="D92" s="56">
        <f t="shared" si="10"/>
        <v>5</v>
      </c>
      <c r="E92" s="56" t="str">
        <f t="shared" si="11"/>
        <v>51</v>
      </c>
      <c r="F92" s="66">
        <f ca="1">VLOOKUP(B92,Factors!$B:$I,6,0)</f>
        <v>1.1051162790697675</v>
      </c>
      <c r="G92" s="66">
        <f ca="1">VLOOKUP(E92,Factors!$E:$I,4,0)</f>
        <v>0.91569783301434649</v>
      </c>
      <c r="H92" s="66">
        <f ca="1">VLOOKUP(D92,Factors!D:I,6,0)</f>
        <v>0.90707399660667842</v>
      </c>
      <c r="I92" s="121">
        <v>210</v>
      </c>
      <c r="J92" s="122">
        <f t="shared" ca="1" si="12"/>
        <v>295.46463186701089</v>
      </c>
      <c r="K92" s="117">
        <f t="shared" ca="1" si="13"/>
        <v>85.464631867010894</v>
      </c>
      <c r="L92" s="118">
        <f t="shared" ca="1" si="14"/>
        <v>7304.2033001636937</v>
      </c>
      <c r="M92" s="119">
        <f t="shared" ca="1" si="15"/>
        <v>0.40697443746195666</v>
      </c>
      <c r="N92" s="55"/>
      <c r="O92" s="55"/>
      <c r="P92" s="173"/>
      <c r="W92" s="38"/>
    </row>
    <row r="93" spans="1:23" s="19" customFormat="1" x14ac:dyDescent="0.2">
      <c r="A93" s="120">
        <v>41036</v>
      </c>
      <c r="B93" s="56">
        <f t="shared" si="8"/>
        <v>7</v>
      </c>
      <c r="C93" s="56">
        <f t="shared" si="9"/>
        <v>2</v>
      </c>
      <c r="D93" s="56">
        <f t="shared" si="10"/>
        <v>5</v>
      </c>
      <c r="E93" s="56" t="str">
        <f t="shared" si="11"/>
        <v>52</v>
      </c>
      <c r="F93" s="66">
        <f ca="1">VLOOKUP(B93,Factors!$B:$I,6,0)</f>
        <v>1.1772865192891202</v>
      </c>
      <c r="G93" s="66">
        <f ca="1">VLOOKUP(E93,Factors!$E:$I,4,0)</f>
        <v>1.124701103109603</v>
      </c>
      <c r="H93" s="66">
        <f ca="1">VLOOKUP(D93,Factors!D:I,6,0)</f>
        <v>0.90707399660667842</v>
      </c>
      <c r="I93" s="121">
        <v>272</v>
      </c>
      <c r="J93" s="122">
        <f t="shared" ca="1" si="12"/>
        <v>325.52086547901104</v>
      </c>
      <c r="K93" s="117">
        <f t="shared" ca="1" si="13"/>
        <v>53.520865479011036</v>
      </c>
      <c r="L93" s="118">
        <f t="shared" ca="1" si="14"/>
        <v>2864.4830416223954</v>
      </c>
      <c r="M93" s="119">
        <f t="shared" ca="1" si="15"/>
        <v>0.19676788779048174</v>
      </c>
      <c r="N93" s="55"/>
      <c r="O93" s="55"/>
      <c r="P93" s="173"/>
      <c r="W93" s="38"/>
    </row>
    <row r="94" spans="1:23" s="19" customFormat="1" x14ac:dyDescent="0.2">
      <c r="A94" s="120">
        <v>41037</v>
      </c>
      <c r="B94" s="56">
        <f t="shared" si="8"/>
        <v>8</v>
      </c>
      <c r="C94" s="56">
        <f t="shared" si="9"/>
        <v>2</v>
      </c>
      <c r="D94" s="56">
        <f t="shared" si="10"/>
        <v>5</v>
      </c>
      <c r="E94" s="56" t="str">
        <f t="shared" si="11"/>
        <v>52</v>
      </c>
      <c r="F94" s="66">
        <f ca="1">VLOOKUP(B94,Factors!$B:$I,6,0)</f>
        <v>1.1469440832249675</v>
      </c>
      <c r="G94" s="66">
        <f ca="1">VLOOKUP(E94,Factors!$E:$I,4,0)</f>
        <v>1.124701103109603</v>
      </c>
      <c r="H94" s="66">
        <f ca="1">VLOOKUP(D94,Factors!D:I,6,0)</f>
        <v>0.90707399660667842</v>
      </c>
      <c r="I94" s="121">
        <v>270</v>
      </c>
      <c r="J94" s="122">
        <f t="shared" ca="1" si="12"/>
        <v>315.41447291432945</v>
      </c>
      <c r="K94" s="117">
        <f t="shared" ca="1" si="13"/>
        <v>45.414472914329451</v>
      </c>
      <c r="L94" s="118">
        <f t="shared" ca="1" si="14"/>
        <v>2062.4743500863633</v>
      </c>
      <c r="M94" s="119">
        <f t="shared" ca="1" si="15"/>
        <v>0.16820175153455352</v>
      </c>
      <c r="N94" s="55"/>
      <c r="O94" s="55"/>
      <c r="P94" s="173"/>
      <c r="W94" s="38"/>
    </row>
    <row r="95" spans="1:23" s="19" customFormat="1" x14ac:dyDescent="0.2">
      <c r="A95" s="120">
        <v>41038</v>
      </c>
      <c r="B95" s="56">
        <f t="shared" si="8"/>
        <v>9</v>
      </c>
      <c r="C95" s="56">
        <f t="shared" si="9"/>
        <v>2</v>
      </c>
      <c r="D95" s="56">
        <f t="shared" si="10"/>
        <v>5</v>
      </c>
      <c r="E95" s="56" t="str">
        <f t="shared" si="11"/>
        <v>52</v>
      </c>
      <c r="F95" s="66">
        <f ca="1">VLOOKUP(B95,Factors!$B:$I,6,0)</f>
        <v>1.08</v>
      </c>
      <c r="G95" s="66">
        <f ca="1">VLOOKUP(E95,Factors!$E:$I,4,0)</f>
        <v>1.124701103109603</v>
      </c>
      <c r="H95" s="66">
        <f ca="1">VLOOKUP(D95,Factors!D:I,6,0)</f>
        <v>0.90707399660667842</v>
      </c>
      <c r="I95" s="121">
        <v>253</v>
      </c>
      <c r="J95" s="122">
        <f t="shared" ca="1" si="12"/>
        <v>295.58365985443857</v>
      </c>
      <c r="K95" s="117">
        <f t="shared" ca="1" si="13"/>
        <v>42.583659854438565</v>
      </c>
      <c r="L95" s="118">
        <f t="shared" ca="1" si="14"/>
        <v>1813.3680865985227</v>
      </c>
      <c r="M95" s="119">
        <f t="shared" ca="1" si="15"/>
        <v>0.16831486108473742</v>
      </c>
      <c r="N95" s="55"/>
      <c r="O95" s="55"/>
      <c r="P95" s="173"/>
      <c r="W95" s="38"/>
    </row>
    <row r="96" spans="1:23" s="19" customFormat="1" x14ac:dyDescent="0.2">
      <c r="A96" s="120">
        <v>41039</v>
      </c>
      <c r="B96" s="56">
        <f t="shared" si="8"/>
        <v>10</v>
      </c>
      <c r="C96" s="56">
        <f t="shared" si="9"/>
        <v>2</v>
      </c>
      <c r="D96" s="56">
        <f t="shared" si="10"/>
        <v>5</v>
      </c>
      <c r="E96" s="56" t="str">
        <f t="shared" si="11"/>
        <v>52</v>
      </c>
      <c r="F96" s="66">
        <f ca="1">VLOOKUP(B96,Factors!$B:$I,6,0)</f>
        <v>1.0911627906976744</v>
      </c>
      <c r="G96" s="66">
        <f ca="1">VLOOKUP(E96,Factors!$E:$I,4,0)</f>
        <v>1.124701103109603</v>
      </c>
      <c r="H96" s="66">
        <f ca="1">VLOOKUP(D96,Factors!D:I,6,0)</f>
        <v>0.90707399660667842</v>
      </c>
      <c r="I96" s="121">
        <v>252</v>
      </c>
      <c r="J96" s="122">
        <f t="shared" ca="1" si="12"/>
        <v>296.50448352425263</v>
      </c>
      <c r="K96" s="117">
        <f t="shared" ca="1" si="13"/>
        <v>44.504483524252635</v>
      </c>
      <c r="L96" s="118">
        <f t="shared" ca="1" si="14"/>
        <v>1980.6490537604743</v>
      </c>
      <c r="M96" s="119">
        <f t="shared" ca="1" si="15"/>
        <v>0.17660509335020888</v>
      </c>
      <c r="N96" s="55"/>
      <c r="O96" s="55"/>
      <c r="P96" s="173"/>
      <c r="W96" s="38"/>
    </row>
    <row r="97" spans="1:23" s="19" customFormat="1" x14ac:dyDescent="0.2">
      <c r="A97" s="120">
        <v>41040</v>
      </c>
      <c r="B97" s="56">
        <f t="shared" si="8"/>
        <v>11</v>
      </c>
      <c r="C97" s="56">
        <f t="shared" si="9"/>
        <v>2</v>
      </c>
      <c r="D97" s="56">
        <f t="shared" si="10"/>
        <v>5</v>
      </c>
      <c r="E97" s="56" t="str">
        <f t="shared" si="11"/>
        <v>52</v>
      </c>
      <c r="F97" s="66">
        <f ca="1">VLOOKUP(B97,Factors!$B:$I,6,0)</f>
        <v>1.0827906976744186</v>
      </c>
      <c r="G97" s="66">
        <f ca="1">VLOOKUP(E97,Factors!$E:$I,4,0)</f>
        <v>1.124701103109603</v>
      </c>
      <c r="H97" s="66">
        <f ca="1">VLOOKUP(D97,Factors!D:I,6,0)</f>
        <v>0.90707399660667842</v>
      </c>
      <c r="I97" s="121">
        <v>186</v>
      </c>
      <c r="J97" s="122">
        <f t="shared" ca="1" si="12"/>
        <v>292.23522864943988</v>
      </c>
      <c r="K97" s="117">
        <f t="shared" ca="1" si="13"/>
        <v>106.23522864943988</v>
      </c>
      <c r="L97" s="118">
        <f t="shared" ca="1" si="14"/>
        <v>11285.923806198771</v>
      </c>
      <c r="M97" s="119">
        <f t="shared" ca="1" si="15"/>
        <v>0.57115714327655842</v>
      </c>
      <c r="N97" s="55"/>
      <c r="O97" s="55"/>
      <c r="P97" s="173"/>
      <c r="W97" s="38"/>
    </row>
    <row r="98" spans="1:23" s="19" customFormat="1" x14ac:dyDescent="0.2">
      <c r="A98" s="120">
        <v>41043</v>
      </c>
      <c r="B98" s="56">
        <f t="shared" si="8"/>
        <v>14</v>
      </c>
      <c r="C98" s="56">
        <f t="shared" si="9"/>
        <v>3</v>
      </c>
      <c r="D98" s="56">
        <f t="shared" si="10"/>
        <v>5</v>
      </c>
      <c r="E98" s="56" t="str">
        <f t="shared" si="11"/>
        <v>53</v>
      </c>
      <c r="F98" s="66">
        <f ca="1">VLOOKUP(B98,Factors!$B:$I,6,0)</f>
        <v>0.97702644126571314</v>
      </c>
      <c r="G98" s="66">
        <f ca="1">VLOOKUP(E98,Factors!$E:$I,4,0)</f>
        <v>1.1427981919989803</v>
      </c>
      <c r="H98" s="66">
        <f ca="1">VLOOKUP(D98,Factors!D:I,6,0)</f>
        <v>0.90707399660667842</v>
      </c>
      <c r="I98" s="121">
        <v>303</v>
      </c>
      <c r="J98" s="122">
        <f t="shared" ca="1" si="12"/>
        <v>272.33036852763775</v>
      </c>
      <c r="K98" s="117">
        <f t="shared" ca="1" si="13"/>
        <v>-30.669631472362255</v>
      </c>
      <c r="L98" s="118">
        <f t="shared" ca="1" si="14"/>
        <v>940.62629465051339</v>
      </c>
      <c r="M98" s="119">
        <f t="shared" ca="1" si="15"/>
        <v>0.10121990584938038</v>
      </c>
      <c r="N98" s="55"/>
      <c r="O98" s="55"/>
      <c r="P98" s="173"/>
      <c r="W98" s="38"/>
    </row>
    <row r="99" spans="1:23" s="19" customFormat="1" x14ac:dyDescent="0.2">
      <c r="A99" s="120">
        <v>41044</v>
      </c>
      <c r="B99" s="56">
        <f t="shared" si="8"/>
        <v>15</v>
      </c>
      <c r="C99" s="56">
        <f t="shared" si="9"/>
        <v>3</v>
      </c>
      <c r="D99" s="56">
        <f t="shared" si="10"/>
        <v>5</v>
      </c>
      <c r="E99" s="56" t="str">
        <f t="shared" si="11"/>
        <v>53</v>
      </c>
      <c r="F99" s="66">
        <f ca="1">VLOOKUP(B99,Factors!$B:$I,6,0)</f>
        <v>1.0225400953619419</v>
      </c>
      <c r="G99" s="66">
        <f ca="1">VLOOKUP(E99,Factors!$E:$I,4,0)</f>
        <v>1.1427981919989803</v>
      </c>
      <c r="H99" s="66">
        <f ca="1">VLOOKUP(D99,Factors!D:I,6,0)</f>
        <v>0.90707399660667842</v>
      </c>
      <c r="I99" s="121">
        <v>301</v>
      </c>
      <c r="J99" s="122">
        <f t="shared" ca="1" si="12"/>
        <v>282.3776186282999</v>
      </c>
      <c r="K99" s="117">
        <f t="shared" ca="1" si="13"/>
        <v>-18.622381371700101</v>
      </c>
      <c r="L99" s="118">
        <f t="shared" ca="1" si="14"/>
        <v>346.79308795304291</v>
      </c>
      <c r="M99" s="119">
        <f t="shared" ca="1" si="15"/>
        <v>6.1868376650166451E-2</v>
      </c>
      <c r="N99" s="55"/>
      <c r="O99" s="55"/>
      <c r="P99" s="173"/>
      <c r="W99" s="38"/>
    </row>
    <row r="100" spans="1:23" s="19" customFormat="1" x14ac:dyDescent="0.2">
      <c r="A100" s="120">
        <v>41045</v>
      </c>
      <c r="B100" s="56">
        <f t="shared" si="8"/>
        <v>16</v>
      </c>
      <c r="C100" s="56">
        <f t="shared" si="9"/>
        <v>3</v>
      </c>
      <c r="D100" s="56">
        <f t="shared" si="10"/>
        <v>5</v>
      </c>
      <c r="E100" s="56" t="str">
        <f t="shared" si="11"/>
        <v>53</v>
      </c>
      <c r="F100" s="66">
        <f ca="1">VLOOKUP(B100,Factors!$B:$I,6,0)</f>
        <v>0.19534883720930232</v>
      </c>
      <c r="G100" s="66">
        <f ca="1">VLOOKUP(E100,Factors!$E:$I,4,0)</f>
        <v>1.1427981919989803</v>
      </c>
      <c r="H100" s="66">
        <f ca="1">VLOOKUP(D100,Factors!D:I,6,0)</f>
        <v>0.90707399660667842</v>
      </c>
      <c r="I100" s="121">
        <v>258</v>
      </c>
      <c r="J100" s="122">
        <f t="shared" ca="1" si="12"/>
        <v>60.562365447189563</v>
      </c>
      <c r="K100" s="117">
        <f t="shared" ca="1" si="13"/>
        <v>-197.43763455281044</v>
      </c>
      <c r="L100" s="118">
        <f t="shared" ca="1" si="14"/>
        <v>38981.619537809129</v>
      </c>
      <c r="M100" s="119">
        <f t="shared" ca="1" si="15"/>
        <v>0.76526214942949777</v>
      </c>
      <c r="N100" s="55"/>
      <c r="O100" s="55"/>
      <c r="P100" s="173"/>
      <c r="W100" s="38"/>
    </row>
    <row r="101" spans="1:23" s="19" customFormat="1" x14ac:dyDescent="0.2">
      <c r="A101" s="120">
        <v>41046</v>
      </c>
      <c r="B101" s="56">
        <f t="shared" si="8"/>
        <v>17</v>
      </c>
      <c r="C101" s="56">
        <f t="shared" si="9"/>
        <v>3</v>
      </c>
      <c r="D101" s="56">
        <f t="shared" si="10"/>
        <v>5</v>
      </c>
      <c r="E101" s="56" t="str">
        <f t="shared" si="11"/>
        <v>53</v>
      </c>
      <c r="F101" s="66">
        <f ca="1">VLOOKUP(B101,Factors!$B:$I,6,0)</f>
        <v>1.2809302325581395</v>
      </c>
      <c r="G101" s="66">
        <f ca="1">VLOOKUP(E101,Factors!$E:$I,4,0)</f>
        <v>1.1427981919989803</v>
      </c>
      <c r="H101" s="66">
        <f ca="1">VLOOKUP(D101,Factors!D:I,6,0)</f>
        <v>0.90707399660667842</v>
      </c>
      <c r="I101" s="121">
        <v>217</v>
      </c>
      <c r="J101" s="122">
        <f t="shared" ca="1" si="12"/>
        <v>346.93750907147535</v>
      </c>
      <c r="K101" s="117">
        <f t="shared" ca="1" si="13"/>
        <v>129.93750907147535</v>
      </c>
      <c r="L101" s="118">
        <f t="shared" ca="1" si="14"/>
        <v>16883.756263699739</v>
      </c>
      <c r="M101" s="119">
        <f t="shared" ca="1" si="15"/>
        <v>0.59879036438467903</v>
      </c>
      <c r="N101" s="55"/>
      <c r="O101" s="55"/>
      <c r="P101" s="173"/>
      <c r="W101" s="38"/>
    </row>
    <row r="102" spans="1:23" s="19" customFormat="1" x14ac:dyDescent="0.2">
      <c r="A102" s="120">
        <v>41047</v>
      </c>
      <c r="B102" s="56">
        <f t="shared" si="8"/>
        <v>18</v>
      </c>
      <c r="C102" s="56">
        <f t="shared" si="9"/>
        <v>3</v>
      </c>
      <c r="D102" s="56">
        <f t="shared" si="10"/>
        <v>5</v>
      </c>
      <c r="E102" s="56" t="str">
        <f t="shared" si="11"/>
        <v>53</v>
      </c>
      <c r="F102" s="66">
        <f ca="1">VLOOKUP(B102,Factors!$B:$I,6,0)</f>
        <v>1.2111627906976745</v>
      </c>
      <c r="G102" s="66">
        <f ca="1">VLOOKUP(E102,Factors!$E:$I,4,0)</f>
        <v>1.1427981919989803</v>
      </c>
      <c r="H102" s="66">
        <f ca="1">VLOOKUP(D102,Factors!D:I,6,0)</f>
        <v>0.90707399660667842</v>
      </c>
      <c r="I102" s="121">
        <v>174</v>
      </c>
      <c r="J102" s="122">
        <f t="shared" ca="1" si="12"/>
        <v>326.35657877069281</v>
      </c>
      <c r="K102" s="117">
        <f t="shared" ca="1" si="13"/>
        <v>152.35657877069281</v>
      </c>
      <c r="L102" s="118">
        <f t="shared" ca="1" si="14"/>
        <v>23212.527094710324</v>
      </c>
      <c r="M102" s="119">
        <f t="shared" ca="1" si="15"/>
        <v>0.87561252167064829</v>
      </c>
      <c r="N102" s="55"/>
      <c r="O102" s="55"/>
      <c r="P102" s="173"/>
      <c r="W102" s="38"/>
    </row>
    <row r="103" spans="1:23" s="19" customFormat="1" x14ac:dyDescent="0.2">
      <c r="A103" s="120">
        <v>41050</v>
      </c>
      <c r="B103" s="56">
        <f t="shared" si="8"/>
        <v>21</v>
      </c>
      <c r="C103" s="56">
        <f t="shared" si="9"/>
        <v>4</v>
      </c>
      <c r="D103" s="56">
        <f t="shared" si="10"/>
        <v>5</v>
      </c>
      <c r="E103" s="56" t="str">
        <f t="shared" si="11"/>
        <v>54</v>
      </c>
      <c r="F103" s="66">
        <f ca="1">VLOOKUP(B103,Factors!$B:$I,6,0)</f>
        <v>1.1772865192891202</v>
      </c>
      <c r="G103" s="66">
        <f ca="1">VLOOKUP(E103,Factors!$E:$I,4,0)</f>
        <v>1.1044921073509697</v>
      </c>
      <c r="H103" s="66">
        <f ca="1">VLOOKUP(D103,Factors!D:I,6,0)</f>
        <v>0.90707399660667842</v>
      </c>
      <c r="I103" s="121">
        <v>299</v>
      </c>
      <c r="J103" s="122">
        <f t="shared" ca="1" si="12"/>
        <v>324.7572328604241</v>
      </c>
      <c r="K103" s="117">
        <f t="shared" ca="1" si="13"/>
        <v>25.757232860424097</v>
      </c>
      <c r="L103" s="118">
        <f t="shared" ca="1" si="14"/>
        <v>663.43504462611088</v>
      </c>
      <c r="M103" s="119">
        <f t="shared" ca="1" si="15"/>
        <v>8.6144591506435109E-2</v>
      </c>
      <c r="N103" s="55"/>
      <c r="O103" s="55"/>
      <c r="P103" s="173"/>
      <c r="W103" s="38"/>
    </row>
    <row r="104" spans="1:23" s="19" customFormat="1" x14ac:dyDescent="0.2">
      <c r="A104" s="120">
        <v>41051</v>
      </c>
      <c r="B104" s="56">
        <f t="shared" si="8"/>
        <v>22</v>
      </c>
      <c r="C104" s="56">
        <f t="shared" si="9"/>
        <v>4</v>
      </c>
      <c r="D104" s="56">
        <f t="shared" si="10"/>
        <v>5</v>
      </c>
      <c r="E104" s="56" t="str">
        <f t="shared" si="11"/>
        <v>54</v>
      </c>
      <c r="F104" s="66">
        <f ca="1">VLOOKUP(B104,Factors!$B:$I,6,0)</f>
        <v>0.90420459471174686</v>
      </c>
      <c r="G104" s="66">
        <f ca="1">VLOOKUP(E104,Factors!$E:$I,4,0)</f>
        <v>1.1044921073509697</v>
      </c>
      <c r="H104" s="66">
        <f ca="1">VLOOKUP(D104,Factors!D:I,6,0)</f>
        <v>0.90707399660667842</v>
      </c>
      <c r="I104" s="121">
        <v>267</v>
      </c>
      <c r="J104" s="122">
        <f t="shared" ca="1" si="12"/>
        <v>250.15918376664249</v>
      </c>
      <c r="K104" s="117">
        <f t="shared" ca="1" si="13"/>
        <v>-16.840816233357515</v>
      </c>
      <c r="L104" s="118">
        <f t="shared" ca="1" si="14"/>
        <v>283.61309140571797</v>
      </c>
      <c r="M104" s="119">
        <f t="shared" ca="1" si="15"/>
        <v>6.3074218102462609E-2</v>
      </c>
      <c r="N104" s="55"/>
      <c r="O104" s="55"/>
      <c r="P104" s="173"/>
      <c r="W104" s="38"/>
    </row>
    <row r="105" spans="1:23" s="19" customFormat="1" x14ac:dyDescent="0.2">
      <c r="A105" s="120">
        <v>41052</v>
      </c>
      <c r="B105" s="56">
        <f t="shared" si="8"/>
        <v>23</v>
      </c>
      <c r="C105" s="56">
        <f t="shared" si="9"/>
        <v>4</v>
      </c>
      <c r="D105" s="56">
        <f t="shared" si="10"/>
        <v>5</v>
      </c>
      <c r="E105" s="56" t="str">
        <f t="shared" si="11"/>
        <v>54</v>
      </c>
      <c r="F105" s="66">
        <f ca="1">VLOOKUP(B105,Factors!$B:$I,6,0)</f>
        <v>1.0213953488372094</v>
      </c>
      <c r="G105" s="66">
        <f ca="1">VLOOKUP(E105,Factors!$E:$I,4,0)</f>
        <v>1.1044921073509697</v>
      </c>
      <c r="H105" s="66">
        <f ca="1">VLOOKUP(D105,Factors!D:I,6,0)</f>
        <v>0.90707399660667842</v>
      </c>
      <c r="I105" s="121">
        <v>245</v>
      </c>
      <c r="J105" s="122">
        <f t="shared" ca="1" si="12"/>
        <v>279.24979160197131</v>
      </c>
      <c r="K105" s="117">
        <f t="shared" ca="1" si="13"/>
        <v>34.24979160197131</v>
      </c>
      <c r="L105" s="118">
        <f t="shared" ca="1" si="14"/>
        <v>1173.0482247784646</v>
      </c>
      <c r="M105" s="119">
        <f t="shared" ca="1" si="15"/>
        <v>0.13979506776314821</v>
      </c>
      <c r="N105" s="55"/>
      <c r="O105" s="55"/>
      <c r="P105" s="173"/>
      <c r="W105" s="38"/>
    </row>
    <row r="106" spans="1:23" s="19" customFormat="1" x14ac:dyDescent="0.2">
      <c r="A106" s="120">
        <v>41053</v>
      </c>
      <c r="B106" s="56">
        <f t="shared" si="8"/>
        <v>24</v>
      </c>
      <c r="C106" s="56">
        <f t="shared" si="9"/>
        <v>4</v>
      </c>
      <c r="D106" s="56">
        <f t="shared" si="10"/>
        <v>5</v>
      </c>
      <c r="E106" s="56" t="str">
        <f t="shared" si="11"/>
        <v>54</v>
      </c>
      <c r="F106" s="66">
        <f ca="1">VLOOKUP(B106,Factors!$B:$I,6,0)</f>
        <v>1.1162790697674418</v>
      </c>
      <c r="G106" s="66">
        <f ca="1">VLOOKUP(E106,Factors!$E:$I,4,0)</f>
        <v>1.1044921073509697</v>
      </c>
      <c r="H106" s="66">
        <f ca="1">VLOOKUP(D106,Factors!D:I,6,0)</f>
        <v>0.90707399660667842</v>
      </c>
      <c r="I106" s="121">
        <v>234</v>
      </c>
      <c r="J106" s="122">
        <f t="shared" ca="1" si="12"/>
        <v>302.41380903447146</v>
      </c>
      <c r="K106" s="117">
        <f t="shared" ca="1" si="13"/>
        <v>68.413809034471456</v>
      </c>
      <c r="L106" s="118">
        <f t="shared" ca="1" si="14"/>
        <v>4680.4492666051283</v>
      </c>
      <c r="M106" s="119">
        <f t="shared" ca="1" si="15"/>
        <v>0.29236670527551906</v>
      </c>
      <c r="N106" s="55"/>
      <c r="O106" s="55"/>
      <c r="P106" s="173"/>
      <c r="W106" s="38"/>
    </row>
    <row r="107" spans="1:23" s="19" customFormat="1" x14ac:dyDescent="0.2">
      <c r="A107" s="120">
        <v>41054</v>
      </c>
      <c r="B107" s="56">
        <f t="shared" si="8"/>
        <v>25</v>
      </c>
      <c r="C107" s="56">
        <f t="shared" si="9"/>
        <v>4</v>
      </c>
      <c r="D107" s="56">
        <f t="shared" si="10"/>
        <v>5</v>
      </c>
      <c r="E107" s="56" t="str">
        <f t="shared" si="11"/>
        <v>54</v>
      </c>
      <c r="F107" s="66">
        <f ca="1">VLOOKUP(B107,Factors!$B:$I,6,0)</f>
        <v>0.9767441860465117</v>
      </c>
      <c r="G107" s="66">
        <f ca="1">VLOOKUP(E107,Factors!$E:$I,4,0)</f>
        <v>1.1044921073509697</v>
      </c>
      <c r="H107" s="66">
        <f ca="1">VLOOKUP(D107,Factors!D:I,6,0)</f>
        <v>0.90707399660667842</v>
      </c>
      <c r="I107" s="121">
        <v>166</v>
      </c>
      <c r="J107" s="122">
        <f t="shared" ca="1" si="12"/>
        <v>263.29688393145057</v>
      </c>
      <c r="K107" s="117">
        <f t="shared" ca="1" si="13"/>
        <v>97.296883931450566</v>
      </c>
      <c r="L107" s="118">
        <f t="shared" ca="1" si="14"/>
        <v>9466.6836227701624</v>
      </c>
      <c r="M107" s="119">
        <f t="shared" ca="1" si="15"/>
        <v>0.58612580681596727</v>
      </c>
      <c r="N107" s="55"/>
      <c r="O107" s="55"/>
      <c r="P107" s="173"/>
      <c r="W107" s="38"/>
    </row>
    <row r="108" spans="1:23" s="19" customFormat="1" x14ac:dyDescent="0.2">
      <c r="A108" s="120">
        <v>41058</v>
      </c>
      <c r="B108" s="56">
        <f t="shared" si="8"/>
        <v>29</v>
      </c>
      <c r="C108" s="56">
        <f t="shared" si="9"/>
        <v>5</v>
      </c>
      <c r="D108" s="56">
        <f t="shared" si="10"/>
        <v>5</v>
      </c>
      <c r="E108" s="56" t="str">
        <f t="shared" si="11"/>
        <v>55</v>
      </c>
      <c r="F108" s="66">
        <f ca="1">VLOOKUP(B108,Factors!$B:$I,6,0)</f>
        <v>0.99826614651061996</v>
      </c>
      <c r="G108" s="66">
        <f ca="1">VLOOKUP(E108,Factors!$E:$I,4,0)</f>
        <v>0.7123107645261002</v>
      </c>
      <c r="H108" s="66">
        <f ca="1">VLOOKUP(D108,Factors!D:I,6,0)</f>
        <v>0.90707399660667842</v>
      </c>
      <c r="I108" s="121">
        <v>271</v>
      </c>
      <c r="J108" s="122">
        <f t="shared" ca="1" si="12"/>
        <v>269.39017091525062</v>
      </c>
      <c r="K108" s="117">
        <f t="shared" ca="1" si="13"/>
        <v>-1.6098290847493786</v>
      </c>
      <c r="L108" s="118">
        <f t="shared" ca="1" si="14"/>
        <v>2.5915496821050219</v>
      </c>
      <c r="M108" s="119">
        <f t="shared" ca="1" si="15"/>
        <v>5.9403287260124671E-3</v>
      </c>
      <c r="N108" s="55"/>
      <c r="O108" s="55"/>
      <c r="P108" s="173"/>
      <c r="W108" s="38"/>
    </row>
    <row r="109" spans="1:23" s="19" customFormat="1" x14ac:dyDescent="0.2">
      <c r="A109" s="120">
        <v>41059</v>
      </c>
      <c r="B109" s="56">
        <f t="shared" si="8"/>
        <v>30</v>
      </c>
      <c r="C109" s="56">
        <f t="shared" si="9"/>
        <v>5</v>
      </c>
      <c r="D109" s="56">
        <f t="shared" si="10"/>
        <v>5</v>
      </c>
      <c r="E109" s="56" t="str">
        <f t="shared" si="11"/>
        <v>55</v>
      </c>
      <c r="F109" s="66">
        <f ca="1">VLOOKUP(B109,Factors!$B:$I,6,0)</f>
        <v>1.1162790697674418</v>
      </c>
      <c r="G109" s="66">
        <f ca="1">VLOOKUP(E109,Factors!$E:$I,4,0)</f>
        <v>0.7123107645261002</v>
      </c>
      <c r="H109" s="66">
        <f ca="1">VLOOKUP(D109,Factors!D:I,6,0)</f>
        <v>0.90707399660667842</v>
      </c>
      <c r="I109" s="121">
        <v>283</v>
      </c>
      <c r="J109" s="122">
        <f t="shared" ca="1" si="12"/>
        <v>298.69921477659739</v>
      </c>
      <c r="K109" s="117">
        <f t="shared" ca="1" si="13"/>
        <v>15.699214776597387</v>
      </c>
      <c r="L109" s="118">
        <f t="shared" ca="1" si="14"/>
        <v>246.46534460173373</v>
      </c>
      <c r="M109" s="119">
        <f t="shared" ca="1" si="15"/>
        <v>5.5474257161121511E-2</v>
      </c>
      <c r="N109" s="55"/>
      <c r="O109" s="55"/>
      <c r="P109" s="173"/>
      <c r="W109" s="38"/>
    </row>
    <row r="110" spans="1:23" s="19" customFormat="1" x14ac:dyDescent="0.2">
      <c r="A110" s="120">
        <v>41060</v>
      </c>
      <c r="B110" s="56">
        <f t="shared" si="8"/>
        <v>31</v>
      </c>
      <c r="C110" s="56">
        <f t="shared" si="9"/>
        <v>5</v>
      </c>
      <c r="D110" s="56">
        <f t="shared" si="10"/>
        <v>5</v>
      </c>
      <c r="E110" s="56" t="str">
        <f t="shared" si="11"/>
        <v>55</v>
      </c>
      <c r="F110" s="66">
        <f ca="1">VLOOKUP(B110,Factors!$B:$I,6,0)</f>
        <v>1.1218604651162791</v>
      </c>
      <c r="G110" s="66">
        <f ca="1">VLOOKUP(E110,Factors!$E:$I,4,0)</f>
        <v>0.7123107645261002</v>
      </c>
      <c r="H110" s="66">
        <f ca="1">VLOOKUP(D110,Factors!D:I,6,0)</f>
        <v>0.90707399660667842</v>
      </c>
      <c r="I110" s="121">
        <v>227</v>
      </c>
      <c r="J110" s="122">
        <f t="shared" ca="1" si="12"/>
        <v>298.13715886223241</v>
      </c>
      <c r="K110" s="117">
        <f t="shared" ca="1" si="13"/>
        <v>71.137158862232411</v>
      </c>
      <c r="L110" s="118">
        <f t="shared" ca="1" si="14"/>
        <v>5060.4953709904912</v>
      </c>
      <c r="M110" s="119">
        <f t="shared" ca="1" si="15"/>
        <v>0.31337955445917359</v>
      </c>
      <c r="N110" s="55"/>
      <c r="O110" s="55"/>
      <c r="P110" s="173"/>
      <c r="W110" s="38"/>
    </row>
    <row r="111" spans="1:23" s="19" customFormat="1" x14ac:dyDescent="0.2">
      <c r="A111" s="120">
        <v>41061</v>
      </c>
      <c r="B111" s="56">
        <f t="shared" si="8"/>
        <v>1</v>
      </c>
      <c r="C111" s="56">
        <f t="shared" si="9"/>
        <v>1</v>
      </c>
      <c r="D111" s="56">
        <f t="shared" si="10"/>
        <v>6</v>
      </c>
      <c r="E111" s="56" t="str">
        <f t="shared" si="11"/>
        <v>61</v>
      </c>
      <c r="F111" s="66">
        <f ca="1">VLOOKUP(B111,Factors!$B:$I,6,0)</f>
        <v>1.0923276983094929</v>
      </c>
      <c r="G111" s="66">
        <f ca="1">VLOOKUP(E111,Factors!$E:$I,4,0)</f>
        <v>0.21486341093363603</v>
      </c>
      <c r="H111" s="66">
        <f ca="1">VLOOKUP(D111,Factors!D:I,6,0)</f>
        <v>0.84320486806049499</v>
      </c>
      <c r="I111" s="121">
        <v>219</v>
      </c>
      <c r="J111" s="122">
        <f t="shared" ca="1" si="12"/>
        <v>270.93758148240931</v>
      </c>
      <c r="K111" s="117">
        <f t="shared" ca="1" si="13"/>
        <v>51.937581482409314</v>
      </c>
      <c r="L111" s="118">
        <f t="shared" ca="1" si="14"/>
        <v>2697.5123702419069</v>
      </c>
      <c r="M111" s="119">
        <f t="shared" ca="1" si="15"/>
        <v>0.2371579063123713</v>
      </c>
      <c r="N111" s="55"/>
      <c r="O111" s="55"/>
      <c r="P111" s="173"/>
      <c r="W111" s="38"/>
    </row>
    <row r="112" spans="1:23" s="19" customFormat="1" x14ac:dyDescent="0.2">
      <c r="A112" s="120">
        <v>41064</v>
      </c>
      <c r="B112" s="56">
        <f t="shared" si="8"/>
        <v>4</v>
      </c>
      <c r="C112" s="56">
        <f t="shared" si="9"/>
        <v>2</v>
      </c>
      <c r="D112" s="56">
        <f t="shared" si="10"/>
        <v>6</v>
      </c>
      <c r="E112" s="56" t="str">
        <f t="shared" si="11"/>
        <v>62</v>
      </c>
      <c r="F112" s="66">
        <f ca="1">VLOOKUP(B112,Factors!$B:$I,6,0)</f>
        <v>1.1051162790697675</v>
      </c>
      <c r="G112" s="66">
        <f ca="1">VLOOKUP(E112,Factors!$E:$I,4,0)</f>
        <v>1.2008804337112808</v>
      </c>
      <c r="H112" s="66">
        <f ca="1">VLOOKUP(D112,Factors!D:I,6,0)</f>
        <v>0.84320486806049499</v>
      </c>
      <c r="I112" s="121">
        <v>263</v>
      </c>
      <c r="J112" s="122">
        <f t="shared" ca="1" si="12"/>
        <v>296.15357354952772</v>
      </c>
      <c r="K112" s="117">
        <f t="shared" ca="1" si="13"/>
        <v>33.153573549527721</v>
      </c>
      <c r="L112" s="118">
        <f t="shared" ca="1" si="14"/>
        <v>1099.1594391039441</v>
      </c>
      <c r="M112" s="119">
        <f t="shared" ca="1" si="15"/>
        <v>0.12605921501721568</v>
      </c>
      <c r="N112" s="55"/>
      <c r="O112" s="55"/>
      <c r="P112" s="173"/>
      <c r="W112" s="38"/>
    </row>
    <row r="113" spans="1:23" s="19" customFormat="1" x14ac:dyDescent="0.2">
      <c r="A113" s="120">
        <v>41065</v>
      </c>
      <c r="B113" s="56">
        <f t="shared" si="8"/>
        <v>5</v>
      </c>
      <c r="C113" s="56">
        <f t="shared" si="9"/>
        <v>2</v>
      </c>
      <c r="D113" s="56">
        <f t="shared" si="10"/>
        <v>6</v>
      </c>
      <c r="E113" s="56" t="str">
        <f t="shared" si="11"/>
        <v>62</v>
      </c>
      <c r="F113" s="66">
        <f ca="1">VLOOKUP(B113,Factors!$B:$I,6,0)</f>
        <v>0.95441860465116279</v>
      </c>
      <c r="G113" s="66">
        <f ca="1">VLOOKUP(E113,Factors!$E:$I,4,0)</f>
        <v>1.2008804337112808</v>
      </c>
      <c r="H113" s="66">
        <f ca="1">VLOOKUP(D113,Factors!D:I,6,0)</f>
        <v>0.84320486806049499</v>
      </c>
      <c r="I113" s="121">
        <v>254</v>
      </c>
      <c r="J113" s="122">
        <f t="shared" ca="1" si="12"/>
        <v>254.07088927814863</v>
      </c>
      <c r="K113" s="117">
        <f t="shared" ca="1" si="13"/>
        <v>7.0889278148627E-2</v>
      </c>
      <c r="L113" s="118">
        <f t="shared" ca="1" si="14"/>
        <v>5.0252897564334051E-3</v>
      </c>
      <c r="M113" s="119">
        <f t="shared" ca="1" si="15"/>
        <v>2.7909164625443698E-4</v>
      </c>
      <c r="N113" s="55"/>
      <c r="O113" s="55"/>
      <c r="P113" s="173"/>
      <c r="W113" s="38"/>
    </row>
    <row r="114" spans="1:23" s="19" customFormat="1" x14ac:dyDescent="0.2">
      <c r="A114" s="120">
        <v>41066</v>
      </c>
      <c r="B114" s="56">
        <f t="shared" si="8"/>
        <v>6</v>
      </c>
      <c r="C114" s="56">
        <f t="shared" si="9"/>
        <v>2</v>
      </c>
      <c r="D114" s="56">
        <f t="shared" si="10"/>
        <v>6</v>
      </c>
      <c r="E114" s="56" t="str">
        <f t="shared" si="11"/>
        <v>62</v>
      </c>
      <c r="F114" s="66">
        <f ca="1">VLOOKUP(B114,Factors!$B:$I,6,0)</f>
        <v>0.97953488372093034</v>
      </c>
      <c r="G114" s="66">
        <f ca="1">VLOOKUP(E114,Factors!$E:$I,4,0)</f>
        <v>1.2008804337112808</v>
      </c>
      <c r="H114" s="66">
        <f ca="1">VLOOKUP(D114,Factors!D:I,6,0)</f>
        <v>0.84320486806049499</v>
      </c>
      <c r="I114" s="121">
        <v>254</v>
      </c>
      <c r="J114" s="122">
        <f t="shared" ca="1" si="12"/>
        <v>258.69891190841042</v>
      </c>
      <c r="K114" s="117">
        <f t="shared" ca="1" si="13"/>
        <v>4.6989119084104232</v>
      </c>
      <c r="L114" s="118">
        <f t="shared" ca="1" si="14"/>
        <v>22.079773123001285</v>
      </c>
      <c r="M114" s="119">
        <f t="shared" ca="1" si="15"/>
        <v>1.8499653182718203E-2</v>
      </c>
      <c r="N114" s="55"/>
      <c r="O114" s="55"/>
      <c r="P114" s="173"/>
      <c r="W114" s="38"/>
    </row>
    <row r="115" spans="1:23" s="19" customFormat="1" x14ac:dyDescent="0.2">
      <c r="A115" s="120">
        <v>41067</v>
      </c>
      <c r="B115" s="56">
        <f t="shared" si="8"/>
        <v>7</v>
      </c>
      <c r="C115" s="56">
        <f t="shared" si="9"/>
        <v>2</v>
      </c>
      <c r="D115" s="56">
        <f t="shared" si="10"/>
        <v>6</v>
      </c>
      <c r="E115" s="56" t="str">
        <f t="shared" si="11"/>
        <v>62</v>
      </c>
      <c r="F115" s="66">
        <f ca="1">VLOOKUP(B115,Factors!$B:$I,6,0)</f>
        <v>1.1772865192891202</v>
      </c>
      <c r="G115" s="66">
        <f ca="1">VLOOKUP(E115,Factors!$E:$I,4,0)</f>
        <v>1.2008804337112808</v>
      </c>
      <c r="H115" s="66">
        <f ca="1">VLOOKUP(D115,Factors!D:I,6,0)</f>
        <v>0.84320486806049499</v>
      </c>
      <c r="I115" s="121">
        <v>249</v>
      </c>
      <c r="J115" s="122">
        <f t="shared" ca="1" si="12"/>
        <v>309.19314355257393</v>
      </c>
      <c r="K115" s="117">
        <f t="shared" ca="1" si="13"/>
        <v>60.193143552573929</v>
      </c>
      <c r="L115" s="118">
        <f t="shared" ca="1" si="14"/>
        <v>3623.2145307407723</v>
      </c>
      <c r="M115" s="119">
        <f t="shared" ca="1" si="15"/>
        <v>0.24173953233965434</v>
      </c>
      <c r="N115" s="55"/>
      <c r="O115" s="55"/>
      <c r="P115" s="173"/>
      <c r="W115" s="38"/>
    </row>
    <row r="116" spans="1:23" s="19" customFormat="1" x14ac:dyDescent="0.2">
      <c r="A116" s="120">
        <v>41068</v>
      </c>
      <c r="B116" s="56">
        <f t="shared" si="8"/>
        <v>8</v>
      </c>
      <c r="C116" s="56">
        <f t="shared" si="9"/>
        <v>2</v>
      </c>
      <c r="D116" s="56">
        <f t="shared" si="10"/>
        <v>6</v>
      </c>
      <c r="E116" s="56" t="str">
        <f t="shared" si="11"/>
        <v>62</v>
      </c>
      <c r="F116" s="66">
        <f ca="1">VLOOKUP(B116,Factors!$B:$I,6,0)</f>
        <v>1.1469440832249675</v>
      </c>
      <c r="G116" s="66">
        <f ca="1">VLOOKUP(E116,Factors!$E:$I,4,0)</f>
        <v>1.2008804337112808</v>
      </c>
      <c r="H116" s="66">
        <f ca="1">VLOOKUP(D116,Factors!D:I,6,0)</f>
        <v>0.84320486806049499</v>
      </c>
      <c r="I116" s="121">
        <v>204</v>
      </c>
      <c r="J116" s="122">
        <f t="shared" ca="1" si="12"/>
        <v>299.08675098789234</v>
      </c>
      <c r="K116" s="117">
        <f t="shared" ca="1" si="13"/>
        <v>95.086750987892344</v>
      </c>
      <c r="L116" s="118">
        <f t="shared" ca="1" si="14"/>
        <v>9041.4902134334461</v>
      </c>
      <c r="M116" s="119">
        <f t="shared" ca="1" si="15"/>
        <v>0.46611152445045267</v>
      </c>
      <c r="N116" s="55"/>
      <c r="O116" s="55"/>
      <c r="P116" s="173"/>
      <c r="W116" s="38"/>
    </row>
    <row r="117" spans="1:23" s="19" customFormat="1" x14ac:dyDescent="0.2">
      <c r="A117" s="120">
        <v>41071</v>
      </c>
      <c r="B117" s="56">
        <f t="shared" si="8"/>
        <v>11</v>
      </c>
      <c r="C117" s="56">
        <f t="shared" si="9"/>
        <v>3</v>
      </c>
      <c r="D117" s="56">
        <f t="shared" si="10"/>
        <v>6</v>
      </c>
      <c r="E117" s="56" t="str">
        <f t="shared" si="11"/>
        <v>63</v>
      </c>
      <c r="F117" s="66">
        <f ca="1">VLOOKUP(B117,Factors!$B:$I,6,0)</f>
        <v>1.0827906976744186</v>
      </c>
      <c r="G117" s="66">
        <f ca="1">VLOOKUP(E117,Factors!$E:$I,4,0)</f>
        <v>1.1439759687151581</v>
      </c>
      <c r="H117" s="66">
        <f ca="1">VLOOKUP(D117,Factors!D:I,6,0)</f>
        <v>0.84320486806049499</v>
      </c>
      <c r="I117" s="121">
        <v>247</v>
      </c>
      <c r="J117" s="122">
        <f t="shared" ca="1" si="12"/>
        <v>289.1815315889595</v>
      </c>
      <c r="K117" s="117">
        <f t="shared" ca="1" si="13"/>
        <v>42.181531588959501</v>
      </c>
      <c r="L117" s="118">
        <f t="shared" ca="1" si="14"/>
        <v>1779.2816071903883</v>
      </c>
      <c r="M117" s="119">
        <f t="shared" ca="1" si="15"/>
        <v>0.17077543153424898</v>
      </c>
      <c r="N117" s="55"/>
      <c r="O117" s="55"/>
      <c r="P117" s="173"/>
      <c r="W117" s="38"/>
    </row>
    <row r="118" spans="1:23" s="19" customFormat="1" x14ac:dyDescent="0.2">
      <c r="A118" s="120">
        <v>41072</v>
      </c>
      <c r="B118" s="56">
        <f t="shared" si="8"/>
        <v>12</v>
      </c>
      <c r="C118" s="56">
        <f t="shared" si="9"/>
        <v>3</v>
      </c>
      <c r="D118" s="56">
        <f t="shared" si="10"/>
        <v>6</v>
      </c>
      <c r="E118" s="56" t="str">
        <f t="shared" si="11"/>
        <v>63</v>
      </c>
      <c r="F118" s="66">
        <f ca="1">VLOOKUP(B118,Factors!$B:$I,6,0)</f>
        <v>1.0297674418604652</v>
      </c>
      <c r="G118" s="66">
        <f ca="1">VLOOKUP(E118,Factors!$E:$I,4,0)</f>
        <v>1.1439759687151581</v>
      </c>
      <c r="H118" s="66">
        <f ca="1">VLOOKUP(D118,Factors!D:I,6,0)</f>
        <v>0.84320486806049499</v>
      </c>
      <c r="I118" s="121">
        <v>229</v>
      </c>
      <c r="J118" s="122">
        <f t="shared" ca="1" si="12"/>
        <v>273.04924004071427</v>
      </c>
      <c r="K118" s="117">
        <f t="shared" ca="1" si="13"/>
        <v>44.049240040714267</v>
      </c>
      <c r="L118" s="118">
        <f t="shared" ca="1" si="14"/>
        <v>1940.3355481644651</v>
      </c>
      <c r="M118" s="119">
        <f t="shared" ca="1" si="15"/>
        <v>0.19235476000311907</v>
      </c>
      <c r="N118" s="55"/>
      <c r="O118" s="55"/>
      <c r="P118" s="173"/>
      <c r="W118" s="38"/>
    </row>
    <row r="119" spans="1:23" s="19" customFormat="1" x14ac:dyDescent="0.2">
      <c r="A119" s="120">
        <v>41073</v>
      </c>
      <c r="B119" s="56">
        <f t="shared" si="8"/>
        <v>13</v>
      </c>
      <c r="C119" s="56">
        <f t="shared" si="9"/>
        <v>3</v>
      </c>
      <c r="D119" s="56">
        <f t="shared" si="10"/>
        <v>6</v>
      </c>
      <c r="E119" s="56" t="str">
        <f t="shared" si="11"/>
        <v>63</v>
      </c>
      <c r="F119" s="66">
        <f ca="1">VLOOKUP(B119,Factors!$B:$I,6,0)</f>
        <v>0.8567441860465117</v>
      </c>
      <c r="G119" s="66">
        <f ca="1">VLOOKUP(E119,Factors!$E:$I,4,0)</f>
        <v>1.1439759687151581</v>
      </c>
      <c r="H119" s="66">
        <f ca="1">VLOOKUP(D119,Factors!D:I,6,0)</f>
        <v>0.84320486806049499</v>
      </c>
      <c r="I119" s="121">
        <v>277</v>
      </c>
      <c r="J119" s="122">
        <f t="shared" ca="1" si="12"/>
        <v>225.03503743261888</v>
      </c>
      <c r="K119" s="117">
        <f t="shared" ca="1" si="13"/>
        <v>-51.964962567381122</v>
      </c>
      <c r="L119" s="118">
        <f t="shared" ca="1" si="14"/>
        <v>2700.357334629321</v>
      </c>
      <c r="M119" s="119">
        <f t="shared" ca="1" si="15"/>
        <v>0.18759914284253112</v>
      </c>
      <c r="N119" s="55"/>
      <c r="O119" s="55"/>
      <c r="P119" s="173"/>
      <c r="W119" s="38"/>
    </row>
    <row r="120" spans="1:23" s="19" customFormat="1" x14ac:dyDescent="0.2">
      <c r="A120" s="120">
        <v>41074</v>
      </c>
      <c r="B120" s="56">
        <f t="shared" si="8"/>
        <v>14</v>
      </c>
      <c r="C120" s="56">
        <f t="shared" si="9"/>
        <v>3</v>
      </c>
      <c r="D120" s="56">
        <f t="shared" si="10"/>
        <v>6</v>
      </c>
      <c r="E120" s="56" t="str">
        <f t="shared" si="11"/>
        <v>63</v>
      </c>
      <c r="F120" s="66">
        <f ca="1">VLOOKUP(B120,Factors!$B:$I,6,0)</f>
        <v>0.97702644126571314</v>
      </c>
      <c r="G120" s="66">
        <f ca="1">VLOOKUP(E120,Factors!$E:$I,4,0)</f>
        <v>1.1439759687151581</v>
      </c>
      <c r="H120" s="66">
        <f ca="1">VLOOKUP(D120,Factors!D:I,6,0)</f>
        <v>0.84320486806049499</v>
      </c>
      <c r="I120" s="121">
        <v>234</v>
      </c>
      <c r="J120" s="122">
        <f t="shared" ca="1" si="12"/>
        <v>254.9470032922145</v>
      </c>
      <c r="K120" s="117">
        <f t="shared" ca="1" si="13"/>
        <v>20.947003292214504</v>
      </c>
      <c r="L120" s="118">
        <f t="shared" ca="1" si="14"/>
        <v>438.77694692404526</v>
      </c>
      <c r="M120" s="119">
        <f t="shared" ca="1" si="15"/>
        <v>8.9517108086386771E-2</v>
      </c>
      <c r="N120" s="55"/>
      <c r="O120" s="55"/>
      <c r="P120" s="173"/>
      <c r="W120" s="38"/>
    </row>
    <row r="121" spans="1:23" s="19" customFormat="1" x14ac:dyDescent="0.2">
      <c r="A121" s="120">
        <v>41075</v>
      </c>
      <c r="B121" s="56">
        <f t="shared" si="8"/>
        <v>15</v>
      </c>
      <c r="C121" s="56">
        <f t="shared" si="9"/>
        <v>3</v>
      </c>
      <c r="D121" s="56">
        <f t="shared" si="10"/>
        <v>6</v>
      </c>
      <c r="E121" s="56" t="str">
        <f t="shared" si="11"/>
        <v>63</v>
      </c>
      <c r="F121" s="66">
        <f ca="1">VLOOKUP(B121,Factors!$B:$I,6,0)</f>
        <v>1.0225400953619419</v>
      </c>
      <c r="G121" s="66">
        <f ca="1">VLOOKUP(E121,Factors!$E:$I,4,0)</f>
        <v>1.1439759687151581</v>
      </c>
      <c r="H121" s="66">
        <f ca="1">VLOOKUP(D121,Factors!D:I,6,0)</f>
        <v>0.84320486806049499</v>
      </c>
      <c r="I121" s="121">
        <v>179</v>
      </c>
      <c r="J121" s="122">
        <f t="shared" ca="1" si="12"/>
        <v>264.99425339287666</v>
      </c>
      <c r="K121" s="117">
        <f t="shared" ca="1" si="13"/>
        <v>85.994253392876658</v>
      </c>
      <c r="L121" s="118">
        <f t="shared" ca="1" si="14"/>
        <v>7395.011616598279</v>
      </c>
      <c r="M121" s="119">
        <f t="shared" ca="1" si="15"/>
        <v>0.48041482342389197</v>
      </c>
      <c r="N121" s="55"/>
      <c r="O121" s="55"/>
      <c r="P121" s="173"/>
      <c r="W121" s="38"/>
    </row>
    <row r="122" spans="1:23" s="19" customFormat="1" x14ac:dyDescent="0.2">
      <c r="A122" s="120">
        <v>41078</v>
      </c>
      <c r="B122" s="56">
        <f t="shared" si="8"/>
        <v>18</v>
      </c>
      <c r="C122" s="56">
        <f t="shared" si="9"/>
        <v>4</v>
      </c>
      <c r="D122" s="56">
        <f t="shared" si="10"/>
        <v>6</v>
      </c>
      <c r="E122" s="56" t="str">
        <f t="shared" si="11"/>
        <v>64</v>
      </c>
      <c r="F122" s="66">
        <f ca="1">VLOOKUP(B122,Factors!$B:$I,6,0)</f>
        <v>1.2111627906976745</v>
      </c>
      <c r="G122" s="66">
        <f ca="1">VLOOKUP(E122,Factors!$E:$I,4,0)</f>
        <v>1.2283515547438919</v>
      </c>
      <c r="H122" s="66">
        <f ca="1">VLOOKUP(D122,Factors!D:I,6,0)</f>
        <v>0.84320486806049499</v>
      </c>
      <c r="I122" s="121">
        <v>256</v>
      </c>
      <c r="J122" s="122">
        <f t="shared" ca="1" si="12"/>
        <v>324.23574840976949</v>
      </c>
      <c r="K122" s="117">
        <f t="shared" ca="1" si="13"/>
        <v>68.235748409769485</v>
      </c>
      <c r="L122" s="118">
        <f t="shared" ca="1" si="14"/>
        <v>4656.1173610413589</v>
      </c>
      <c r="M122" s="119">
        <f t="shared" ca="1" si="15"/>
        <v>0.26654589222566205</v>
      </c>
      <c r="N122" s="55"/>
      <c r="O122" s="55"/>
      <c r="P122" s="173"/>
      <c r="W122" s="38"/>
    </row>
    <row r="123" spans="1:23" s="19" customFormat="1" x14ac:dyDescent="0.2">
      <c r="A123" s="120">
        <v>41079</v>
      </c>
      <c r="B123" s="56">
        <f t="shared" si="8"/>
        <v>19</v>
      </c>
      <c r="C123" s="56">
        <f t="shared" si="9"/>
        <v>4</v>
      </c>
      <c r="D123" s="56">
        <f t="shared" si="10"/>
        <v>6</v>
      </c>
      <c r="E123" s="56" t="str">
        <f t="shared" si="11"/>
        <v>64</v>
      </c>
      <c r="F123" s="66">
        <f ca="1">VLOOKUP(B123,Factors!$B:$I,6,0)</f>
        <v>0.99069767441860468</v>
      </c>
      <c r="G123" s="66">
        <f ca="1">VLOOKUP(E123,Factors!$E:$I,4,0)</f>
        <v>1.2283515547438919</v>
      </c>
      <c r="H123" s="66">
        <f ca="1">VLOOKUP(D123,Factors!D:I,6,0)</f>
        <v>0.84320486806049499</v>
      </c>
      <c r="I123" s="121">
        <v>290</v>
      </c>
      <c r="J123" s="122">
        <f t="shared" ca="1" si="12"/>
        <v>263.61706933615199</v>
      </c>
      <c r="K123" s="117">
        <f t="shared" ca="1" si="13"/>
        <v>-26.382930663848015</v>
      </c>
      <c r="L123" s="118">
        <f t="shared" ca="1" si="14"/>
        <v>696.05903041341185</v>
      </c>
      <c r="M123" s="119">
        <f t="shared" ca="1" si="15"/>
        <v>9.0975622978786252E-2</v>
      </c>
      <c r="N123" s="55"/>
      <c r="O123" s="55"/>
      <c r="P123" s="173"/>
      <c r="W123" s="38"/>
    </row>
    <row r="124" spans="1:23" s="19" customFormat="1" x14ac:dyDescent="0.2">
      <c r="A124" s="120">
        <v>41080</v>
      </c>
      <c r="B124" s="56">
        <f t="shared" si="8"/>
        <v>20</v>
      </c>
      <c r="C124" s="56">
        <f t="shared" si="9"/>
        <v>4</v>
      </c>
      <c r="D124" s="56">
        <f t="shared" si="10"/>
        <v>6</v>
      </c>
      <c r="E124" s="56" t="str">
        <f t="shared" si="11"/>
        <v>64</v>
      </c>
      <c r="F124" s="66">
        <f ca="1">VLOOKUP(B124,Factors!$B:$I,6,0)</f>
        <v>0.84837209302325589</v>
      </c>
      <c r="G124" s="66">
        <f ca="1">VLOOKUP(E124,Factors!$E:$I,4,0)</f>
        <v>1.2283515547438919</v>
      </c>
      <c r="H124" s="66">
        <f ca="1">VLOOKUP(D124,Factors!D:I,6,0)</f>
        <v>0.84320486806049499</v>
      </c>
      <c r="I124" s="121">
        <v>286</v>
      </c>
      <c r="J124" s="122">
        <f t="shared" ca="1" si="12"/>
        <v>223.75870444104152</v>
      </c>
      <c r="K124" s="117">
        <f t="shared" ca="1" si="13"/>
        <v>-62.241295558958484</v>
      </c>
      <c r="L124" s="118">
        <f t="shared" ca="1" si="14"/>
        <v>3873.978872857625</v>
      </c>
      <c r="M124" s="119">
        <f t="shared" ca="1" si="15"/>
        <v>0.2176269075488059</v>
      </c>
      <c r="N124" s="55"/>
      <c r="O124" s="55"/>
      <c r="P124" s="173"/>
      <c r="W124" s="38"/>
    </row>
    <row r="125" spans="1:23" s="19" customFormat="1" x14ac:dyDescent="0.2">
      <c r="A125" s="120">
        <v>41081</v>
      </c>
      <c r="B125" s="56">
        <f t="shared" si="8"/>
        <v>21</v>
      </c>
      <c r="C125" s="56">
        <f t="shared" si="9"/>
        <v>4</v>
      </c>
      <c r="D125" s="56">
        <f t="shared" si="10"/>
        <v>6</v>
      </c>
      <c r="E125" s="56" t="str">
        <f t="shared" si="11"/>
        <v>64</v>
      </c>
      <c r="F125" s="66">
        <f ca="1">VLOOKUP(B125,Factors!$B:$I,6,0)</f>
        <v>1.1772865192891202</v>
      </c>
      <c r="G125" s="66">
        <f ca="1">VLOOKUP(E125,Factors!$E:$I,4,0)</f>
        <v>1.2283515547438919</v>
      </c>
      <c r="H125" s="66">
        <f ca="1">VLOOKUP(D125,Factors!D:I,6,0)</f>
        <v>0.84320486806049499</v>
      </c>
      <c r="I125" s="121">
        <v>240</v>
      </c>
      <c r="J125" s="122">
        <f t="shared" ca="1" si="12"/>
        <v>309.10060631341332</v>
      </c>
      <c r="K125" s="117">
        <f t="shared" ca="1" si="13"/>
        <v>69.100606313413323</v>
      </c>
      <c r="L125" s="118">
        <f t="shared" ca="1" si="14"/>
        <v>4774.8937928813375</v>
      </c>
      <c r="M125" s="119">
        <f t="shared" ca="1" si="15"/>
        <v>0.28791919297255553</v>
      </c>
      <c r="N125" s="55"/>
      <c r="O125" s="55"/>
      <c r="P125" s="173"/>
      <c r="W125" s="38"/>
    </row>
    <row r="126" spans="1:23" s="19" customFormat="1" x14ac:dyDescent="0.2">
      <c r="A126" s="120">
        <v>41082</v>
      </c>
      <c r="B126" s="56">
        <f t="shared" si="8"/>
        <v>22</v>
      </c>
      <c r="C126" s="56">
        <f t="shared" si="9"/>
        <v>4</v>
      </c>
      <c r="D126" s="56">
        <f t="shared" si="10"/>
        <v>6</v>
      </c>
      <c r="E126" s="56" t="str">
        <f t="shared" si="11"/>
        <v>64</v>
      </c>
      <c r="F126" s="66">
        <f ca="1">VLOOKUP(B126,Factors!$B:$I,6,0)</f>
        <v>0.90420459471174686</v>
      </c>
      <c r="G126" s="66">
        <f ca="1">VLOOKUP(E126,Factors!$E:$I,4,0)</f>
        <v>1.2283515547438919</v>
      </c>
      <c r="H126" s="66">
        <f ca="1">VLOOKUP(D126,Factors!D:I,6,0)</f>
        <v>0.84320486806049499</v>
      </c>
      <c r="I126" s="121">
        <v>180</v>
      </c>
      <c r="J126" s="122">
        <f t="shared" ca="1" si="12"/>
        <v>234.50255721963168</v>
      </c>
      <c r="K126" s="117">
        <f t="shared" ca="1" si="13"/>
        <v>54.502557219631683</v>
      </c>
      <c r="L126" s="118">
        <f t="shared" ca="1" si="14"/>
        <v>2970.5287434792258</v>
      </c>
      <c r="M126" s="119">
        <f t="shared" ca="1" si="15"/>
        <v>0.30279198455350936</v>
      </c>
      <c r="N126" s="55"/>
      <c r="O126" s="55"/>
      <c r="P126" s="173"/>
      <c r="W126" s="38"/>
    </row>
    <row r="127" spans="1:23" s="19" customFormat="1" x14ac:dyDescent="0.2">
      <c r="A127" s="120">
        <v>41085</v>
      </c>
      <c r="B127" s="56">
        <f t="shared" si="8"/>
        <v>25</v>
      </c>
      <c r="C127" s="56">
        <f t="shared" si="9"/>
        <v>5</v>
      </c>
      <c r="D127" s="56">
        <f t="shared" si="10"/>
        <v>6</v>
      </c>
      <c r="E127" s="56" t="str">
        <f t="shared" si="11"/>
        <v>65</v>
      </c>
      <c r="F127" s="66">
        <f ca="1">VLOOKUP(B127,Factors!$B:$I,6,0)</f>
        <v>0.9767441860465117</v>
      </c>
      <c r="G127" s="66">
        <f ca="1">VLOOKUP(E127,Factors!$E:$I,4,0)</f>
        <v>1.2119286318960329</v>
      </c>
      <c r="H127" s="66">
        <f ca="1">VLOOKUP(D127,Factors!D:I,6,0)</f>
        <v>0.84320486806049499</v>
      </c>
      <c r="I127" s="121">
        <v>279</v>
      </c>
      <c r="J127" s="122">
        <f t="shared" ca="1" si="12"/>
        <v>261.48405803359555</v>
      </c>
      <c r="K127" s="117">
        <f t="shared" ca="1" si="13"/>
        <v>-17.515941966404455</v>
      </c>
      <c r="L127" s="118">
        <f t="shared" ca="1" si="14"/>
        <v>306.80822297044875</v>
      </c>
      <c r="M127" s="119">
        <f t="shared" ca="1" si="15"/>
        <v>6.2781154001449666E-2</v>
      </c>
      <c r="N127" s="55"/>
      <c r="O127" s="55"/>
      <c r="P127" s="173"/>
      <c r="W127" s="38"/>
    </row>
    <row r="128" spans="1:23" s="19" customFormat="1" x14ac:dyDescent="0.2">
      <c r="A128" s="120">
        <v>41086</v>
      </c>
      <c r="B128" s="56">
        <f t="shared" si="8"/>
        <v>26</v>
      </c>
      <c r="C128" s="56">
        <f t="shared" si="9"/>
        <v>5</v>
      </c>
      <c r="D128" s="56">
        <f t="shared" si="10"/>
        <v>6</v>
      </c>
      <c r="E128" s="56" t="str">
        <f t="shared" si="11"/>
        <v>65</v>
      </c>
      <c r="F128" s="66">
        <f ca="1">VLOOKUP(B128,Factors!$B:$I,6,0)</f>
        <v>0.91255813953488374</v>
      </c>
      <c r="G128" s="66">
        <f ca="1">VLOOKUP(E128,Factors!$E:$I,4,0)</f>
        <v>1.2119286318960329</v>
      </c>
      <c r="H128" s="66">
        <f ca="1">VLOOKUP(D128,Factors!D:I,6,0)</f>
        <v>0.84320486806049499</v>
      </c>
      <c r="I128" s="121">
        <v>279</v>
      </c>
      <c r="J128" s="122">
        <f t="shared" ca="1" si="12"/>
        <v>242.38600731699205</v>
      </c>
      <c r="K128" s="117">
        <f t="shared" ca="1" si="13"/>
        <v>-36.61399268300795</v>
      </c>
      <c r="L128" s="118">
        <f t="shared" ca="1" si="14"/>
        <v>1340.5844601913598</v>
      </c>
      <c r="M128" s="119">
        <f t="shared" ca="1" si="15"/>
        <v>0.1312329486846163</v>
      </c>
      <c r="N128" s="55"/>
      <c r="O128" s="55"/>
      <c r="P128" s="173"/>
      <c r="W128" s="38"/>
    </row>
    <row r="129" spans="1:23" s="19" customFormat="1" x14ac:dyDescent="0.2">
      <c r="A129" s="120">
        <v>41087</v>
      </c>
      <c r="B129" s="56">
        <f t="shared" si="8"/>
        <v>27</v>
      </c>
      <c r="C129" s="56">
        <f t="shared" si="9"/>
        <v>5</v>
      </c>
      <c r="D129" s="56">
        <f t="shared" si="10"/>
        <v>6</v>
      </c>
      <c r="E129" s="56" t="str">
        <f t="shared" si="11"/>
        <v>65</v>
      </c>
      <c r="F129" s="66">
        <f ca="1">VLOOKUP(B129,Factors!$B:$I,6,0)</f>
        <v>0.76744186046511631</v>
      </c>
      <c r="G129" s="66">
        <f ca="1">VLOOKUP(E129,Factors!$E:$I,4,0)</f>
        <v>1.2119286318960329</v>
      </c>
      <c r="H129" s="66">
        <f ca="1">VLOOKUP(D129,Factors!D:I,6,0)</f>
        <v>0.84320486806049499</v>
      </c>
      <c r="I129" s="121">
        <v>267</v>
      </c>
      <c r="J129" s="122">
        <f t="shared" ca="1" si="12"/>
        <v>201.78620262979203</v>
      </c>
      <c r="K129" s="117">
        <f t="shared" ca="1" si="13"/>
        <v>-65.213797370207971</v>
      </c>
      <c r="L129" s="118">
        <f t="shared" ca="1" si="14"/>
        <v>4252.8393674425442</v>
      </c>
      <c r="M129" s="119">
        <f t="shared" ca="1" si="15"/>
        <v>0.24424643209815719</v>
      </c>
      <c r="N129" s="55"/>
      <c r="O129" s="55"/>
      <c r="P129" s="173"/>
      <c r="W129" s="38"/>
    </row>
    <row r="130" spans="1:23" s="19" customFormat="1" x14ac:dyDescent="0.2">
      <c r="A130" s="120">
        <v>41088</v>
      </c>
      <c r="B130" s="56">
        <f t="shared" si="8"/>
        <v>28</v>
      </c>
      <c r="C130" s="56">
        <f t="shared" si="9"/>
        <v>5</v>
      </c>
      <c r="D130" s="56">
        <f t="shared" si="10"/>
        <v>6</v>
      </c>
      <c r="E130" s="56" t="str">
        <f t="shared" si="11"/>
        <v>65</v>
      </c>
      <c r="F130" s="66">
        <f ca="1">VLOOKUP(B130,Factors!$B:$I,6,0)</f>
        <v>1.1014304291287387</v>
      </c>
      <c r="G130" s="66">
        <f ca="1">VLOOKUP(E130,Factors!$E:$I,4,0)</f>
        <v>1.2119286318960329</v>
      </c>
      <c r="H130" s="66">
        <f ca="1">VLOOKUP(D130,Factors!D:I,6,0)</f>
        <v>0.84320486806049499</v>
      </c>
      <c r="I130" s="121">
        <v>243</v>
      </c>
      <c r="J130" s="122">
        <f t="shared" ca="1" si="12"/>
        <v>288.47621580741668</v>
      </c>
      <c r="K130" s="117">
        <f t="shared" ca="1" si="13"/>
        <v>45.476215807416679</v>
      </c>
      <c r="L130" s="118">
        <f t="shared" ca="1" si="14"/>
        <v>2068.0862041627347</v>
      </c>
      <c r="M130" s="119">
        <f t="shared" ca="1" si="15"/>
        <v>0.18714492101817565</v>
      </c>
      <c r="N130" s="55"/>
      <c r="O130" s="55"/>
      <c r="P130" s="173"/>
      <c r="W130" s="38"/>
    </row>
    <row r="131" spans="1:23" s="19" customFormat="1" x14ac:dyDescent="0.2">
      <c r="A131" s="120">
        <v>41089</v>
      </c>
      <c r="B131" s="56">
        <f t="shared" si="8"/>
        <v>29</v>
      </c>
      <c r="C131" s="56">
        <f t="shared" si="9"/>
        <v>5</v>
      </c>
      <c r="D131" s="56">
        <f t="shared" si="10"/>
        <v>6</v>
      </c>
      <c r="E131" s="56" t="str">
        <f t="shared" si="11"/>
        <v>65</v>
      </c>
      <c r="F131" s="66">
        <f ca="1">VLOOKUP(B131,Factors!$B:$I,6,0)</f>
        <v>0.99826614651061996</v>
      </c>
      <c r="G131" s="66">
        <f ca="1">VLOOKUP(E131,Factors!$E:$I,4,0)</f>
        <v>1.2119286318960329</v>
      </c>
      <c r="H131" s="66">
        <f ca="1">VLOOKUP(D131,Factors!D:I,6,0)</f>
        <v>0.84320486806049499</v>
      </c>
      <c r="I131" s="121">
        <v>167</v>
      </c>
      <c r="J131" s="122">
        <f t="shared" ca="1" si="12"/>
        <v>259.02232628400509</v>
      </c>
      <c r="K131" s="117">
        <f t="shared" ca="1" si="13"/>
        <v>92.022326284005089</v>
      </c>
      <c r="L131" s="118">
        <f t="shared" ca="1" si="14"/>
        <v>8468.1085347198932</v>
      </c>
      <c r="M131" s="119">
        <f t="shared" ca="1" si="15"/>
        <v>0.55103189391619811</v>
      </c>
      <c r="N131" s="55"/>
      <c r="O131" s="55"/>
      <c r="P131" s="173"/>
      <c r="W131" s="38"/>
    </row>
    <row r="132" spans="1:23" s="19" customFormat="1" x14ac:dyDescent="0.2">
      <c r="A132" s="120">
        <v>41092</v>
      </c>
      <c r="B132" s="56">
        <f t="shared" si="8"/>
        <v>2</v>
      </c>
      <c r="C132" s="56">
        <f t="shared" si="9"/>
        <v>2</v>
      </c>
      <c r="D132" s="56">
        <f t="shared" si="10"/>
        <v>7</v>
      </c>
      <c r="E132" s="56" t="str">
        <f t="shared" si="11"/>
        <v>72</v>
      </c>
      <c r="F132" s="66">
        <f ca="1">VLOOKUP(B132,Factors!$B:$I,6,0)</f>
        <v>1.0953619419159082</v>
      </c>
      <c r="G132" s="66">
        <f ca="1">VLOOKUP(E132,Factors!$E:$I,4,0)</f>
        <v>0.64119792666538689</v>
      </c>
      <c r="H132" s="66">
        <f ca="1">VLOOKUP(D132,Factors!D:I,6,0)</f>
        <v>0.8619023072462948</v>
      </c>
      <c r="I132" s="121">
        <v>278</v>
      </c>
      <c r="J132" s="122">
        <f t="shared" ca="1" si="12"/>
        <v>291.77600223225369</v>
      </c>
      <c r="K132" s="117">
        <f t="shared" ca="1" si="13"/>
        <v>13.776002232253688</v>
      </c>
      <c r="L132" s="118">
        <f t="shared" ca="1" si="14"/>
        <v>189.77823750305859</v>
      </c>
      <c r="M132" s="119">
        <f t="shared" ca="1" si="15"/>
        <v>4.9553964864221901E-2</v>
      </c>
      <c r="N132" s="55"/>
      <c r="O132" s="55"/>
      <c r="P132" s="173"/>
      <c r="W132" s="38"/>
    </row>
    <row r="133" spans="1:23" s="19" customFormat="1" x14ac:dyDescent="0.2">
      <c r="A133" s="120">
        <v>41093</v>
      </c>
      <c r="B133" s="56">
        <f t="shared" ref="B133:B196" si="16">DAY(A133)</f>
        <v>3</v>
      </c>
      <c r="C133" s="56">
        <f t="shared" ref="C133:C196" si="17">IF(ROUNDUP((DAY(A133)+WEEKDAY(DATE(YEAR(A133),MONTH(A133),0)))/7,0)=6,5,ROUNDUP((DAY(A133)+WEEKDAY(DATE(YEAR(A133),MONTH(A133),0)))/7,0))</f>
        <v>2</v>
      </c>
      <c r="D133" s="56">
        <f t="shared" ref="D133:D196" si="18">MONTH(A133)</f>
        <v>7</v>
      </c>
      <c r="E133" s="56" t="str">
        <f t="shared" ref="E133:E196" si="19">D133&amp;C133</f>
        <v>72</v>
      </c>
      <c r="F133" s="66">
        <f ca="1">VLOOKUP(B133,Factors!$B:$I,6,0)</f>
        <v>1.2613953488372094</v>
      </c>
      <c r="G133" s="66">
        <f ca="1">VLOOKUP(E133,Factors!$E:$I,4,0)</f>
        <v>0.64119792666538689</v>
      </c>
      <c r="H133" s="66">
        <f ca="1">VLOOKUP(D133,Factors!D:I,6,0)</f>
        <v>0.8619023072462948</v>
      </c>
      <c r="I133" s="121">
        <v>156</v>
      </c>
      <c r="J133" s="122">
        <f t="shared" ref="J133:J196" ca="1" si="20">$U$4+(B133*$U$5)+($U$6*C133)+($U$7*D133)+($U$8*F133)+($U$9*G133)+($U$10*H133)</f>
        <v>333.84325267061638</v>
      </c>
      <c r="K133" s="117">
        <f t="shared" ref="K133:K196" ca="1" si="21">J133-I133</f>
        <v>177.84325267061638</v>
      </c>
      <c r="L133" s="118">
        <f t="shared" ref="L133:L196" ca="1" si="22">(K133)^2</f>
        <v>31628.2225204647</v>
      </c>
      <c r="M133" s="119">
        <f t="shared" ref="M133:M196" ca="1" si="23">IF(ISERROR(ABS(K133)/I133),"",ABS(K133)/I133)</f>
        <v>1.1400208504526692</v>
      </c>
      <c r="N133" s="55"/>
      <c r="O133" s="55"/>
      <c r="P133" s="173"/>
      <c r="W133" s="38"/>
    </row>
    <row r="134" spans="1:23" s="19" customFormat="1" x14ac:dyDescent="0.2">
      <c r="A134" s="120">
        <v>41095</v>
      </c>
      <c r="B134" s="56">
        <f t="shared" si="16"/>
        <v>5</v>
      </c>
      <c r="C134" s="56">
        <f t="shared" si="17"/>
        <v>2</v>
      </c>
      <c r="D134" s="56">
        <f t="shared" si="18"/>
        <v>7</v>
      </c>
      <c r="E134" s="56" t="str">
        <f t="shared" si="19"/>
        <v>72</v>
      </c>
      <c r="F134" s="66">
        <f ca="1">VLOOKUP(B134,Factors!$B:$I,6,0)</f>
        <v>0.95441860465116279</v>
      </c>
      <c r="G134" s="66">
        <f ca="1">VLOOKUP(E134,Factors!$E:$I,4,0)</f>
        <v>0.64119792666538689</v>
      </c>
      <c r="H134" s="66">
        <f ca="1">VLOOKUP(D134,Factors!D:I,6,0)</f>
        <v>0.8619023072462948</v>
      </c>
      <c r="I134" s="121">
        <v>234</v>
      </c>
      <c r="J134" s="122">
        <f t="shared" ca="1" si="20"/>
        <v>248.19500454367918</v>
      </c>
      <c r="K134" s="117">
        <f t="shared" ca="1" si="21"/>
        <v>14.195004543679175</v>
      </c>
      <c r="L134" s="118">
        <f t="shared" ca="1" si="22"/>
        <v>201.49815399507244</v>
      </c>
      <c r="M134" s="119">
        <f t="shared" ca="1" si="23"/>
        <v>6.0662412579825534E-2</v>
      </c>
      <c r="N134" s="55"/>
      <c r="O134" s="55"/>
      <c r="P134" s="173"/>
      <c r="W134" s="38"/>
    </row>
    <row r="135" spans="1:23" s="19" customFormat="1" x14ac:dyDescent="0.2">
      <c r="A135" s="120">
        <v>41096</v>
      </c>
      <c r="B135" s="56">
        <f t="shared" si="16"/>
        <v>6</v>
      </c>
      <c r="C135" s="56">
        <f t="shared" si="17"/>
        <v>2</v>
      </c>
      <c r="D135" s="56">
        <f t="shared" si="18"/>
        <v>7</v>
      </c>
      <c r="E135" s="56" t="str">
        <f t="shared" si="19"/>
        <v>72</v>
      </c>
      <c r="F135" s="66">
        <f ca="1">VLOOKUP(B135,Factors!$B:$I,6,0)</f>
        <v>0.97953488372093034</v>
      </c>
      <c r="G135" s="66">
        <f ca="1">VLOOKUP(E135,Factors!$E:$I,4,0)</f>
        <v>0.64119792666538689</v>
      </c>
      <c r="H135" s="66">
        <f ca="1">VLOOKUP(D135,Factors!D:I,6,0)</f>
        <v>0.8619023072462948</v>
      </c>
      <c r="I135" s="121">
        <v>167</v>
      </c>
      <c r="J135" s="122">
        <f t="shared" ca="1" si="20"/>
        <v>252.82302717394094</v>
      </c>
      <c r="K135" s="117">
        <f t="shared" ca="1" si="21"/>
        <v>85.823027173940943</v>
      </c>
      <c r="L135" s="118">
        <f t="shared" ca="1" si="22"/>
        <v>7365.5919932990055</v>
      </c>
      <c r="M135" s="119">
        <f t="shared" ca="1" si="23"/>
        <v>0.51391034235892785</v>
      </c>
      <c r="N135" s="55"/>
      <c r="O135" s="55"/>
      <c r="P135" s="173"/>
      <c r="W135" s="38"/>
    </row>
    <row r="136" spans="1:23" s="19" customFormat="1" x14ac:dyDescent="0.2">
      <c r="A136" s="120">
        <v>41099</v>
      </c>
      <c r="B136" s="56">
        <f t="shared" si="16"/>
        <v>9</v>
      </c>
      <c r="C136" s="56">
        <f t="shared" si="17"/>
        <v>3</v>
      </c>
      <c r="D136" s="56">
        <f t="shared" si="18"/>
        <v>7</v>
      </c>
      <c r="E136" s="56" t="str">
        <f t="shared" si="19"/>
        <v>73</v>
      </c>
      <c r="F136" s="66">
        <f ca="1">VLOOKUP(B136,Factors!$B:$I,6,0)</f>
        <v>1.08</v>
      </c>
      <c r="G136" s="66">
        <f ca="1">VLOOKUP(E136,Factors!$E:$I,4,0)</f>
        <v>1.0174697638702246</v>
      </c>
      <c r="H136" s="66">
        <f ca="1">VLOOKUP(D136,Factors!D:I,6,0)</f>
        <v>0.8619023072462948</v>
      </c>
      <c r="I136" s="121">
        <v>292</v>
      </c>
      <c r="J136" s="122">
        <f t="shared" ca="1" si="20"/>
        <v>292.75101394068247</v>
      </c>
      <c r="K136" s="117">
        <f t="shared" ca="1" si="21"/>
        <v>0.75101394068246918</v>
      </c>
      <c r="L136" s="118">
        <f t="shared" ca="1" si="22"/>
        <v>0.56402193909941134</v>
      </c>
      <c r="M136" s="119">
        <f t="shared" ca="1" si="23"/>
        <v>2.5719655502824288E-3</v>
      </c>
      <c r="N136" s="55"/>
      <c r="O136" s="55"/>
      <c r="P136" s="173"/>
      <c r="W136" s="38"/>
    </row>
    <row r="137" spans="1:23" s="19" customFormat="1" x14ac:dyDescent="0.2">
      <c r="A137" s="120">
        <v>41100</v>
      </c>
      <c r="B137" s="56">
        <f t="shared" si="16"/>
        <v>10</v>
      </c>
      <c r="C137" s="56">
        <f t="shared" si="17"/>
        <v>3</v>
      </c>
      <c r="D137" s="56">
        <f t="shared" si="18"/>
        <v>7</v>
      </c>
      <c r="E137" s="56" t="str">
        <f t="shared" si="19"/>
        <v>73</v>
      </c>
      <c r="F137" s="66">
        <f ca="1">VLOOKUP(B137,Factors!$B:$I,6,0)</f>
        <v>1.0911627906976744</v>
      </c>
      <c r="G137" s="66">
        <f ca="1">VLOOKUP(E137,Factors!$E:$I,4,0)</f>
        <v>1.0174697638702246</v>
      </c>
      <c r="H137" s="66">
        <f ca="1">VLOOKUP(D137,Factors!D:I,6,0)</f>
        <v>0.8619023072462948</v>
      </c>
      <c r="I137" s="121">
        <v>298</v>
      </c>
      <c r="J137" s="122">
        <f t="shared" ca="1" si="20"/>
        <v>293.67183761049654</v>
      </c>
      <c r="K137" s="117">
        <f t="shared" ca="1" si="21"/>
        <v>-4.3281623895034613</v>
      </c>
      <c r="L137" s="118">
        <f t="shared" ca="1" si="22"/>
        <v>18.73298966991231</v>
      </c>
      <c r="M137" s="119">
        <f t="shared" ca="1" si="23"/>
        <v>1.4524034864105575E-2</v>
      </c>
      <c r="N137" s="55"/>
      <c r="O137" s="55"/>
      <c r="P137" s="173"/>
      <c r="W137" s="38"/>
    </row>
    <row r="138" spans="1:23" s="19" customFormat="1" x14ac:dyDescent="0.2">
      <c r="A138" s="120">
        <v>41101</v>
      </c>
      <c r="B138" s="56">
        <f t="shared" si="16"/>
        <v>11</v>
      </c>
      <c r="C138" s="56">
        <f t="shared" si="17"/>
        <v>3</v>
      </c>
      <c r="D138" s="56">
        <f t="shared" si="18"/>
        <v>7</v>
      </c>
      <c r="E138" s="56" t="str">
        <f t="shared" si="19"/>
        <v>73</v>
      </c>
      <c r="F138" s="66">
        <f ca="1">VLOOKUP(B138,Factors!$B:$I,6,0)</f>
        <v>1.0827906976744186</v>
      </c>
      <c r="G138" s="66">
        <f ca="1">VLOOKUP(E138,Factors!$E:$I,4,0)</f>
        <v>1.0174697638702246</v>
      </c>
      <c r="H138" s="66">
        <f ca="1">VLOOKUP(D138,Factors!D:I,6,0)</f>
        <v>0.8619023072462948</v>
      </c>
      <c r="I138" s="121">
        <v>278</v>
      </c>
      <c r="J138" s="122">
        <f t="shared" ca="1" si="20"/>
        <v>289.40258273568378</v>
      </c>
      <c r="K138" s="117">
        <f t="shared" ca="1" si="21"/>
        <v>11.402582735683779</v>
      </c>
      <c r="L138" s="118">
        <f t="shared" ca="1" si="22"/>
        <v>130.01889304411378</v>
      </c>
      <c r="M138" s="119">
        <f t="shared" ca="1" si="23"/>
        <v>4.1016484660733023E-2</v>
      </c>
      <c r="N138" s="55"/>
      <c r="O138" s="55"/>
      <c r="P138" s="173"/>
      <c r="W138" s="38"/>
    </row>
    <row r="139" spans="1:23" s="19" customFormat="1" x14ac:dyDescent="0.2">
      <c r="A139" s="120">
        <v>41102</v>
      </c>
      <c r="B139" s="56">
        <f t="shared" si="16"/>
        <v>12</v>
      </c>
      <c r="C139" s="56">
        <f t="shared" si="17"/>
        <v>3</v>
      </c>
      <c r="D139" s="56">
        <f t="shared" si="18"/>
        <v>7</v>
      </c>
      <c r="E139" s="56" t="str">
        <f t="shared" si="19"/>
        <v>73</v>
      </c>
      <c r="F139" s="66">
        <f ca="1">VLOOKUP(B139,Factors!$B:$I,6,0)</f>
        <v>1.0297674418604652</v>
      </c>
      <c r="G139" s="66">
        <f ca="1">VLOOKUP(E139,Factors!$E:$I,4,0)</f>
        <v>1.0174697638702246</v>
      </c>
      <c r="H139" s="66">
        <f ca="1">VLOOKUP(D139,Factors!D:I,6,0)</f>
        <v>0.8619023072462948</v>
      </c>
      <c r="I139" s="121">
        <v>266</v>
      </c>
      <c r="J139" s="122">
        <f t="shared" ca="1" si="20"/>
        <v>273.27029118743854</v>
      </c>
      <c r="K139" s="117">
        <f t="shared" ca="1" si="21"/>
        <v>7.270291187438545</v>
      </c>
      <c r="L139" s="118">
        <f t="shared" ca="1" si="22"/>
        <v>52.857133950146569</v>
      </c>
      <c r="M139" s="119">
        <f t="shared" ca="1" si="23"/>
        <v>2.7331921757287762E-2</v>
      </c>
      <c r="N139" s="55"/>
      <c r="O139" s="55"/>
      <c r="P139" s="173"/>
      <c r="W139" s="38"/>
    </row>
    <row r="140" spans="1:23" s="19" customFormat="1" x14ac:dyDescent="0.2">
      <c r="A140" s="120">
        <v>41103</v>
      </c>
      <c r="B140" s="56">
        <f t="shared" si="16"/>
        <v>13</v>
      </c>
      <c r="C140" s="56">
        <f t="shared" si="17"/>
        <v>3</v>
      </c>
      <c r="D140" s="56">
        <f t="shared" si="18"/>
        <v>7</v>
      </c>
      <c r="E140" s="56" t="str">
        <f t="shared" si="19"/>
        <v>73</v>
      </c>
      <c r="F140" s="66">
        <f ca="1">VLOOKUP(B140,Factors!$B:$I,6,0)</f>
        <v>0.8567441860465117</v>
      </c>
      <c r="G140" s="66">
        <f ca="1">VLOOKUP(E140,Factors!$E:$I,4,0)</f>
        <v>1.0174697638702246</v>
      </c>
      <c r="H140" s="66">
        <f ca="1">VLOOKUP(D140,Factors!D:I,6,0)</f>
        <v>0.8619023072462948</v>
      </c>
      <c r="I140" s="121">
        <v>191</v>
      </c>
      <c r="J140" s="122">
        <f t="shared" ca="1" si="20"/>
        <v>225.25608857934313</v>
      </c>
      <c r="K140" s="117">
        <f t="shared" ca="1" si="21"/>
        <v>34.256088579343128</v>
      </c>
      <c r="L140" s="118">
        <f t="shared" ca="1" si="22"/>
        <v>1173.4796047558027</v>
      </c>
      <c r="M140" s="119">
        <f t="shared" ca="1" si="23"/>
        <v>0.17935124910650851</v>
      </c>
      <c r="N140" s="55"/>
      <c r="O140" s="55"/>
      <c r="P140" s="173"/>
      <c r="W140" s="38"/>
    </row>
    <row r="141" spans="1:23" s="19" customFormat="1" x14ac:dyDescent="0.2">
      <c r="A141" s="120">
        <v>41106</v>
      </c>
      <c r="B141" s="56">
        <f t="shared" si="16"/>
        <v>16</v>
      </c>
      <c r="C141" s="56">
        <f t="shared" si="17"/>
        <v>4</v>
      </c>
      <c r="D141" s="56">
        <f t="shared" si="18"/>
        <v>7</v>
      </c>
      <c r="E141" s="56" t="str">
        <f t="shared" si="19"/>
        <v>74</v>
      </c>
      <c r="F141" s="66">
        <f ca="1">VLOOKUP(B141,Factors!$B:$I,6,0)</f>
        <v>0.19534883720930232</v>
      </c>
      <c r="G141" s="66">
        <f ca="1">VLOOKUP(E141,Factors!$E:$I,4,0)</f>
        <v>0.94912651180648877</v>
      </c>
      <c r="H141" s="66">
        <f ca="1">VLOOKUP(D141,Factors!D:I,6,0)</f>
        <v>0.8619023072462948</v>
      </c>
      <c r="I141" s="121">
        <v>278</v>
      </c>
      <c r="J141" s="122">
        <f t="shared" ca="1" si="20"/>
        <v>56.513075839718283</v>
      </c>
      <c r="K141" s="117">
        <f t="shared" ca="1" si="21"/>
        <v>-221.48692416028172</v>
      </c>
      <c r="L141" s="118">
        <f t="shared" ca="1" si="22"/>
        <v>49056.457573982385</v>
      </c>
      <c r="M141" s="119">
        <f t="shared" ca="1" si="23"/>
        <v>0.79671555453338749</v>
      </c>
      <c r="N141" s="55"/>
      <c r="O141" s="55"/>
      <c r="P141" s="173"/>
      <c r="W141" s="38"/>
    </row>
    <row r="142" spans="1:23" s="19" customFormat="1" x14ac:dyDescent="0.2">
      <c r="A142" s="120">
        <v>41107</v>
      </c>
      <c r="B142" s="56">
        <f t="shared" si="16"/>
        <v>17</v>
      </c>
      <c r="C142" s="56">
        <f t="shared" si="17"/>
        <v>4</v>
      </c>
      <c r="D142" s="56">
        <f t="shared" si="18"/>
        <v>7</v>
      </c>
      <c r="E142" s="56" t="str">
        <f t="shared" si="19"/>
        <v>74</v>
      </c>
      <c r="F142" s="66">
        <f ca="1">VLOOKUP(B142,Factors!$B:$I,6,0)</f>
        <v>1.2809302325581395</v>
      </c>
      <c r="G142" s="66">
        <f ca="1">VLOOKUP(E142,Factors!$E:$I,4,0)</f>
        <v>0.94912651180648877</v>
      </c>
      <c r="H142" s="66">
        <f ca="1">VLOOKUP(D142,Factors!D:I,6,0)</f>
        <v>0.8619023072462948</v>
      </c>
      <c r="I142" s="121">
        <v>301</v>
      </c>
      <c r="J142" s="122">
        <f t="shared" ca="1" si="20"/>
        <v>342.88821946400401</v>
      </c>
      <c r="K142" s="117">
        <f t="shared" ca="1" si="21"/>
        <v>41.88821946400401</v>
      </c>
      <c r="L142" s="118">
        <f t="shared" ca="1" si="22"/>
        <v>1754.6229298645644</v>
      </c>
      <c r="M142" s="119">
        <f t="shared" ca="1" si="23"/>
        <v>0.1391635198139668</v>
      </c>
      <c r="N142" s="55"/>
      <c r="O142" s="55"/>
      <c r="P142" s="173"/>
      <c r="W142" s="38"/>
    </row>
    <row r="143" spans="1:23" s="19" customFormat="1" x14ac:dyDescent="0.2">
      <c r="A143" s="120">
        <v>41108</v>
      </c>
      <c r="B143" s="56">
        <f t="shared" si="16"/>
        <v>18</v>
      </c>
      <c r="C143" s="56">
        <f t="shared" si="17"/>
        <v>4</v>
      </c>
      <c r="D143" s="56">
        <f t="shared" si="18"/>
        <v>7</v>
      </c>
      <c r="E143" s="56" t="str">
        <f t="shared" si="19"/>
        <v>74</v>
      </c>
      <c r="F143" s="66">
        <f ca="1">VLOOKUP(B143,Factors!$B:$I,6,0)</f>
        <v>1.2111627906976745</v>
      </c>
      <c r="G143" s="66">
        <f ca="1">VLOOKUP(E143,Factors!$E:$I,4,0)</f>
        <v>0.94912651180648877</v>
      </c>
      <c r="H143" s="66">
        <f ca="1">VLOOKUP(D143,Factors!D:I,6,0)</f>
        <v>0.8619023072462948</v>
      </c>
      <c r="I143" s="121">
        <v>255</v>
      </c>
      <c r="J143" s="122">
        <f t="shared" ca="1" si="20"/>
        <v>322.30728916322153</v>
      </c>
      <c r="K143" s="117">
        <f t="shared" ca="1" si="21"/>
        <v>67.307289163221526</v>
      </c>
      <c r="L143" s="118">
        <f t="shared" ca="1" si="22"/>
        <v>4530.2711745015176</v>
      </c>
      <c r="M143" s="119">
        <f t="shared" ca="1" si="23"/>
        <v>0.26395015358126089</v>
      </c>
      <c r="N143" s="55"/>
      <c r="O143" s="55"/>
      <c r="P143" s="173"/>
      <c r="W143" s="38"/>
    </row>
    <row r="144" spans="1:23" s="19" customFormat="1" x14ac:dyDescent="0.2">
      <c r="A144" s="120">
        <v>41109</v>
      </c>
      <c r="B144" s="56">
        <f t="shared" si="16"/>
        <v>19</v>
      </c>
      <c r="C144" s="56">
        <f t="shared" si="17"/>
        <v>4</v>
      </c>
      <c r="D144" s="56">
        <f t="shared" si="18"/>
        <v>7</v>
      </c>
      <c r="E144" s="56" t="str">
        <f t="shared" si="19"/>
        <v>74</v>
      </c>
      <c r="F144" s="66">
        <f ca="1">VLOOKUP(B144,Factors!$B:$I,6,0)</f>
        <v>0.99069767441860468</v>
      </c>
      <c r="G144" s="66">
        <f ca="1">VLOOKUP(E144,Factors!$E:$I,4,0)</f>
        <v>0.94912651180648877</v>
      </c>
      <c r="H144" s="66">
        <f ca="1">VLOOKUP(D144,Factors!D:I,6,0)</f>
        <v>0.8619023072462948</v>
      </c>
      <c r="I144" s="121">
        <v>238</v>
      </c>
      <c r="J144" s="122">
        <f t="shared" ca="1" si="20"/>
        <v>261.68861008960403</v>
      </c>
      <c r="K144" s="117">
        <f t="shared" ca="1" si="21"/>
        <v>23.688610089604026</v>
      </c>
      <c r="L144" s="118">
        <f t="shared" ca="1" si="22"/>
        <v>561.15024797728972</v>
      </c>
      <c r="M144" s="119">
        <f t="shared" ca="1" si="23"/>
        <v>9.9531975166403469E-2</v>
      </c>
      <c r="N144" s="55"/>
      <c r="O144" s="55"/>
      <c r="P144" s="173"/>
      <c r="W144" s="38"/>
    </row>
    <row r="145" spans="1:23" s="19" customFormat="1" x14ac:dyDescent="0.2">
      <c r="A145" s="120">
        <v>41110</v>
      </c>
      <c r="B145" s="56">
        <f t="shared" si="16"/>
        <v>20</v>
      </c>
      <c r="C145" s="56">
        <f t="shared" si="17"/>
        <v>4</v>
      </c>
      <c r="D145" s="56">
        <f t="shared" si="18"/>
        <v>7</v>
      </c>
      <c r="E145" s="56" t="str">
        <f t="shared" si="19"/>
        <v>74</v>
      </c>
      <c r="F145" s="66">
        <f ca="1">VLOOKUP(B145,Factors!$B:$I,6,0)</f>
        <v>0.84837209302325589</v>
      </c>
      <c r="G145" s="66">
        <f ca="1">VLOOKUP(E145,Factors!$E:$I,4,0)</f>
        <v>0.94912651180648877</v>
      </c>
      <c r="H145" s="66">
        <f ca="1">VLOOKUP(D145,Factors!D:I,6,0)</f>
        <v>0.8619023072462948</v>
      </c>
      <c r="I145" s="121">
        <v>164</v>
      </c>
      <c r="J145" s="122">
        <f t="shared" ca="1" si="20"/>
        <v>221.83024519449356</v>
      </c>
      <c r="K145" s="117">
        <f t="shared" ca="1" si="21"/>
        <v>57.830245194493557</v>
      </c>
      <c r="L145" s="118">
        <f t="shared" ca="1" si="22"/>
        <v>3344.337259255245</v>
      </c>
      <c r="M145" s="119">
        <f t="shared" ca="1" si="23"/>
        <v>0.35262344630788756</v>
      </c>
      <c r="N145" s="55"/>
      <c r="O145" s="55"/>
      <c r="P145" s="173"/>
      <c r="W145" s="38"/>
    </row>
    <row r="146" spans="1:23" s="19" customFormat="1" x14ac:dyDescent="0.2">
      <c r="A146" s="120">
        <v>41113</v>
      </c>
      <c r="B146" s="56">
        <f t="shared" si="16"/>
        <v>23</v>
      </c>
      <c r="C146" s="56">
        <f t="shared" si="17"/>
        <v>5</v>
      </c>
      <c r="D146" s="56">
        <f t="shared" si="18"/>
        <v>7</v>
      </c>
      <c r="E146" s="56" t="str">
        <f t="shared" si="19"/>
        <v>75</v>
      </c>
      <c r="F146" s="66">
        <f ca="1">VLOOKUP(B146,Factors!$B:$I,6,0)</f>
        <v>1.0213953488372094</v>
      </c>
      <c r="G146" s="66">
        <f ca="1">VLOOKUP(E146,Factors!$E:$I,4,0)</f>
        <v>1.3922057976578999</v>
      </c>
      <c r="H146" s="66">
        <f ca="1">VLOOKUP(D146,Factors!D:I,6,0)</f>
        <v>0.8619023072462948</v>
      </c>
      <c r="I146" s="121">
        <v>286</v>
      </c>
      <c r="J146" s="122">
        <f t="shared" ca="1" si="20"/>
        <v>281.97597822246337</v>
      </c>
      <c r="K146" s="117">
        <f t="shared" ca="1" si="21"/>
        <v>-4.0240217775366318</v>
      </c>
      <c r="L146" s="118">
        <f t="shared" ca="1" si="22"/>
        <v>16.192751266089076</v>
      </c>
      <c r="M146" s="119">
        <f t="shared" ca="1" si="23"/>
        <v>1.4070006215163048E-2</v>
      </c>
      <c r="N146" s="55"/>
      <c r="O146" s="55"/>
      <c r="P146" s="173"/>
      <c r="W146" s="38"/>
    </row>
    <row r="147" spans="1:23" s="19" customFormat="1" x14ac:dyDescent="0.2">
      <c r="A147" s="120">
        <v>41114</v>
      </c>
      <c r="B147" s="56">
        <f t="shared" si="16"/>
        <v>24</v>
      </c>
      <c r="C147" s="56">
        <f t="shared" si="17"/>
        <v>5</v>
      </c>
      <c r="D147" s="56">
        <f t="shared" si="18"/>
        <v>7</v>
      </c>
      <c r="E147" s="56" t="str">
        <f t="shared" si="19"/>
        <v>75</v>
      </c>
      <c r="F147" s="66">
        <f ca="1">VLOOKUP(B147,Factors!$B:$I,6,0)</f>
        <v>1.1162790697674418</v>
      </c>
      <c r="G147" s="66">
        <f ca="1">VLOOKUP(E147,Factors!$E:$I,4,0)</f>
        <v>1.3922057976578999</v>
      </c>
      <c r="H147" s="66">
        <f ca="1">VLOOKUP(D147,Factors!D:I,6,0)</f>
        <v>0.8619023072462948</v>
      </c>
      <c r="I147" s="121">
        <v>257</v>
      </c>
      <c r="J147" s="122">
        <f t="shared" ca="1" si="20"/>
        <v>305.13999565496351</v>
      </c>
      <c r="K147" s="117">
        <f t="shared" ca="1" si="21"/>
        <v>48.139995654963514</v>
      </c>
      <c r="L147" s="118">
        <f t="shared" ca="1" si="22"/>
        <v>2317.4591816599059</v>
      </c>
      <c r="M147" s="119">
        <f t="shared" ca="1" si="23"/>
        <v>0.1873151581905195</v>
      </c>
      <c r="N147" s="55"/>
      <c r="O147" s="55"/>
      <c r="P147" s="173"/>
      <c r="W147" s="38"/>
    </row>
    <row r="148" spans="1:23" s="19" customFormat="1" x14ac:dyDescent="0.2">
      <c r="A148" s="120">
        <v>41115</v>
      </c>
      <c r="B148" s="56">
        <f t="shared" si="16"/>
        <v>25</v>
      </c>
      <c r="C148" s="56">
        <f t="shared" si="17"/>
        <v>5</v>
      </c>
      <c r="D148" s="56">
        <f t="shared" si="18"/>
        <v>7</v>
      </c>
      <c r="E148" s="56" t="str">
        <f t="shared" si="19"/>
        <v>75</v>
      </c>
      <c r="F148" s="66">
        <f ca="1">VLOOKUP(B148,Factors!$B:$I,6,0)</f>
        <v>0.9767441860465117</v>
      </c>
      <c r="G148" s="66">
        <f ca="1">VLOOKUP(E148,Factors!$E:$I,4,0)</f>
        <v>1.3922057976578999</v>
      </c>
      <c r="H148" s="66">
        <f ca="1">VLOOKUP(D148,Factors!D:I,6,0)</f>
        <v>0.8619023072462948</v>
      </c>
      <c r="I148" s="121">
        <v>252</v>
      </c>
      <c r="J148" s="122">
        <f t="shared" ca="1" si="20"/>
        <v>266.02307055194262</v>
      </c>
      <c r="K148" s="117">
        <f t="shared" ca="1" si="21"/>
        <v>14.023070551942624</v>
      </c>
      <c r="L148" s="118">
        <f t="shared" ca="1" si="22"/>
        <v>196.64650770476041</v>
      </c>
      <c r="M148" s="119">
        <f t="shared" ca="1" si="23"/>
        <v>5.5647105364851679E-2</v>
      </c>
      <c r="N148" s="55"/>
      <c r="O148" s="55"/>
      <c r="P148" s="173"/>
      <c r="W148" s="38"/>
    </row>
    <row r="149" spans="1:23" s="19" customFormat="1" x14ac:dyDescent="0.2">
      <c r="A149" s="120">
        <v>41116</v>
      </c>
      <c r="B149" s="56">
        <f t="shared" si="16"/>
        <v>26</v>
      </c>
      <c r="C149" s="56">
        <f t="shared" si="17"/>
        <v>5</v>
      </c>
      <c r="D149" s="56">
        <f t="shared" si="18"/>
        <v>7</v>
      </c>
      <c r="E149" s="56" t="str">
        <f t="shared" si="19"/>
        <v>75</v>
      </c>
      <c r="F149" s="66">
        <f ca="1">VLOOKUP(B149,Factors!$B:$I,6,0)</f>
        <v>0.91255813953488374</v>
      </c>
      <c r="G149" s="66">
        <f ca="1">VLOOKUP(E149,Factors!$E:$I,4,0)</f>
        <v>1.3922057976578999</v>
      </c>
      <c r="H149" s="66">
        <f ca="1">VLOOKUP(D149,Factors!D:I,6,0)</f>
        <v>0.8619023072462948</v>
      </c>
      <c r="I149" s="121">
        <v>236</v>
      </c>
      <c r="J149" s="122">
        <f t="shared" ca="1" si="20"/>
        <v>246.92501983533913</v>
      </c>
      <c r="K149" s="117">
        <f t="shared" ca="1" si="21"/>
        <v>10.925019835339128</v>
      </c>
      <c r="L149" s="118">
        <f t="shared" ca="1" si="22"/>
        <v>119.3560584025534</v>
      </c>
      <c r="M149" s="119">
        <f t="shared" ca="1" si="23"/>
        <v>4.6292456929403085E-2</v>
      </c>
      <c r="N149" s="55"/>
      <c r="O149" s="55"/>
      <c r="P149" s="173"/>
      <c r="W149" s="38"/>
    </row>
    <row r="150" spans="1:23" s="19" customFormat="1" x14ac:dyDescent="0.2">
      <c r="A150" s="120">
        <v>41117</v>
      </c>
      <c r="B150" s="56">
        <f t="shared" si="16"/>
        <v>27</v>
      </c>
      <c r="C150" s="56">
        <f t="shared" si="17"/>
        <v>5</v>
      </c>
      <c r="D150" s="56">
        <f t="shared" si="18"/>
        <v>7</v>
      </c>
      <c r="E150" s="56" t="str">
        <f t="shared" si="19"/>
        <v>75</v>
      </c>
      <c r="F150" s="66">
        <f ca="1">VLOOKUP(B150,Factors!$B:$I,6,0)</f>
        <v>0.76744186046511631</v>
      </c>
      <c r="G150" s="66">
        <f ca="1">VLOOKUP(E150,Factors!$E:$I,4,0)</f>
        <v>1.3922057976578999</v>
      </c>
      <c r="H150" s="66">
        <f ca="1">VLOOKUP(D150,Factors!D:I,6,0)</f>
        <v>0.8619023072462948</v>
      </c>
      <c r="I150" s="121">
        <v>195</v>
      </c>
      <c r="J150" s="122">
        <f t="shared" ca="1" si="20"/>
        <v>206.32521514813914</v>
      </c>
      <c r="K150" s="117">
        <f t="shared" ca="1" si="21"/>
        <v>11.325215148139137</v>
      </c>
      <c r="L150" s="118">
        <f t="shared" ca="1" si="22"/>
        <v>128.26049815164018</v>
      </c>
      <c r="M150" s="119">
        <f t="shared" ca="1" si="23"/>
        <v>5.8078026400713523E-2</v>
      </c>
      <c r="N150" s="55"/>
      <c r="O150" s="55"/>
      <c r="P150" s="173"/>
      <c r="W150" s="38"/>
    </row>
    <row r="151" spans="1:23" s="19" customFormat="1" x14ac:dyDescent="0.2">
      <c r="A151" s="120">
        <v>41120</v>
      </c>
      <c r="B151" s="56">
        <f t="shared" si="16"/>
        <v>30</v>
      </c>
      <c r="C151" s="56">
        <f t="shared" si="17"/>
        <v>5</v>
      </c>
      <c r="D151" s="56">
        <f t="shared" si="18"/>
        <v>7</v>
      </c>
      <c r="E151" s="56" t="str">
        <f t="shared" si="19"/>
        <v>75</v>
      </c>
      <c r="F151" s="66">
        <f ca="1">VLOOKUP(B151,Factors!$B:$I,6,0)</f>
        <v>1.1162790697674418</v>
      </c>
      <c r="G151" s="66">
        <f ca="1">VLOOKUP(E151,Factors!$E:$I,4,0)</f>
        <v>1.3922057976578999</v>
      </c>
      <c r="H151" s="66">
        <f ca="1">VLOOKUP(D151,Factors!D:I,6,0)</f>
        <v>0.8619023072462948</v>
      </c>
      <c r="I151" s="121">
        <v>285</v>
      </c>
      <c r="J151" s="122">
        <f t="shared" ca="1" si="20"/>
        <v>292.87038266369893</v>
      </c>
      <c r="K151" s="117">
        <f t="shared" ca="1" si="21"/>
        <v>7.8703826636989334</v>
      </c>
      <c r="L151" s="118">
        <f t="shared" ca="1" si="22"/>
        <v>61.94292327305272</v>
      </c>
      <c r="M151" s="119">
        <f t="shared" ca="1" si="23"/>
        <v>2.7615377767364679E-2</v>
      </c>
      <c r="N151" s="55"/>
      <c r="O151" s="55"/>
      <c r="P151" s="173"/>
      <c r="W151" s="38"/>
    </row>
    <row r="152" spans="1:23" s="19" customFormat="1" x14ac:dyDescent="0.2">
      <c r="A152" s="120">
        <v>41121</v>
      </c>
      <c r="B152" s="56">
        <f t="shared" si="16"/>
        <v>31</v>
      </c>
      <c r="C152" s="56">
        <f t="shared" si="17"/>
        <v>5</v>
      </c>
      <c r="D152" s="56">
        <f t="shared" si="18"/>
        <v>7</v>
      </c>
      <c r="E152" s="56" t="str">
        <f t="shared" si="19"/>
        <v>75</v>
      </c>
      <c r="F152" s="66">
        <f ca="1">VLOOKUP(B152,Factors!$B:$I,6,0)</f>
        <v>1.1218604651162791</v>
      </c>
      <c r="G152" s="66">
        <f ca="1">VLOOKUP(E152,Factors!$E:$I,4,0)</f>
        <v>1.3922057976578999</v>
      </c>
      <c r="H152" s="66">
        <f ca="1">VLOOKUP(D152,Factors!D:I,6,0)</f>
        <v>0.8619023072462948</v>
      </c>
      <c r="I152" s="121">
        <v>302</v>
      </c>
      <c r="J152" s="122">
        <f t="shared" ca="1" si="20"/>
        <v>292.30832674933396</v>
      </c>
      <c r="K152" s="117">
        <f t="shared" ca="1" si="21"/>
        <v>-9.6916732506660423</v>
      </c>
      <c r="L152" s="118">
        <f t="shared" ca="1" si="22"/>
        <v>93.928530397675686</v>
      </c>
      <c r="M152" s="119">
        <f t="shared" ca="1" si="23"/>
        <v>3.2091633280351133E-2</v>
      </c>
      <c r="N152" s="55"/>
      <c r="O152" s="55"/>
      <c r="P152" s="173"/>
      <c r="W152" s="38"/>
    </row>
    <row r="153" spans="1:23" s="19" customFormat="1" x14ac:dyDescent="0.2">
      <c r="A153" s="120">
        <v>41122</v>
      </c>
      <c r="B153" s="56">
        <f t="shared" si="16"/>
        <v>1</v>
      </c>
      <c r="C153" s="56">
        <f t="shared" si="17"/>
        <v>1</v>
      </c>
      <c r="D153" s="56">
        <f t="shared" si="18"/>
        <v>8</v>
      </c>
      <c r="E153" s="56" t="str">
        <f t="shared" si="19"/>
        <v>81</v>
      </c>
      <c r="F153" s="66">
        <f ca="1">VLOOKUP(B153,Factors!$B:$I,6,0)</f>
        <v>1.0923276983094929</v>
      </c>
      <c r="G153" s="66">
        <f ca="1">VLOOKUP(E153,Factors!$E:$I,4,0)</f>
        <v>0.54325877817429991</v>
      </c>
      <c r="H153" s="66">
        <f ca="1">VLOOKUP(D153,Factors!D:I,6,0)</f>
        <v>1.0187622395307039</v>
      </c>
      <c r="I153" s="121">
        <v>238</v>
      </c>
      <c r="J153" s="122">
        <f t="shared" ca="1" si="20"/>
        <v>312.02851084355331</v>
      </c>
      <c r="K153" s="117">
        <f t="shared" ca="1" si="21"/>
        <v>74.028510843553306</v>
      </c>
      <c r="L153" s="118">
        <f t="shared" ca="1" si="22"/>
        <v>5480.2204177140893</v>
      </c>
      <c r="M153" s="119">
        <f t="shared" ca="1" si="23"/>
        <v>0.31104416320820716</v>
      </c>
      <c r="N153" s="55"/>
      <c r="O153" s="55"/>
      <c r="P153" s="173"/>
      <c r="W153" s="38"/>
    </row>
    <row r="154" spans="1:23" s="19" customFormat="1" x14ac:dyDescent="0.2">
      <c r="A154" s="120">
        <v>41123</v>
      </c>
      <c r="B154" s="56">
        <f t="shared" si="16"/>
        <v>2</v>
      </c>
      <c r="C154" s="56">
        <f t="shared" si="17"/>
        <v>1</v>
      </c>
      <c r="D154" s="56">
        <f t="shared" si="18"/>
        <v>8</v>
      </c>
      <c r="E154" s="56" t="str">
        <f t="shared" si="19"/>
        <v>81</v>
      </c>
      <c r="F154" s="66">
        <f ca="1">VLOOKUP(B154,Factors!$B:$I,6,0)</f>
        <v>1.0953619419159082</v>
      </c>
      <c r="G154" s="66">
        <f ca="1">VLOOKUP(E154,Factors!$E:$I,4,0)</f>
        <v>0.54325877817429991</v>
      </c>
      <c r="H154" s="66">
        <f ca="1">VLOOKUP(D154,Factors!D:I,6,0)</f>
        <v>1.0187622395307039</v>
      </c>
      <c r="I154" s="121">
        <v>245</v>
      </c>
      <c r="J154" s="122">
        <f t="shared" ca="1" si="20"/>
        <v>310.78972105162296</v>
      </c>
      <c r="K154" s="117">
        <f t="shared" ca="1" si="21"/>
        <v>65.789721051622962</v>
      </c>
      <c r="L154" s="118">
        <f t="shared" ca="1" si="22"/>
        <v>4328.2873960503612</v>
      </c>
      <c r="M154" s="119">
        <f t="shared" ca="1" si="23"/>
        <v>0.26852947368009372</v>
      </c>
      <c r="N154" s="55"/>
      <c r="O154" s="55"/>
      <c r="P154" s="173"/>
      <c r="W154" s="38"/>
    </row>
    <row r="155" spans="1:23" s="19" customFormat="1" x14ac:dyDescent="0.2">
      <c r="A155" s="120">
        <v>41124</v>
      </c>
      <c r="B155" s="56">
        <f t="shared" si="16"/>
        <v>3</v>
      </c>
      <c r="C155" s="56">
        <f t="shared" si="17"/>
        <v>1</v>
      </c>
      <c r="D155" s="56">
        <f t="shared" si="18"/>
        <v>8</v>
      </c>
      <c r="E155" s="56" t="str">
        <f t="shared" si="19"/>
        <v>81</v>
      </c>
      <c r="F155" s="66">
        <f ca="1">VLOOKUP(B155,Factors!$B:$I,6,0)</f>
        <v>1.2613953488372094</v>
      </c>
      <c r="G155" s="66">
        <f ca="1">VLOOKUP(E155,Factors!$E:$I,4,0)</f>
        <v>0.54325877817429991</v>
      </c>
      <c r="H155" s="66">
        <f ca="1">VLOOKUP(D155,Factors!D:I,6,0)</f>
        <v>1.0187622395307039</v>
      </c>
      <c r="I155" s="121">
        <v>186</v>
      </c>
      <c r="J155" s="122">
        <f t="shared" ca="1" si="20"/>
        <v>352.85697148998565</v>
      </c>
      <c r="K155" s="117">
        <f t="shared" ca="1" si="21"/>
        <v>166.85697148998565</v>
      </c>
      <c r="L155" s="118">
        <f t="shared" ca="1" si="22"/>
        <v>27841.248934809886</v>
      </c>
      <c r="M155" s="119">
        <f t="shared" ca="1" si="23"/>
        <v>0.89708049188164329</v>
      </c>
      <c r="N155" s="55"/>
      <c r="O155" s="55"/>
      <c r="P155" s="173"/>
      <c r="W155" s="38"/>
    </row>
    <row r="156" spans="1:23" s="19" customFormat="1" x14ac:dyDescent="0.2">
      <c r="A156" s="120">
        <v>41127</v>
      </c>
      <c r="B156" s="56">
        <f t="shared" si="16"/>
        <v>6</v>
      </c>
      <c r="C156" s="56">
        <f t="shared" si="17"/>
        <v>2</v>
      </c>
      <c r="D156" s="56">
        <f t="shared" si="18"/>
        <v>8</v>
      </c>
      <c r="E156" s="56" t="str">
        <f t="shared" si="19"/>
        <v>82</v>
      </c>
      <c r="F156" s="66">
        <f ca="1">VLOOKUP(B156,Factors!$B:$I,6,0)</f>
        <v>0.97953488372093034</v>
      </c>
      <c r="G156" s="66">
        <f ca="1">VLOOKUP(E156,Factors!$E:$I,4,0)</f>
        <v>1.0150575077995141</v>
      </c>
      <c r="H156" s="66">
        <f ca="1">VLOOKUP(D156,Factors!D:I,6,0)</f>
        <v>1.0187622395307039</v>
      </c>
      <c r="I156" s="121">
        <v>291</v>
      </c>
      <c r="J156" s="122">
        <f t="shared" ca="1" si="20"/>
        <v>292.5522432145417</v>
      </c>
      <c r="K156" s="117">
        <f t="shared" ca="1" si="21"/>
        <v>1.5522432145417042</v>
      </c>
      <c r="L156" s="118">
        <f t="shared" ca="1" si="22"/>
        <v>2.4094589970907632</v>
      </c>
      <c r="M156" s="119">
        <f t="shared" ca="1" si="23"/>
        <v>5.3341691221364404E-3</v>
      </c>
      <c r="N156" s="55"/>
      <c r="O156" s="55"/>
      <c r="P156" s="173"/>
      <c r="W156" s="38"/>
    </row>
    <row r="157" spans="1:23" s="19" customFormat="1" x14ac:dyDescent="0.2">
      <c r="A157" s="120">
        <v>41128</v>
      </c>
      <c r="B157" s="56">
        <f t="shared" si="16"/>
        <v>7</v>
      </c>
      <c r="C157" s="56">
        <f t="shared" si="17"/>
        <v>2</v>
      </c>
      <c r="D157" s="56">
        <f t="shared" si="18"/>
        <v>8</v>
      </c>
      <c r="E157" s="56" t="str">
        <f t="shared" si="19"/>
        <v>82</v>
      </c>
      <c r="F157" s="66">
        <f ca="1">VLOOKUP(B157,Factors!$B:$I,6,0)</f>
        <v>1.1772865192891202</v>
      </c>
      <c r="G157" s="66">
        <f ca="1">VLOOKUP(E157,Factors!$E:$I,4,0)</f>
        <v>1.0150575077995141</v>
      </c>
      <c r="H157" s="66">
        <f ca="1">VLOOKUP(D157,Factors!D:I,6,0)</f>
        <v>1.0187622395307039</v>
      </c>
      <c r="I157" s="121">
        <v>236</v>
      </c>
      <c r="J157" s="122">
        <f t="shared" ca="1" si="20"/>
        <v>343.04647485870521</v>
      </c>
      <c r="K157" s="117">
        <f t="shared" ca="1" si="21"/>
        <v>107.04647485870521</v>
      </c>
      <c r="L157" s="118">
        <f t="shared" ca="1" si="22"/>
        <v>11458.947779675407</v>
      </c>
      <c r="M157" s="119">
        <f t="shared" ca="1" si="23"/>
        <v>0.45358675787586955</v>
      </c>
      <c r="N157" s="55"/>
      <c r="O157" s="55"/>
      <c r="P157" s="173"/>
      <c r="W157" s="38"/>
    </row>
    <row r="158" spans="1:23" s="19" customFormat="1" x14ac:dyDescent="0.2">
      <c r="A158" s="120">
        <v>41129</v>
      </c>
      <c r="B158" s="56">
        <f t="shared" si="16"/>
        <v>8</v>
      </c>
      <c r="C158" s="56">
        <f t="shared" si="17"/>
        <v>2</v>
      </c>
      <c r="D158" s="56">
        <f t="shared" si="18"/>
        <v>8</v>
      </c>
      <c r="E158" s="56" t="str">
        <f t="shared" si="19"/>
        <v>82</v>
      </c>
      <c r="F158" s="66">
        <f ca="1">VLOOKUP(B158,Factors!$B:$I,6,0)</f>
        <v>1.1469440832249675</v>
      </c>
      <c r="G158" s="66">
        <f ca="1">VLOOKUP(E158,Factors!$E:$I,4,0)</f>
        <v>1.0150575077995141</v>
      </c>
      <c r="H158" s="66">
        <f ca="1">VLOOKUP(D158,Factors!D:I,6,0)</f>
        <v>1.0187622395307039</v>
      </c>
      <c r="I158" s="121">
        <v>273</v>
      </c>
      <c r="J158" s="122">
        <f t="shared" ca="1" si="20"/>
        <v>332.94008229402363</v>
      </c>
      <c r="K158" s="117">
        <f t="shared" ca="1" si="21"/>
        <v>59.940082294023625</v>
      </c>
      <c r="L158" s="118">
        <f t="shared" ca="1" si="22"/>
        <v>3592.8134654143246</v>
      </c>
      <c r="M158" s="119">
        <f t="shared" ca="1" si="23"/>
        <v>0.21956074100374953</v>
      </c>
      <c r="N158" s="55"/>
      <c r="O158" s="55"/>
      <c r="P158" s="173"/>
      <c r="W158" s="38"/>
    </row>
    <row r="159" spans="1:23" s="19" customFormat="1" x14ac:dyDescent="0.2">
      <c r="A159" s="120">
        <v>41130</v>
      </c>
      <c r="B159" s="56">
        <f t="shared" si="16"/>
        <v>9</v>
      </c>
      <c r="C159" s="56">
        <f t="shared" si="17"/>
        <v>2</v>
      </c>
      <c r="D159" s="56">
        <f t="shared" si="18"/>
        <v>8</v>
      </c>
      <c r="E159" s="56" t="str">
        <f t="shared" si="19"/>
        <v>82</v>
      </c>
      <c r="F159" s="66">
        <f ca="1">VLOOKUP(B159,Factors!$B:$I,6,0)</f>
        <v>1.08</v>
      </c>
      <c r="G159" s="66">
        <f ca="1">VLOOKUP(E159,Factors!$E:$I,4,0)</f>
        <v>1.0150575077995141</v>
      </c>
      <c r="H159" s="66">
        <f ca="1">VLOOKUP(D159,Factors!D:I,6,0)</f>
        <v>1.0187622395307039</v>
      </c>
      <c r="I159" s="121">
        <v>262</v>
      </c>
      <c r="J159" s="122">
        <f t="shared" ca="1" si="20"/>
        <v>313.10926923413274</v>
      </c>
      <c r="K159" s="117">
        <f t="shared" ca="1" si="21"/>
        <v>51.109269234132739</v>
      </c>
      <c r="L159" s="118">
        <f t="shared" ca="1" si="22"/>
        <v>2612.1574016470672</v>
      </c>
      <c r="M159" s="119">
        <f t="shared" ca="1" si="23"/>
        <v>0.19507354669516314</v>
      </c>
      <c r="N159" s="55"/>
      <c r="O159" s="55"/>
      <c r="P159" s="173"/>
      <c r="W159" s="38"/>
    </row>
    <row r="160" spans="1:23" s="19" customFormat="1" x14ac:dyDescent="0.2">
      <c r="A160" s="120">
        <v>41131</v>
      </c>
      <c r="B160" s="56">
        <f t="shared" si="16"/>
        <v>10</v>
      </c>
      <c r="C160" s="56">
        <f t="shared" si="17"/>
        <v>2</v>
      </c>
      <c r="D160" s="56">
        <f t="shared" si="18"/>
        <v>8</v>
      </c>
      <c r="E160" s="56" t="str">
        <f t="shared" si="19"/>
        <v>82</v>
      </c>
      <c r="F160" s="66">
        <f ca="1">VLOOKUP(B160,Factors!$B:$I,6,0)</f>
        <v>1.0911627906976744</v>
      </c>
      <c r="G160" s="66">
        <f ca="1">VLOOKUP(E160,Factors!$E:$I,4,0)</f>
        <v>1.0150575077995141</v>
      </c>
      <c r="H160" s="66">
        <f ca="1">VLOOKUP(D160,Factors!D:I,6,0)</f>
        <v>1.0187622395307039</v>
      </c>
      <c r="I160" s="121">
        <v>188</v>
      </c>
      <c r="J160" s="122">
        <f t="shared" ca="1" si="20"/>
        <v>314.03009290394675</v>
      </c>
      <c r="K160" s="117">
        <f t="shared" ca="1" si="21"/>
        <v>126.03009290394675</v>
      </c>
      <c r="L160" s="118">
        <f t="shared" ca="1" si="22"/>
        <v>15883.58431737745</v>
      </c>
      <c r="M160" s="119">
        <f t="shared" ca="1" si="23"/>
        <v>0.67037283459546149</v>
      </c>
      <c r="N160" s="55"/>
      <c r="O160" s="55"/>
      <c r="P160" s="173"/>
      <c r="W160" s="38"/>
    </row>
    <row r="161" spans="1:23" s="19" customFormat="1" x14ac:dyDescent="0.2">
      <c r="A161" s="120">
        <v>41134</v>
      </c>
      <c r="B161" s="56">
        <f t="shared" si="16"/>
        <v>13</v>
      </c>
      <c r="C161" s="56">
        <f t="shared" si="17"/>
        <v>3</v>
      </c>
      <c r="D161" s="56">
        <f t="shared" si="18"/>
        <v>8</v>
      </c>
      <c r="E161" s="56" t="str">
        <f t="shared" si="19"/>
        <v>83</v>
      </c>
      <c r="F161" s="66">
        <f ca="1">VLOOKUP(B161,Factors!$B:$I,6,0)</f>
        <v>0.8567441860465117</v>
      </c>
      <c r="G161" s="66">
        <f ca="1">VLOOKUP(E161,Factors!$E:$I,4,0)</f>
        <v>1.0459152560366194</v>
      </c>
      <c r="H161" s="66">
        <f ca="1">VLOOKUP(D161,Factors!D:I,6,0)</f>
        <v>1.0187622395307039</v>
      </c>
      <c r="I161" s="121">
        <v>295</v>
      </c>
      <c r="J161" s="122">
        <f t="shared" ca="1" si="20"/>
        <v>260.12361772202996</v>
      </c>
      <c r="K161" s="117">
        <f t="shared" ca="1" si="21"/>
        <v>-34.876382277970038</v>
      </c>
      <c r="L161" s="118">
        <f t="shared" ca="1" si="22"/>
        <v>1216.3620407991025</v>
      </c>
      <c r="M161" s="119">
        <f t="shared" ca="1" si="23"/>
        <v>0.11822502467108488</v>
      </c>
      <c r="N161" s="55"/>
      <c r="O161" s="55"/>
      <c r="P161" s="173"/>
      <c r="W161" s="38"/>
    </row>
    <row r="162" spans="1:23" s="19" customFormat="1" x14ac:dyDescent="0.2">
      <c r="A162" s="120">
        <v>41135</v>
      </c>
      <c r="B162" s="56">
        <f t="shared" si="16"/>
        <v>14</v>
      </c>
      <c r="C162" s="56">
        <f t="shared" si="17"/>
        <v>3</v>
      </c>
      <c r="D162" s="56">
        <f t="shared" si="18"/>
        <v>8</v>
      </c>
      <c r="E162" s="56" t="str">
        <f t="shared" si="19"/>
        <v>83</v>
      </c>
      <c r="F162" s="66">
        <f ca="1">VLOOKUP(B162,Factors!$B:$I,6,0)</f>
        <v>0.97702644126571314</v>
      </c>
      <c r="G162" s="66">
        <f ca="1">VLOOKUP(E162,Factors!$E:$I,4,0)</f>
        <v>1.0459152560366194</v>
      </c>
      <c r="H162" s="66">
        <f ca="1">VLOOKUP(D162,Factors!D:I,6,0)</f>
        <v>1.0187622395307039</v>
      </c>
      <c r="I162" s="121">
        <v>296</v>
      </c>
      <c r="J162" s="122">
        <f t="shared" ca="1" si="20"/>
        <v>290.03558358162559</v>
      </c>
      <c r="K162" s="117">
        <f t="shared" ca="1" si="21"/>
        <v>-5.9644164183744124</v>
      </c>
      <c r="L162" s="118">
        <f t="shared" ca="1" si="22"/>
        <v>35.574263211774252</v>
      </c>
      <c r="M162" s="119">
        <f t="shared" ca="1" si="23"/>
        <v>2.0150055467481123E-2</v>
      </c>
      <c r="N162" s="55"/>
      <c r="O162" s="55"/>
      <c r="P162" s="173"/>
      <c r="W162" s="38"/>
    </row>
    <row r="163" spans="1:23" s="19" customFormat="1" x14ac:dyDescent="0.2">
      <c r="A163" s="120">
        <v>41136</v>
      </c>
      <c r="B163" s="56">
        <f t="shared" si="16"/>
        <v>15</v>
      </c>
      <c r="C163" s="56">
        <f t="shared" si="17"/>
        <v>3</v>
      </c>
      <c r="D163" s="56">
        <f t="shared" si="18"/>
        <v>8</v>
      </c>
      <c r="E163" s="56" t="str">
        <f t="shared" si="19"/>
        <v>83</v>
      </c>
      <c r="F163" s="66">
        <f ca="1">VLOOKUP(B163,Factors!$B:$I,6,0)</f>
        <v>1.0225400953619419</v>
      </c>
      <c r="G163" s="66">
        <f ca="1">VLOOKUP(E163,Factors!$E:$I,4,0)</f>
        <v>1.0459152560366194</v>
      </c>
      <c r="H163" s="66">
        <f ca="1">VLOOKUP(D163,Factors!D:I,6,0)</f>
        <v>1.0187622395307039</v>
      </c>
      <c r="I163" s="121">
        <v>250</v>
      </c>
      <c r="J163" s="122">
        <f t="shared" ca="1" si="20"/>
        <v>300.08283368228774</v>
      </c>
      <c r="K163" s="117">
        <f t="shared" ca="1" si="21"/>
        <v>50.082833682287742</v>
      </c>
      <c r="L163" s="118">
        <f t="shared" ca="1" si="22"/>
        <v>2508.2902296476955</v>
      </c>
      <c r="M163" s="119">
        <f t="shared" ca="1" si="23"/>
        <v>0.20033133472915096</v>
      </c>
      <c r="N163" s="55"/>
      <c r="O163" s="55"/>
      <c r="P163" s="173"/>
      <c r="W163" s="38"/>
    </row>
    <row r="164" spans="1:23" s="19" customFormat="1" x14ac:dyDescent="0.2">
      <c r="A164" s="120">
        <v>41137</v>
      </c>
      <c r="B164" s="56">
        <f t="shared" si="16"/>
        <v>16</v>
      </c>
      <c r="C164" s="56">
        <f t="shared" si="17"/>
        <v>3</v>
      </c>
      <c r="D164" s="56">
        <f t="shared" si="18"/>
        <v>8</v>
      </c>
      <c r="E164" s="56" t="str">
        <f t="shared" si="19"/>
        <v>83</v>
      </c>
      <c r="F164" s="66">
        <f ca="1">VLOOKUP(B164,Factors!$B:$I,6,0)</f>
        <v>0.19534883720930232</v>
      </c>
      <c r="G164" s="66">
        <f ca="1">VLOOKUP(E164,Factors!$E:$I,4,0)</f>
        <v>1.0459152560366194</v>
      </c>
      <c r="H164" s="66">
        <f ca="1">VLOOKUP(D164,Factors!D:I,6,0)</f>
        <v>1.0187622395307039</v>
      </c>
      <c r="I164" s="121">
        <v>237</v>
      </c>
      <c r="J164" s="122">
        <f t="shared" ca="1" si="20"/>
        <v>78.267580501177434</v>
      </c>
      <c r="K164" s="117">
        <f t="shared" ca="1" si="21"/>
        <v>-158.73241949882257</v>
      </c>
      <c r="L164" s="118">
        <f t="shared" ca="1" si="22"/>
        <v>25195.980999950185</v>
      </c>
      <c r="M164" s="119">
        <f t="shared" ca="1" si="23"/>
        <v>0.66975704429882943</v>
      </c>
      <c r="N164" s="55"/>
      <c r="O164" s="55"/>
      <c r="P164" s="173"/>
      <c r="W164" s="38"/>
    </row>
    <row r="165" spans="1:23" s="19" customFormat="1" x14ac:dyDescent="0.2">
      <c r="A165" s="120">
        <v>41138</v>
      </c>
      <c r="B165" s="56">
        <f t="shared" si="16"/>
        <v>17</v>
      </c>
      <c r="C165" s="56">
        <f t="shared" si="17"/>
        <v>3</v>
      </c>
      <c r="D165" s="56">
        <f t="shared" si="18"/>
        <v>8</v>
      </c>
      <c r="E165" s="56" t="str">
        <f t="shared" si="19"/>
        <v>83</v>
      </c>
      <c r="F165" s="66">
        <f ca="1">VLOOKUP(B165,Factors!$B:$I,6,0)</f>
        <v>1.2809302325581395</v>
      </c>
      <c r="G165" s="66">
        <f ca="1">VLOOKUP(E165,Factors!$E:$I,4,0)</f>
        <v>1.0459152560366194</v>
      </c>
      <c r="H165" s="66">
        <f ca="1">VLOOKUP(D165,Factors!D:I,6,0)</f>
        <v>1.0187622395307039</v>
      </c>
      <c r="I165" s="121">
        <v>210</v>
      </c>
      <c r="J165" s="122">
        <f t="shared" ca="1" si="20"/>
        <v>364.64272412546319</v>
      </c>
      <c r="K165" s="117">
        <f t="shared" ca="1" si="21"/>
        <v>154.64272412546319</v>
      </c>
      <c r="L165" s="118">
        <f t="shared" ca="1" si="22"/>
        <v>23914.372124944115</v>
      </c>
      <c r="M165" s="119">
        <f t="shared" ca="1" si="23"/>
        <v>0.7363939244069676</v>
      </c>
      <c r="N165" s="55"/>
      <c r="O165" s="55"/>
      <c r="P165" s="173"/>
      <c r="W165" s="38"/>
    </row>
    <row r="166" spans="1:23" s="19" customFormat="1" x14ac:dyDescent="0.2">
      <c r="A166" s="120">
        <v>41141</v>
      </c>
      <c r="B166" s="56">
        <f t="shared" si="16"/>
        <v>20</v>
      </c>
      <c r="C166" s="56">
        <f t="shared" si="17"/>
        <v>4</v>
      </c>
      <c r="D166" s="56">
        <f t="shared" si="18"/>
        <v>8</v>
      </c>
      <c r="E166" s="56" t="str">
        <f t="shared" si="19"/>
        <v>84</v>
      </c>
      <c r="F166" s="66">
        <f ca="1">VLOOKUP(B166,Factors!$B:$I,6,0)</f>
        <v>0.84837209302325589</v>
      </c>
      <c r="G166" s="66">
        <f ca="1">VLOOKUP(E166,Factors!$E:$I,4,0)</f>
        <v>1.1206234886106636</v>
      </c>
      <c r="H166" s="66">
        <f ca="1">VLOOKUP(D166,Factors!D:I,6,0)</f>
        <v>1.0187622395307039</v>
      </c>
      <c r="I166" s="121">
        <v>334</v>
      </c>
      <c r="J166" s="122">
        <f t="shared" ca="1" si="20"/>
        <v>258.71121718969704</v>
      </c>
      <c r="K166" s="117">
        <f t="shared" ca="1" si="21"/>
        <v>-75.288782810302962</v>
      </c>
      <c r="L166" s="118">
        <f t="shared" ca="1" si="22"/>
        <v>5668.4008170569705</v>
      </c>
      <c r="M166" s="119">
        <f t="shared" ca="1" si="23"/>
        <v>0.22541551739611665</v>
      </c>
      <c r="N166" s="55"/>
      <c r="O166" s="55"/>
      <c r="P166" s="173"/>
      <c r="W166" s="38"/>
    </row>
    <row r="167" spans="1:23" s="19" customFormat="1" x14ac:dyDescent="0.2">
      <c r="A167" s="120">
        <v>41142</v>
      </c>
      <c r="B167" s="56">
        <f t="shared" si="16"/>
        <v>21</v>
      </c>
      <c r="C167" s="56">
        <f t="shared" si="17"/>
        <v>4</v>
      </c>
      <c r="D167" s="56">
        <f t="shared" si="18"/>
        <v>8</v>
      </c>
      <c r="E167" s="56" t="str">
        <f t="shared" si="19"/>
        <v>84</v>
      </c>
      <c r="F167" s="66">
        <f ca="1">VLOOKUP(B167,Factors!$B:$I,6,0)</f>
        <v>1.1772865192891202</v>
      </c>
      <c r="G167" s="66">
        <f ca="1">VLOOKUP(E167,Factors!$E:$I,4,0)</f>
        <v>1.1206234886106636</v>
      </c>
      <c r="H167" s="66">
        <f ca="1">VLOOKUP(D167,Factors!D:I,6,0)</f>
        <v>1.0187622395307039</v>
      </c>
      <c r="I167" s="121">
        <v>271</v>
      </c>
      <c r="J167" s="122">
        <f t="shared" ca="1" si="20"/>
        <v>344.05311906206884</v>
      </c>
      <c r="K167" s="117">
        <f t="shared" ca="1" si="21"/>
        <v>73.053119062068845</v>
      </c>
      <c r="L167" s="118">
        <f t="shared" ca="1" si="22"/>
        <v>5336.7582046968064</v>
      </c>
      <c r="M167" s="119">
        <f t="shared" ca="1" si="23"/>
        <v>0.26956870502608432</v>
      </c>
      <c r="N167" s="55"/>
      <c r="O167" s="55"/>
      <c r="P167" s="173"/>
      <c r="W167" s="38"/>
    </row>
    <row r="168" spans="1:23" s="19" customFormat="1" x14ac:dyDescent="0.2">
      <c r="A168" s="120">
        <v>41143</v>
      </c>
      <c r="B168" s="56">
        <f t="shared" si="16"/>
        <v>22</v>
      </c>
      <c r="C168" s="56">
        <f t="shared" si="17"/>
        <v>4</v>
      </c>
      <c r="D168" s="56">
        <f t="shared" si="18"/>
        <v>8</v>
      </c>
      <c r="E168" s="56" t="str">
        <f t="shared" si="19"/>
        <v>84</v>
      </c>
      <c r="F168" s="66">
        <f ca="1">VLOOKUP(B168,Factors!$B:$I,6,0)</f>
        <v>0.90420459471174686</v>
      </c>
      <c r="G168" s="66">
        <f ca="1">VLOOKUP(E168,Factors!$E:$I,4,0)</f>
        <v>1.1206234886106636</v>
      </c>
      <c r="H168" s="66">
        <f ca="1">VLOOKUP(D168,Factors!D:I,6,0)</f>
        <v>1.0187622395307039</v>
      </c>
      <c r="I168" s="121">
        <v>299</v>
      </c>
      <c r="J168" s="122">
        <f t="shared" ca="1" si="20"/>
        <v>269.45506996828721</v>
      </c>
      <c r="K168" s="117">
        <f t="shared" ca="1" si="21"/>
        <v>-29.544930031712795</v>
      </c>
      <c r="L168" s="118">
        <f t="shared" ca="1" si="22"/>
        <v>872.90289057880466</v>
      </c>
      <c r="M168" s="119">
        <f t="shared" ca="1" si="23"/>
        <v>9.8812475022450816E-2</v>
      </c>
      <c r="N168" s="55"/>
      <c r="O168" s="55"/>
      <c r="P168" s="173"/>
      <c r="W168" s="38"/>
    </row>
    <row r="169" spans="1:23" s="19" customFormat="1" x14ac:dyDescent="0.2">
      <c r="A169" s="120">
        <v>41144</v>
      </c>
      <c r="B169" s="56">
        <f t="shared" si="16"/>
        <v>23</v>
      </c>
      <c r="C169" s="56">
        <f t="shared" si="17"/>
        <v>4</v>
      </c>
      <c r="D169" s="56">
        <f t="shared" si="18"/>
        <v>8</v>
      </c>
      <c r="E169" s="56" t="str">
        <f t="shared" si="19"/>
        <v>84</v>
      </c>
      <c r="F169" s="66">
        <f ca="1">VLOOKUP(B169,Factors!$B:$I,6,0)</f>
        <v>1.0213953488372094</v>
      </c>
      <c r="G169" s="66">
        <f ca="1">VLOOKUP(E169,Factors!$E:$I,4,0)</f>
        <v>1.1206234886106636</v>
      </c>
      <c r="H169" s="66">
        <f ca="1">VLOOKUP(D169,Factors!D:I,6,0)</f>
        <v>1.0187622395307039</v>
      </c>
      <c r="I169" s="121">
        <v>262</v>
      </c>
      <c r="J169" s="122">
        <f t="shared" ca="1" si="20"/>
        <v>298.54567780361606</v>
      </c>
      <c r="K169" s="117">
        <f t="shared" ca="1" si="21"/>
        <v>36.545677803616059</v>
      </c>
      <c r="L169" s="118">
        <f t="shared" ca="1" si="22"/>
        <v>1335.5865661257155</v>
      </c>
      <c r="M169" s="119">
        <f t="shared" ca="1" si="23"/>
        <v>0.13948731986113</v>
      </c>
      <c r="N169" s="55"/>
      <c r="O169" s="55"/>
      <c r="P169" s="173"/>
      <c r="W169" s="38"/>
    </row>
    <row r="170" spans="1:23" s="19" customFormat="1" x14ac:dyDescent="0.2">
      <c r="A170" s="120">
        <v>41145</v>
      </c>
      <c r="B170" s="56">
        <f t="shared" si="16"/>
        <v>24</v>
      </c>
      <c r="C170" s="56">
        <f t="shared" si="17"/>
        <v>4</v>
      </c>
      <c r="D170" s="56">
        <f t="shared" si="18"/>
        <v>8</v>
      </c>
      <c r="E170" s="56" t="str">
        <f t="shared" si="19"/>
        <v>84</v>
      </c>
      <c r="F170" s="66">
        <f ca="1">VLOOKUP(B170,Factors!$B:$I,6,0)</f>
        <v>1.1162790697674418</v>
      </c>
      <c r="G170" s="66">
        <f ca="1">VLOOKUP(E170,Factors!$E:$I,4,0)</f>
        <v>1.1206234886106636</v>
      </c>
      <c r="H170" s="66">
        <f ca="1">VLOOKUP(D170,Factors!D:I,6,0)</f>
        <v>1.0187622395307039</v>
      </c>
      <c r="I170" s="121">
        <v>214</v>
      </c>
      <c r="J170" s="122">
        <f t="shared" ca="1" si="20"/>
        <v>321.7096952361162</v>
      </c>
      <c r="K170" s="117">
        <f t="shared" ca="1" si="21"/>
        <v>107.7096952361162</v>
      </c>
      <c r="L170" s="118">
        <f t="shared" ca="1" si="22"/>
        <v>11601.378447857034</v>
      </c>
      <c r="M170" s="119">
        <f t="shared" ca="1" si="23"/>
        <v>0.50331633287904765</v>
      </c>
      <c r="N170" s="55"/>
      <c r="O170" s="55"/>
      <c r="P170" s="173"/>
      <c r="W170" s="38"/>
    </row>
    <row r="171" spans="1:23" s="19" customFormat="1" x14ac:dyDescent="0.2">
      <c r="A171" s="120">
        <v>41148</v>
      </c>
      <c r="B171" s="56">
        <f t="shared" si="16"/>
        <v>27</v>
      </c>
      <c r="C171" s="56">
        <f t="shared" si="17"/>
        <v>5</v>
      </c>
      <c r="D171" s="56">
        <f t="shared" si="18"/>
        <v>8</v>
      </c>
      <c r="E171" s="56" t="str">
        <f t="shared" si="19"/>
        <v>85</v>
      </c>
      <c r="F171" s="66">
        <f ca="1">VLOOKUP(B171,Factors!$B:$I,6,0)</f>
        <v>0.76744186046511631</v>
      </c>
      <c r="G171" s="66">
        <f ca="1">VLOOKUP(E171,Factors!$E:$I,4,0)</f>
        <v>1.275144969378903</v>
      </c>
      <c r="H171" s="66">
        <f ca="1">VLOOKUP(D171,Factors!D:I,6,0)</f>
        <v>1.0187622395307039</v>
      </c>
      <c r="I171" s="121">
        <v>347</v>
      </c>
      <c r="J171" s="122">
        <f t="shared" ca="1" si="20"/>
        <v>239.14474974090152</v>
      </c>
      <c r="K171" s="117">
        <f t="shared" ca="1" si="21"/>
        <v>-107.85525025909848</v>
      </c>
      <c r="L171" s="118">
        <f t="shared" ca="1" si="22"/>
        <v>11632.755008452763</v>
      </c>
      <c r="M171" s="119">
        <f t="shared" ca="1" si="23"/>
        <v>0.31082204685619158</v>
      </c>
      <c r="N171" s="55"/>
      <c r="O171" s="55"/>
      <c r="P171" s="173"/>
      <c r="W171" s="38"/>
    </row>
    <row r="172" spans="1:23" s="19" customFormat="1" x14ac:dyDescent="0.2">
      <c r="A172" s="120">
        <v>41149</v>
      </c>
      <c r="B172" s="56">
        <f t="shared" si="16"/>
        <v>28</v>
      </c>
      <c r="C172" s="56">
        <f t="shared" si="17"/>
        <v>5</v>
      </c>
      <c r="D172" s="56">
        <f t="shared" si="18"/>
        <v>8</v>
      </c>
      <c r="E172" s="56" t="str">
        <f t="shared" si="19"/>
        <v>85</v>
      </c>
      <c r="F172" s="66">
        <f ca="1">VLOOKUP(B172,Factors!$B:$I,6,0)</f>
        <v>1.1014304291287387</v>
      </c>
      <c r="G172" s="66">
        <f ca="1">VLOOKUP(E172,Factors!$E:$I,4,0)</f>
        <v>1.275144969378903</v>
      </c>
      <c r="H172" s="66">
        <f ca="1">VLOOKUP(D172,Factors!D:I,6,0)</f>
        <v>1.0187622395307039</v>
      </c>
      <c r="I172" s="121">
        <v>334</v>
      </c>
      <c r="J172" s="122">
        <f t="shared" ca="1" si="20"/>
        <v>325.83476291852617</v>
      </c>
      <c r="K172" s="117">
        <f t="shared" ca="1" si="21"/>
        <v>-8.1652370814738333</v>
      </c>
      <c r="L172" s="118">
        <f t="shared" ca="1" si="22"/>
        <v>66.671096596675326</v>
      </c>
      <c r="M172" s="119">
        <f t="shared" ca="1" si="23"/>
        <v>2.4446817609203093E-2</v>
      </c>
      <c r="N172" s="55"/>
      <c r="O172" s="55"/>
      <c r="P172" s="173"/>
      <c r="W172" s="38"/>
    </row>
    <row r="173" spans="1:23" s="19" customFormat="1" x14ac:dyDescent="0.2">
      <c r="A173" s="120">
        <v>41150</v>
      </c>
      <c r="B173" s="56">
        <f t="shared" si="16"/>
        <v>29</v>
      </c>
      <c r="C173" s="56">
        <f t="shared" si="17"/>
        <v>5</v>
      </c>
      <c r="D173" s="56">
        <f t="shared" si="18"/>
        <v>8</v>
      </c>
      <c r="E173" s="56" t="str">
        <f t="shared" si="19"/>
        <v>85</v>
      </c>
      <c r="F173" s="66">
        <f ca="1">VLOOKUP(B173,Factors!$B:$I,6,0)</f>
        <v>0.99826614651061996</v>
      </c>
      <c r="G173" s="66">
        <f ca="1">VLOOKUP(E173,Factors!$E:$I,4,0)</f>
        <v>1.275144969378903</v>
      </c>
      <c r="H173" s="66">
        <f ca="1">VLOOKUP(D173,Factors!D:I,6,0)</f>
        <v>1.0187622395307039</v>
      </c>
      <c r="I173" s="121">
        <v>316</v>
      </c>
      <c r="J173" s="122">
        <f t="shared" ca="1" si="20"/>
        <v>296.38087339511458</v>
      </c>
      <c r="K173" s="117">
        <f t="shared" ca="1" si="21"/>
        <v>-19.619126604885423</v>
      </c>
      <c r="L173" s="118">
        <f t="shared" ca="1" si="22"/>
        <v>384.91012873852304</v>
      </c>
      <c r="M173" s="119">
        <f t="shared" ca="1" si="23"/>
        <v>6.2085843686346273E-2</v>
      </c>
      <c r="N173" s="55"/>
      <c r="O173" s="55"/>
      <c r="P173" s="173"/>
      <c r="W173" s="38"/>
    </row>
    <row r="174" spans="1:23" s="19" customFormat="1" x14ac:dyDescent="0.2">
      <c r="A174" s="120">
        <v>41151</v>
      </c>
      <c r="B174" s="56">
        <f t="shared" si="16"/>
        <v>30</v>
      </c>
      <c r="C174" s="56">
        <f t="shared" si="17"/>
        <v>5</v>
      </c>
      <c r="D174" s="56">
        <f t="shared" si="18"/>
        <v>8</v>
      </c>
      <c r="E174" s="56" t="str">
        <f t="shared" si="19"/>
        <v>85</v>
      </c>
      <c r="F174" s="66">
        <f ca="1">VLOOKUP(B174,Factors!$B:$I,6,0)</f>
        <v>1.1162790697674418</v>
      </c>
      <c r="G174" s="66">
        <f ca="1">VLOOKUP(E174,Factors!$E:$I,4,0)</f>
        <v>1.275144969378903</v>
      </c>
      <c r="H174" s="66">
        <f ca="1">VLOOKUP(D174,Factors!D:I,6,0)</f>
        <v>1.0187622395307039</v>
      </c>
      <c r="I174" s="121">
        <v>298</v>
      </c>
      <c r="J174" s="122">
        <f t="shared" ca="1" si="20"/>
        <v>325.68991725646129</v>
      </c>
      <c r="K174" s="117">
        <f t="shared" ca="1" si="21"/>
        <v>27.689917256461285</v>
      </c>
      <c r="L174" s="118">
        <f t="shared" ca="1" si="22"/>
        <v>766.73151766967248</v>
      </c>
      <c r="M174" s="119">
        <f t="shared" ca="1" si="23"/>
        <v>9.2919185424366724E-2</v>
      </c>
      <c r="N174" s="55"/>
      <c r="O174" s="55"/>
      <c r="P174" s="173"/>
      <c r="W174" s="38"/>
    </row>
    <row r="175" spans="1:23" s="19" customFormat="1" x14ac:dyDescent="0.2">
      <c r="A175" s="120">
        <v>41152</v>
      </c>
      <c r="B175" s="56">
        <f t="shared" si="16"/>
        <v>31</v>
      </c>
      <c r="C175" s="56">
        <f t="shared" si="17"/>
        <v>5</v>
      </c>
      <c r="D175" s="56">
        <f t="shared" si="18"/>
        <v>8</v>
      </c>
      <c r="E175" s="56" t="str">
        <f t="shared" si="19"/>
        <v>85</v>
      </c>
      <c r="F175" s="66">
        <f ca="1">VLOOKUP(B175,Factors!$B:$I,6,0)</f>
        <v>1.1218604651162791</v>
      </c>
      <c r="G175" s="66">
        <f ca="1">VLOOKUP(E175,Factors!$E:$I,4,0)</f>
        <v>1.275144969378903</v>
      </c>
      <c r="H175" s="66">
        <f ca="1">VLOOKUP(D175,Factors!D:I,6,0)</f>
        <v>1.0187622395307039</v>
      </c>
      <c r="I175" s="121">
        <v>275</v>
      </c>
      <c r="J175" s="122">
        <f t="shared" ca="1" si="20"/>
        <v>325.12786134209637</v>
      </c>
      <c r="K175" s="117">
        <f t="shared" ca="1" si="21"/>
        <v>50.127861342096367</v>
      </c>
      <c r="L175" s="118">
        <f t="shared" ca="1" si="22"/>
        <v>2512.8024827324393</v>
      </c>
      <c r="M175" s="119">
        <f t="shared" ca="1" si="23"/>
        <v>0.1822831321530777</v>
      </c>
      <c r="N175" s="55"/>
      <c r="O175" s="55"/>
      <c r="P175" s="173"/>
      <c r="W175" s="38"/>
    </row>
    <row r="176" spans="1:23" s="19" customFormat="1" x14ac:dyDescent="0.2">
      <c r="A176" s="120">
        <v>41156</v>
      </c>
      <c r="B176" s="56">
        <f t="shared" si="16"/>
        <v>4</v>
      </c>
      <c r="C176" s="56">
        <f t="shared" si="17"/>
        <v>2</v>
      </c>
      <c r="D176" s="56">
        <f t="shared" si="18"/>
        <v>9</v>
      </c>
      <c r="E176" s="56" t="str">
        <f t="shared" si="19"/>
        <v>92</v>
      </c>
      <c r="F176" s="66">
        <f ca="1">VLOOKUP(B176,Factors!$B:$I,6,0)</f>
        <v>1.1051162790697675</v>
      </c>
      <c r="G176" s="66">
        <f ca="1">VLOOKUP(E176,Factors!$E:$I,4,0)</f>
        <v>1.0407394727832935</v>
      </c>
      <c r="H176" s="66">
        <f ca="1">VLOOKUP(D176,Factors!D:I,6,0)</f>
        <v>0.96664105949949208</v>
      </c>
      <c r="I176" s="121">
        <v>399</v>
      </c>
      <c r="J176" s="122">
        <f t="shared" ca="1" si="20"/>
        <v>315.7289778471719</v>
      </c>
      <c r="K176" s="117">
        <f t="shared" ca="1" si="21"/>
        <v>-83.271022152828095</v>
      </c>
      <c r="L176" s="118">
        <f t="shared" ca="1" si="22"/>
        <v>6934.0631303767877</v>
      </c>
      <c r="M176" s="119">
        <f t="shared" ca="1" si="23"/>
        <v>0.20869930364117317</v>
      </c>
      <c r="N176" s="55"/>
      <c r="O176" s="55"/>
      <c r="P176" s="173"/>
      <c r="W176" s="38"/>
    </row>
    <row r="177" spans="1:23" s="19" customFormat="1" x14ac:dyDescent="0.2">
      <c r="A177" s="120">
        <v>41157</v>
      </c>
      <c r="B177" s="56">
        <f t="shared" si="16"/>
        <v>5</v>
      </c>
      <c r="C177" s="56">
        <f t="shared" si="17"/>
        <v>2</v>
      </c>
      <c r="D177" s="56">
        <f t="shared" si="18"/>
        <v>9</v>
      </c>
      <c r="E177" s="56" t="str">
        <f t="shared" si="19"/>
        <v>92</v>
      </c>
      <c r="F177" s="66">
        <f ca="1">VLOOKUP(B177,Factors!$B:$I,6,0)</f>
        <v>0.95441860465116279</v>
      </c>
      <c r="G177" s="66">
        <f ca="1">VLOOKUP(E177,Factors!$E:$I,4,0)</f>
        <v>1.0407394727832935</v>
      </c>
      <c r="H177" s="66">
        <f ca="1">VLOOKUP(D177,Factors!D:I,6,0)</f>
        <v>0.96664105949949208</v>
      </c>
      <c r="I177" s="121">
        <v>423</v>
      </c>
      <c r="J177" s="122">
        <f t="shared" ca="1" si="20"/>
        <v>273.64629357579281</v>
      </c>
      <c r="K177" s="117">
        <f t="shared" ca="1" si="21"/>
        <v>-149.35370642420719</v>
      </c>
      <c r="L177" s="118">
        <f t="shared" ca="1" si="22"/>
        <v>22306.529622648268</v>
      </c>
      <c r="M177" s="119">
        <f t="shared" ca="1" si="23"/>
        <v>0.35308204828417777</v>
      </c>
      <c r="N177" s="55"/>
      <c r="O177" s="55"/>
      <c r="P177" s="173"/>
      <c r="W177" s="38"/>
    </row>
    <row r="178" spans="1:23" s="19" customFormat="1" x14ac:dyDescent="0.2">
      <c r="A178" s="120">
        <v>41158</v>
      </c>
      <c r="B178" s="56">
        <f t="shared" si="16"/>
        <v>6</v>
      </c>
      <c r="C178" s="56">
        <f t="shared" si="17"/>
        <v>2</v>
      </c>
      <c r="D178" s="56">
        <f t="shared" si="18"/>
        <v>9</v>
      </c>
      <c r="E178" s="56" t="str">
        <f t="shared" si="19"/>
        <v>92</v>
      </c>
      <c r="F178" s="66">
        <f ca="1">VLOOKUP(B178,Factors!$B:$I,6,0)</f>
        <v>0.97953488372093034</v>
      </c>
      <c r="G178" s="66">
        <f ca="1">VLOOKUP(E178,Factors!$E:$I,4,0)</f>
        <v>1.0407394727832935</v>
      </c>
      <c r="H178" s="66">
        <f ca="1">VLOOKUP(D178,Factors!D:I,6,0)</f>
        <v>0.96664105949949208</v>
      </c>
      <c r="I178" s="121">
        <v>374</v>
      </c>
      <c r="J178" s="122">
        <f t="shared" ca="1" si="20"/>
        <v>278.27431620605455</v>
      </c>
      <c r="K178" s="117">
        <f t="shared" ca="1" si="21"/>
        <v>-95.72568379394545</v>
      </c>
      <c r="L178" s="118">
        <f t="shared" ca="1" si="22"/>
        <v>9163.4065378184314</v>
      </c>
      <c r="M178" s="119">
        <f t="shared" ca="1" si="23"/>
        <v>0.25595102618701993</v>
      </c>
      <c r="N178" s="55"/>
      <c r="O178" s="55"/>
      <c r="P178" s="173"/>
      <c r="W178" s="38"/>
    </row>
    <row r="179" spans="1:23" s="19" customFormat="1" x14ac:dyDescent="0.2">
      <c r="A179" s="120">
        <v>41159</v>
      </c>
      <c r="B179" s="56">
        <f t="shared" si="16"/>
        <v>7</v>
      </c>
      <c r="C179" s="56">
        <f t="shared" si="17"/>
        <v>2</v>
      </c>
      <c r="D179" s="56">
        <f t="shared" si="18"/>
        <v>9</v>
      </c>
      <c r="E179" s="56" t="str">
        <f t="shared" si="19"/>
        <v>92</v>
      </c>
      <c r="F179" s="66">
        <f ca="1">VLOOKUP(B179,Factors!$B:$I,6,0)</f>
        <v>1.1772865192891202</v>
      </c>
      <c r="G179" s="66">
        <f ca="1">VLOOKUP(E179,Factors!$E:$I,4,0)</f>
        <v>1.0407394727832935</v>
      </c>
      <c r="H179" s="66">
        <f ca="1">VLOOKUP(D179,Factors!D:I,6,0)</f>
        <v>0.96664105949949208</v>
      </c>
      <c r="I179" s="121">
        <v>324</v>
      </c>
      <c r="J179" s="122">
        <f t="shared" ca="1" si="20"/>
        <v>328.76854785021806</v>
      </c>
      <c r="K179" s="117">
        <f t="shared" ca="1" si="21"/>
        <v>4.7685478502180558</v>
      </c>
      <c r="L179" s="118">
        <f t="shared" ca="1" si="22"/>
        <v>22.739048599819242</v>
      </c>
      <c r="M179" s="119">
        <f t="shared" ca="1" si="23"/>
        <v>1.471774027845079E-2</v>
      </c>
      <c r="N179" s="55"/>
      <c r="O179" s="55"/>
      <c r="P179" s="173"/>
      <c r="W179" s="38"/>
    </row>
    <row r="180" spans="1:23" s="19" customFormat="1" x14ac:dyDescent="0.2">
      <c r="A180" s="120">
        <v>41162</v>
      </c>
      <c r="B180" s="56">
        <f t="shared" si="16"/>
        <v>10</v>
      </c>
      <c r="C180" s="56">
        <f t="shared" si="17"/>
        <v>3</v>
      </c>
      <c r="D180" s="56">
        <f t="shared" si="18"/>
        <v>9</v>
      </c>
      <c r="E180" s="56" t="str">
        <f t="shared" si="19"/>
        <v>93</v>
      </c>
      <c r="F180" s="66">
        <f ca="1">VLOOKUP(B180,Factors!$B:$I,6,0)</f>
        <v>1.0911627906976744</v>
      </c>
      <c r="G180" s="66">
        <f ca="1">VLOOKUP(E180,Factors!$E:$I,4,0)</f>
        <v>1.1181102362204725</v>
      </c>
      <c r="H180" s="66">
        <f ca="1">VLOOKUP(D180,Factors!D:I,6,0)</f>
        <v>0.96664105949949208</v>
      </c>
      <c r="I180" s="121">
        <v>367</v>
      </c>
      <c r="J180" s="122">
        <f t="shared" ca="1" si="20"/>
        <v>314.91610822465447</v>
      </c>
      <c r="K180" s="117">
        <f t="shared" ca="1" si="21"/>
        <v>-52.083891775345535</v>
      </c>
      <c r="L180" s="118">
        <f t="shared" ca="1" si="22"/>
        <v>2712.7317824659062</v>
      </c>
      <c r="M180" s="119">
        <f t="shared" ca="1" si="23"/>
        <v>0.14191796124072353</v>
      </c>
      <c r="N180" s="55"/>
      <c r="O180" s="55"/>
      <c r="P180" s="173"/>
      <c r="W180" s="38"/>
    </row>
    <row r="181" spans="1:23" s="19" customFormat="1" x14ac:dyDescent="0.2">
      <c r="A181" s="120">
        <v>41163</v>
      </c>
      <c r="B181" s="56">
        <f t="shared" si="16"/>
        <v>11</v>
      </c>
      <c r="C181" s="56">
        <f t="shared" si="17"/>
        <v>3</v>
      </c>
      <c r="D181" s="56">
        <f t="shared" si="18"/>
        <v>9</v>
      </c>
      <c r="E181" s="56" t="str">
        <f t="shared" si="19"/>
        <v>93</v>
      </c>
      <c r="F181" s="66">
        <f ca="1">VLOOKUP(B181,Factors!$B:$I,6,0)</f>
        <v>1.0827906976744186</v>
      </c>
      <c r="G181" s="66">
        <f ca="1">VLOOKUP(E181,Factors!$E:$I,4,0)</f>
        <v>1.1181102362204725</v>
      </c>
      <c r="H181" s="66">
        <f ca="1">VLOOKUP(D181,Factors!D:I,6,0)</f>
        <v>0.96664105949949208</v>
      </c>
      <c r="I181" s="121">
        <v>363</v>
      </c>
      <c r="J181" s="122">
        <f t="shared" ca="1" si="20"/>
        <v>310.64685334984176</v>
      </c>
      <c r="K181" s="117">
        <f t="shared" ca="1" si="21"/>
        <v>-52.353146650158237</v>
      </c>
      <c r="L181" s="118">
        <f t="shared" ca="1" si="22"/>
        <v>2740.8519641729745</v>
      </c>
      <c r="M181" s="119">
        <f t="shared" ca="1" si="23"/>
        <v>0.14422354449079405</v>
      </c>
      <c r="N181" s="55"/>
      <c r="O181" s="55"/>
      <c r="P181" s="173"/>
      <c r="W181" s="38"/>
    </row>
    <row r="182" spans="1:23" s="19" customFormat="1" x14ac:dyDescent="0.2">
      <c r="A182" s="120">
        <v>41164</v>
      </c>
      <c r="B182" s="56">
        <f t="shared" si="16"/>
        <v>12</v>
      </c>
      <c r="C182" s="56">
        <f t="shared" si="17"/>
        <v>3</v>
      </c>
      <c r="D182" s="56">
        <f t="shared" si="18"/>
        <v>9</v>
      </c>
      <c r="E182" s="56" t="str">
        <f t="shared" si="19"/>
        <v>93</v>
      </c>
      <c r="F182" s="66">
        <f ca="1">VLOOKUP(B182,Factors!$B:$I,6,0)</f>
        <v>1.0297674418604652</v>
      </c>
      <c r="G182" s="66">
        <f ca="1">VLOOKUP(E182,Factors!$E:$I,4,0)</f>
        <v>1.1181102362204725</v>
      </c>
      <c r="H182" s="66">
        <f ca="1">VLOOKUP(D182,Factors!D:I,6,0)</f>
        <v>0.96664105949949208</v>
      </c>
      <c r="I182" s="121">
        <v>323</v>
      </c>
      <c r="J182" s="122">
        <f t="shared" ca="1" si="20"/>
        <v>294.51456180159647</v>
      </c>
      <c r="K182" s="117">
        <f t="shared" ca="1" si="21"/>
        <v>-28.485438198403529</v>
      </c>
      <c r="L182" s="118">
        <f t="shared" ca="1" si="22"/>
        <v>811.4201893550669</v>
      </c>
      <c r="M182" s="119">
        <f t="shared" ca="1" si="23"/>
        <v>8.81902111405682E-2</v>
      </c>
      <c r="N182" s="55"/>
      <c r="O182" s="55"/>
      <c r="P182" s="173"/>
      <c r="W182" s="38"/>
    </row>
    <row r="183" spans="1:23" s="19" customFormat="1" x14ac:dyDescent="0.2">
      <c r="A183" s="120">
        <v>41165</v>
      </c>
      <c r="B183" s="56">
        <f t="shared" si="16"/>
        <v>13</v>
      </c>
      <c r="C183" s="56">
        <f t="shared" si="17"/>
        <v>3</v>
      </c>
      <c r="D183" s="56">
        <f t="shared" si="18"/>
        <v>9</v>
      </c>
      <c r="E183" s="56" t="str">
        <f t="shared" si="19"/>
        <v>93</v>
      </c>
      <c r="F183" s="66">
        <f ca="1">VLOOKUP(B183,Factors!$B:$I,6,0)</f>
        <v>0.8567441860465117</v>
      </c>
      <c r="G183" s="66">
        <f ca="1">VLOOKUP(E183,Factors!$E:$I,4,0)</f>
        <v>1.1181102362204725</v>
      </c>
      <c r="H183" s="66">
        <f ca="1">VLOOKUP(D183,Factors!D:I,6,0)</f>
        <v>0.96664105949949208</v>
      </c>
      <c r="I183" s="121">
        <v>312</v>
      </c>
      <c r="J183" s="122">
        <f t="shared" ca="1" si="20"/>
        <v>246.50035919350108</v>
      </c>
      <c r="K183" s="117">
        <f t="shared" ca="1" si="21"/>
        <v>-65.499640806498917</v>
      </c>
      <c r="L183" s="118">
        <f t="shared" ca="1" si="22"/>
        <v>4290.2029457803783</v>
      </c>
      <c r="M183" s="119">
        <f t="shared" ca="1" si="23"/>
        <v>0.20993474617467603</v>
      </c>
      <c r="N183" s="55"/>
      <c r="O183" s="55"/>
      <c r="P183" s="173"/>
      <c r="W183" s="38"/>
    </row>
    <row r="184" spans="1:23" s="19" customFormat="1" x14ac:dyDescent="0.2">
      <c r="A184" s="120">
        <v>41166</v>
      </c>
      <c r="B184" s="56">
        <f t="shared" si="16"/>
        <v>14</v>
      </c>
      <c r="C184" s="56">
        <f t="shared" si="17"/>
        <v>3</v>
      </c>
      <c r="D184" s="56">
        <f t="shared" si="18"/>
        <v>9</v>
      </c>
      <c r="E184" s="56" t="str">
        <f t="shared" si="19"/>
        <v>93</v>
      </c>
      <c r="F184" s="66">
        <f ca="1">VLOOKUP(B184,Factors!$B:$I,6,0)</f>
        <v>0.97702644126571314</v>
      </c>
      <c r="G184" s="66">
        <f ca="1">VLOOKUP(E184,Factors!$E:$I,4,0)</f>
        <v>1.1181102362204725</v>
      </c>
      <c r="H184" s="66">
        <f ca="1">VLOOKUP(D184,Factors!D:I,6,0)</f>
        <v>0.96664105949949208</v>
      </c>
      <c r="I184" s="121">
        <v>268</v>
      </c>
      <c r="J184" s="122">
        <f t="shared" ca="1" si="20"/>
        <v>276.41232505309677</v>
      </c>
      <c r="K184" s="117">
        <f t="shared" ca="1" si="21"/>
        <v>8.4123250530967653</v>
      </c>
      <c r="L184" s="118">
        <f t="shared" ca="1" si="22"/>
        <v>70.767212798959491</v>
      </c>
      <c r="M184" s="119">
        <f t="shared" ca="1" si="23"/>
        <v>3.138927258618196E-2</v>
      </c>
      <c r="N184" s="55"/>
      <c r="O184" s="55"/>
      <c r="P184" s="173"/>
      <c r="W184" s="38"/>
    </row>
    <row r="185" spans="1:23" s="19" customFormat="1" x14ac:dyDescent="0.2">
      <c r="A185" s="120">
        <v>41169</v>
      </c>
      <c r="B185" s="56">
        <f t="shared" si="16"/>
        <v>17</v>
      </c>
      <c r="C185" s="56">
        <f t="shared" si="17"/>
        <v>4</v>
      </c>
      <c r="D185" s="56">
        <f t="shared" si="18"/>
        <v>9</v>
      </c>
      <c r="E185" s="56" t="str">
        <f t="shared" si="19"/>
        <v>94</v>
      </c>
      <c r="F185" s="66">
        <f ca="1">VLOOKUP(B185,Factors!$B:$I,6,0)</f>
        <v>1.2809302325581395</v>
      </c>
      <c r="G185" s="66">
        <f ca="1">VLOOKUP(E185,Factors!$E:$I,4,0)</f>
        <v>0.97637795275590555</v>
      </c>
      <c r="H185" s="66">
        <f ca="1">VLOOKUP(D185,Factors!D:I,6,0)</f>
        <v>0.96664105949949208</v>
      </c>
      <c r="I185" s="121">
        <v>351</v>
      </c>
      <c r="J185" s="122">
        <f t="shared" ca="1" si="20"/>
        <v>363.09954294656615</v>
      </c>
      <c r="K185" s="117">
        <f t="shared" ca="1" si="21"/>
        <v>12.099542946566146</v>
      </c>
      <c r="L185" s="118">
        <f t="shared" ca="1" si="22"/>
        <v>146.39893951579856</v>
      </c>
      <c r="M185" s="119">
        <f t="shared" ca="1" si="23"/>
        <v>3.4471632326399278E-2</v>
      </c>
      <c r="N185" s="55"/>
      <c r="O185" s="55"/>
      <c r="P185" s="173"/>
      <c r="W185" s="38"/>
    </row>
    <row r="186" spans="1:23" s="19" customFormat="1" x14ac:dyDescent="0.2">
      <c r="A186" s="120">
        <v>41170</v>
      </c>
      <c r="B186" s="56">
        <f t="shared" si="16"/>
        <v>18</v>
      </c>
      <c r="C186" s="56">
        <f t="shared" si="17"/>
        <v>4</v>
      </c>
      <c r="D186" s="56">
        <f t="shared" si="18"/>
        <v>9</v>
      </c>
      <c r="E186" s="56" t="str">
        <f t="shared" si="19"/>
        <v>94</v>
      </c>
      <c r="F186" s="66">
        <f ca="1">VLOOKUP(B186,Factors!$B:$I,6,0)</f>
        <v>1.2111627906976745</v>
      </c>
      <c r="G186" s="66">
        <f ca="1">VLOOKUP(E186,Factors!$E:$I,4,0)</f>
        <v>0.97637795275590555</v>
      </c>
      <c r="H186" s="66">
        <f ca="1">VLOOKUP(D186,Factors!D:I,6,0)</f>
        <v>0.96664105949949208</v>
      </c>
      <c r="I186" s="121">
        <v>318</v>
      </c>
      <c r="J186" s="122">
        <f t="shared" ca="1" si="20"/>
        <v>342.51861264578361</v>
      </c>
      <c r="K186" s="117">
        <f t="shared" ca="1" si="21"/>
        <v>24.518612645783605</v>
      </c>
      <c r="L186" s="118">
        <f t="shared" ca="1" si="22"/>
        <v>601.16236607397968</v>
      </c>
      <c r="M186" s="119">
        <f t="shared" ca="1" si="23"/>
        <v>7.7102555489885552E-2</v>
      </c>
      <c r="N186" s="55"/>
      <c r="O186" s="55"/>
      <c r="P186" s="173"/>
      <c r="W186" s="38"/>
    </row>
    <row r="187" spans="1:23" s="19" customFormat="1" x14ac:dyDescent="0.2">
      <c r="A187" s="120">
        <v>41171</v>
      </c>
      <c r="B187" s="56">
        <f t="shared" si="16"/>
        <v>19</v>
      </c>
      <c r="C187" s="56">
        <f t="shared" si="17"/>
        <v>4</v>
      </c>
      <c r="D187" s="56">
        <f t="shared" si="18"/>
        <v>9</v>
      </c>
      <c r="E187" s="56" t="str">
        <f t="shared" si="19"/>
        <v>94</v>
      </c>
      <c r="F187" s="66">
        <f ca="1">VLOOKUP(B187,Factors!$B:$I,6,0)</f>
        <v>0.99069767441860468</v>
      </c>
      <c r="G187" s="66">
        <f ca="1">VLOOKUP(E187,Factors!$E:$I,4,0)</f>
        <v>0.97637795275590555</v>
      </c>
      <c r="H187" s="66">
        <f ca="1">VLOOKUP(D187,Factors!D:I,6,0)</f>
        <v>0.96664105949949208</v>
      </c>
      <c r="I187" s="121">
        <v>270</v>
      </c>
      <c r="J187" s="122">
        <f t="shared" ca="1" si="20"/>
        <v>281.89993357216611</v>
      </c>
      <c r="K187" s="117">
        <f t="shared" ca="1" si="21"/>
        <v>11.899933572166105</v>
      </c>
      <c r="L187" s="118">
        <f t="shared" ca="1" si="22"/>
        <v>141.60841902196597</v>
      </c>
      <c r="M187" s="119">
        <f t="shared" ca="1" si="23"/>
        <v>4.4073828045059653E-2</v>
      </c>
      <c r="N187" s="55"/>
      <c r="O187" s="55"/>
      <c r="P187" s="173"/>
      <c r="W187" s="38"/>
    </row>
    <row r="188" spans="1:23" s="19" customFormat="1" x14ac:dyDescent="0.2">
      <c r="A188" s="120">
        <v>41172</v>
      </c>
      <c r="B188" s="56">
        <f t="shared" si="16"/>
        <v>20</v>
      </c>
      <c r="C188" s="56">
        <f t="shared" si="17"/>
        <v>4</v>
      </c>
      <c r="D188" s="56">
        <f t="shared" si="18"/>
        <v>9</v>
      </c>
      <c r="E188" s="56" t="str">
        <f t="shared" si="19"/>
        <v>94</v>
      </c>
      <c r="F188" s="66">
        <f ca="1">VLOOKUP(B188,Factors!$B:$I,6,0)</f>
        <v>0.84837209302325589</v>
      </c>
      <c r="G188" s="66">
        <f ca="1">VLOOKUP(E188,Factors!$E:$I,4,0)</f>
        <v>0.97637795275590555</v>
      </c>
      <c r="H188" s="66">
        <f ca="1">VLOOKUP(D188,Factors!D:I,6,0)</f>
        <v>0.96664105949949208</v>
      </c>
      <c r="I188" s="121">
        <v>251</v>
      </c>
      <c r="J188" s="122">
        <f t="shared" ca="1" si="20"/>
        <v>242.04156867705566</v>
      </c>
      <c r="K188" s="117">
        <f t="shared" ca="1" si="21"/>
        <v>-8.9584313229443353</v>
      </c>
      <c r="L188" s="118">
        <f t="shared" ca="1" si="22"/>
        <v>80.253491767910191</v>
      </c>
      <c r="M188" s="119">
        <f t="shared" ca="1" si="23"/>
        <v>3.5690961445993367E-2</v>
      </c>
      <c r="N188" s="55"/>
      <c r="O188" s="55"/>
      <c r="P188" s="173"/>
      <c r="W188" s="38"/>
    </row>
    <row r="189" spans="1:23" s="19" customFormat="1" x14ac:dyDescent="0.2">
      <c r="A189" s="120">
        <v>41173</v>
      </c>
      <c r="B189" s="56">
        <f t="shared" si="16"/>
        <v>21</v>
      </c>
      <c r="C189" s="56">
        <f t="shared" si="17"/>
        <v>4</v>
      </c>
      <c r="D189" s="56">
        <f t="shared" si="18"/>
        <v>9</v>
      </c>
      <c r="E189" s="56" t="str">
        <f t="shared" si="19"/>
        <v>94</v>
      </c>
      <c r="F189" s="66">
        <f ca="1">VLOOKUP(B189,Factors!$B:$I,6,0)</f>
        <v>1.1772865192891202</v>
      </c>
      <c r="G189" s="66">
        <f ca="1">VLOOKUP(E189,Factors!$E:$I,4,0)</f>
        <v>0.97637795275590555</v>
      </c>
      <c r="H189" s="66">
        <f ca="1">VLOOKUP(D189,Factors!D:I,6,0)</f>
        <v>0.96664105949949208</v>
      </c>
      <c r="I189" s="121">
        <v>236</v>
      </c>
      <c r="J189" s="122">
        <f t="shared" ca="1" si="20"/>
        <v>327.38347054942744</v>
      </c>
      <c r="K189" s="117">
        <f t="shared" ca="1" si="21"/>
        <v>91.383470549427443</v>
      </c>
      <c r="L189" s="118">
        <f t="shared" ca="1" si="22"/>
        <v>8350.9386896580727</v>
      </c>
      <c r="M189" s="119">
        <f t="shared" ca="1" si="23"/>
        <v>0.38721809554842135</v>
      </c>
      <c r="N189" s="55"/>
      <c r="O189" s="55"/>
      <c r="P189" s="173"/>
      <c r="W189" s="38"/>
    </row>
    <row r="190" spans="1:23" s="19" customFormat="1" x14ac:dyDescent="0.2">
      <c r="A190" s="120">
        <v>41176</v>
      </c>
      <c r="B190" s="56">
        <f t="shared" si="16"/>
        <v>24</v>
      </c>
      <c r="C190" s="56">
        <f t="shared" si="17"/>
        <v>5</v>
      </c>
      <c r="D190" s="56">
        <f t="shared" si="18"/>
        <v>9</v>
      </c>
      <c r="E190" s="56" t="str">
        <f t="shared" si="19"/>
        <v>95</v>
      </c>
      <c r="F190" s="66">
        <f ca="1">VLOOKUP(B190,Factors!$B:$I,6,0)</f>
        <v>1.1162790697674418</v>
      </c>
      <c r="G190" s="66">
        <f ca="1">VLOOKUP(E190,Factors!$E:$I,4,0)</f>
        <v>0.86477233824032862</v>
      </c>
      <c r="H190" s="66">
        <f ca="1">VLOOKUP(D190,Factors!D:I,6,0)</f>
        <v>0.96664105949949208</v>
      </c>
      <c r="I190" s="121">
        <v>286</v>
      </c>
      <c r="J190" s="122">
        <f t="shared" ca="1" si="20"/>
        <v>317.54415550779652</v>
      </c>
      <c r="K190" s="117">
        <f t="shared" ca="1" si="21"/>
        <v>31.544155507796518</v>
      </c>
      <c r="L190" s="118">
        <f t="shared" ca="1" si="22"/>
        <v>995.03374670004939</v>
      </c>
      <c r="M190" s="119">
        <f t="shared" ca="1" si="23"/>
        <v>0.11029425002726055</v>
      </c>
      <c r="N190" s="55"/>
      <c r="O190" s="55"/>
      <c r="P190" s="173"/>
      <c r="W190" s="38"/>
    </row>
    <row r="191" spans="1:23" s="19" customFormat="1" x14ac:dyDescent="0.2">
      <c r="A191" s="120">
        <v>41177</v>
      </c>
      <c r="B191" s="56">
        <f t="shared" si="16"/>
        <v>25</v>
      </c>
      <c r="C191" s="56">
        <f t="shared" si="17"/>
        <v>5</v>
      </c>
      <c r="D191" s="56">
        <f t="shared" si="18"/>
        <v>9</v>
      </c>
      <c r="E191" s="56" t="str">
        <f t="shared" si="19"/>
        <v>95</v>
      </c>
      <c r="F191" s="66">
        <f ca="1">VLOOKUP(B191,Factors!$B:$I,6,0)</f>
        <v>0.9767441860465117</v>
      </c>
      <c r="G191" s="66">
        <f ca="1">VLOOKUP(E191,Factors!$E:$I,4,0)</f>
        <v>0.86477233824032862</v>
      </c>
      <c r="H191" s="66">
        <f ca="1">VLOOKUP(D191,Factors!D:I,6,0)</f>
        <v>0.96664105949949208</v>
      </c>
      <c r="I191" s="121">
        <v>264</v>
      </c>
      <c r="J191" s="122">
        <f t="shared" ca="1" si="20"/>
        <v>278.42723040477563</v>
      </c>
      <c r="K191" s="117">
        <f t="shared" ca="1" si="21"/>
        <v>14.427230404775628</v>
      </c>
      <c r="L191" s="118">
        <f t="shared" ca="1" si="22"/>
        <v>208.14497715248234</v>
      </c>
      <c r="M191" s="119">
        <f t="shared" ca="1" si="23"/>
        <v>5.4648600018089501E-2</v>
      </c>
      <c r="N191" s="55"/>
      <c r="O191" s="55"/>
      <c r="P191" s="173"/>
      <c r="W191" s="38"/>
    </row>
    <row r="192" spans="1:23" s="19" customFormat="1" x14ac:dyDescent="0.2">
      <c r="A192" s="120">
        <v>41178</v>
      </c>
      <c r="B192" s="56">
        <f t="shared" si="16"/>
        <v>26</v>
      </c>
      <c r="C192" s="56">
        <f t="shared" si="17"/>
        <v>5</v>
      </c>
      <c r="D192" s="56">
        <f t="shared" si="18"/>
        <v>9</v>
      </c>
      <c r="E192" s="56" t="str">
        <f t="shared" si="19"/>
        <v>95</v>
      </c>
      <c r="F192" s="66">
        <f ca="1">VLOOKUP(B192,Factors!$B:$I,6,0)</f>
        <v>0.91255813953488374</v>
      </c>
      <c r="G192" s="66">
        <f ca="1">VLOOKUP(E192,Factors!$E:$I,4,0)</f>
        <v>0.86477233824032862</v>
      </c>
      <c r="H192" s="66">
        <f ca="1">VLOOKUP(D192,Factors!D:I,6,0)</f>
        <v>0.96664105949949208</v>
      </c>
      <c r="I192" s="121">
        <v>249</v>
      </c>
      <c r="J192" s="122">
        <f t="shared" ca="1" si="20"/>
        <v>259.32917968817213</v>
      </c>
      <c r="K192" s="117">
        <f t="shared" ca="1" si="21"/>
        <v>10.329179688172133</v>
      </c>
      <c r="L192" s="118">
        <f t="shared" ca="1" si="22"/>
        <v>106.69195303054775</v>
      </c>
      <c r="M192" s="119">
        <f t="shared" ca="1" si="23"/>
        <v>4.1482649350088885E-2</v>
      </c>
      <c r="N192" s="55"/>
      <c r="O192" s="55"/>
      <c r="P192" s="173"/>
      <c r="W192" s="38"/>
    </row>
    <row r="193" spans="1:23" s="19" customFormat="1" x14ac:dyDescent="0.2">
      <c r="A193" s="120">
        <v>41179</v>
      </c>
      <c r="B193" s="56">
        <f t="shared" si="16"/>
        <v>27</v>
      </c>
      <c r="C193" s="56">
        <f t="shared" si="17"/>
        <v>5</v>
      </c>
      <c r="D193" s="56">
        <f t="shared" si="18"/>
        <v>9</v>
      </c>
      <c r="E193" s="56" t="str">
        <f t="shared" si="19"/>
        <v>95</v>
      </c>
      <c r="F193" s="66">
        <f ca="1">VLOOKUP(B193,Factors!$B:$I,6,0)</f>
        <v>0.76744186046511631</v>
      </c>
      <c r="G193" s="66">
        <f ca="1">VLOOKUP(E193,Factors!$E:$I,4,0)</f>
        <v>0.86477233824032862</v>
      </c>
      <c r="H193" s="66">
        <f ca="1">VLOOKUP(D193,Factors!D:I,6,0)</f>
        <v>0.96664105949949208</v>
      </c>
      <c r="I193" s="121">
        <v>260</v>
      </c>
      <c r="J193" s="122">
        <f t="shared" ca="1" si="20"/>
        <v>218.72937500097214</v>
      </c>
      <c r="K193" s="117">
        <f t="shared" ca="1" si="21"/>
        <v>-41.270624999027859</v>
      </c>
      <c r="L193" s="118">
        <f t="shared" ca="1" si="22"/>
        <v>1703.2644878103833</v>
      </c>
      <c r="M193" s="119">
        <f t="shared" ca="1" si="23"/>
        <v>0.15873317307318408</v>
      </c>
      <c r="N193" s="55"/>
      <c r="O193" s="55"/>
      <c r="P193" s="173"/>
      <c r="W193" s="38"/>
    </row>
    <row r="194" spans="1:23" s="19" customFormat="1" x14ac:dyDescent="0.2">
      <c r="A194" s="120">
        <v>41180</v>
      </c>
      <c r="B194" s="56">
        <f t="shared" si="16"/>
        <v>28</v>
      </c>
      <c r="C194" s="56">
        <f t="shared" si="17"/>
        <v>5</v>
      </c>
      <c r="D194" s="56">
        <f t="shared" si="18"/>
        <v>9</v>
      </c>
      <c r="E194" s="56" t="str">
        <f t="shared" si="19"/>
        <v>95</v>
      </c>
      <c r="F194" s="66">
        <f ca="1">VLOOKUP(B194,Factors!$B:$I,6,0)</f>
        <v>1.1014304291287387</v>
      </c>
      <c r="G194" s="66">
        <f ca="1">VLOOKUP(E194,Factors!$E:$I,4,0)</f>
        <v>0.86477233824032862</v>
      </c>
      <c r="H194" s="66">
        <f ca="1">VLOOKUP(D194,Factors!D:I,6,0)</f>
        <v>0.96664105949949208</v>
      </c>
      <c r="I194" s="121">
        <v>204</v>
      </c>
      <c r="J194" s="122">
        <f t="shared" ca="1" si="20"/>
        <v>305.41938817859676</v>
      </c>
      <c r="K194" s="117">
        <f t="shared" ca="1" si="21"/>
        <v>101.41938817859676</v>
      </c>
      <c r="L194" s="118">
        <f t="shared" ca="1" si="22"/>
        <v>10285.892298520892</v>
      </c>
      <c r="M194" s="119">
        <f t="shared" ca="1" si="23"/>
        <v>0.49715386362057234</v>
      </c>
      <c r="N194" s="55"/>
      <c r="O194" s="55"/>
      <c r="P194" s="173"/>
      <c r="W194" s="38"/>
    </row>
    <row r="195" spans="1:23" s="19" customFormat="1" x14ac:dyDescent="0.2">
      <c r="A195" s="120">
        <v>41183</v>
      </c>
      <c r="B195" s="56">
        <f t="shared" si="16"/>
        <v>1</v>
      </c>
      <c r="C195" s="56">
        <f t="shared" si="17"/>
        <v>1</v>
      </c>
      <c r="D195" s="56">
        <f t="shared" si="18"/>
        <v>10</v>
      </c>
      <c r="E195" s="56" t="str">
        <f t="shared" si="19"/>
        <v>101</v>
      </c>
      <c r="F195" s="66">
        <f ca="1">VLOOKUP(B195,Factors!$B:$I,6,0)</f>
        <v>1.0923276983094929</v>
      </c>
      <c r="G195" s="66">
        <f ca="1">VLOOKUP(E195,Factors!$E:$I,4,0)</f>
        <v>1.1075676607481468</v>
      </c>
      <c r="H195" s="66">
        <f ca="1">VLOOKUP(D195,Factors!D:I,6,0)</f>
        <v>0.95985703289225499</v>
      </c>
      <c r="I195" s="121">
        <v>320</v>
      </c>
      <c r="J195" s="122">
        <f t="shared" ca="1" si="20"/>
        <v>301.3456955722362</v>
      </c>
      <c r="K195" s="117">
        <f t="shared" ca="1" si="21"/>
        <v>-18.654304427763805</v>
      </c>
      <c r="L195" s="118">
        <f t="shared" ca="1" si="22"/>
        <v>347.9830736836883</v>
      </c>
      <c r="M195" s="119">
        <f t="shared" ca="1" si="23"/>
        <v>5.8294701336761887E-2</v>
      </c>
      <c r="N195" s="55"/>
      <c r="O195" s="55"/>
      <c r="P195" s="173"/>
      <c r="W195" s="38"/>
    </row>
    <row r="196" spans="1:23" s="19" customFormat="1" x14ac:dyDescent="0.2">
      <c r="A196" s="120">
        <v>41184</v>
      </c>
      <c r="B196" s="56">
        <f t="shared" si="16"/>
        <v>2</v>
      </c>
      <c r="C196" s="56">
        <f t="shared" si="17"/>
        <v>1</v>
      </c>
      <c r="D196" s="56">
        <f t="shared" si="18"/>
        <v>10</v>
      </c>
      <c r="E196" s="56" t="str">
        <f t="shared" si="19"/>
        <v>101</v>
      </c>
      <c r="F196" s="66">
        <f ca="1">VLOOKUP(B196,Factors!$B:$I,6,0)</f>
        <v>1.0953619419159082</v>
      </c>
      <c r="G196" s="66">
        <f ca="1">VLOOKUP(E196,Factors!$E:$I,4,0)</f>
        <v>1.1075676607481468</v>
      </c>
      <c r="H196" s="66">
        <f ca="1">VLOOKUP(D196,Factors!D:I,6,0)</f>
        <v>0.95985703289225499</v>
      </c>
      <c r="I196" s="121">
        <v>295</v>
      </c>
      <c r="J196" s="122">
        <f t="shared" ca="1" si="20"/>
        <v>300.10690578030585</v>
      </c>
      <c r="K196" s="117">
        <f t="shared" ca="1" si="21"/>
        <v>5.1069057803058513</v>
      </c>
      <c r="L196" s="118">
        <f t="shared" ca="1" si="22"/>
        <v>26.080486648921315</v>
      </c>
      <c r="M196" s="119">
        <f t="shared" ca="1" si="23"/>
        <v>1.7311545017985937E-2</v>
      </c>
      <c r="N196" s="55"/>
      <c r="O196" s="55"/>
      <c r="P196" s="173"/>
      <c r="W196" s="38"/>
    </row>
    <row r="197" spans="1:23" s="19" customFormat="1" x14ac:dyDescent="0.2">
      <c r="A197" s="120">
        <v>41185</v>
      </c>
      <c r="B197" s="56">
        <f t="shared" ref="B197:B258" si="24">DAY(A197)</f>
        <v>3</v>
      </c>
      <c r="C197" s="56">
        <f t="shared" ref="C197:C258" si="25">IF(ROUNDUP((DAY(A197)+WEEKDAY(DATE(YEAR(A197),MONTH(A197),0)))/7,0)=6,5,ROUNDUP((DAY(A197)+WEEKDAY(DATE(YEAR(A197),MONTH(A197),0)))/7,0))</f>
        <v>1</v>
      </c>
      <c r="D197" s="56">
        <f t="shared" ref="D197:D258" si="26">MONTH(A197)</f>
        <v>10</v>
      </c>
      <c r="E197" s="56" t="str">
        <f t="shared" ref="E197:E258" si="27">D197&amp;C197</f>
        <v>101</v>
      </c>
      <c r="F197" s="66">
        <f ca="1">VLOOKUP(B197,Factors!$B:$I,6,0)</f>
        <v>1.2613953488372094</v>
      </c>
      <c r="G197" s="66">
        <f ca="1">VLOOKUP(E197,Factors!$E:$I,4,0)</f>
        <v>1.1075676607481468</v>
      </c>
      <c r="H197" s="66">
        <f ca="1">VLOOKUP(D197,Factors!D:I,6,0)</f>
        <v>0.95985703289225499</v>
      </c>
      <c r="I197" s="121">
        <v>252</v>
      </c>
      <c r="J197" s="122">
        <f t="shared" ref="J197:J258" ca="1" si="28">$U$4+(B197*$U$5)+($U$6*C197)+($U$7*D197)+($U$8*F197)+($U$9*G197)+($U$10*H197)</f>
        <v>342.1741562186686</v>
      </c>
      <c r="K197" s="117">
        <f t="shared" ref="K197:K258" ca="1" si="29">J197-I197</f>
        <v>90.1741562186686</v>
      </c>
      <c r="L197" s="118">
        <f t="shared" ref="L197:L258" ca="1" si="30">(K197)^2</f>
        <v>8131.3784497488487</v>
      </c>
      <c r="M197" s="119">
        <f t="shared" ref="M197:M258" ca="1" si="31">IF(ISERROR(ABS(K197)/I197),"",ABS(K197)/I197)</f>
        <v>0.35783395324868494</v>
      </c>
      <c r="N197" s="55"/>
      <c r="O197" s="55"/>
      <c r="P197" s="173"/>
      <c r="W197" s="38"/>
    </row>
    <row r="198" spans="1:23" s="19" customFormat="1" x14ac:dyDescent="0.2">
      <c r="A198" s="120">
        <v>41186</v>
      </c>
      <c r="B198" s="56">
        <f t="shared" si="24"/>
        <v>4</v>
      </c>
      <c r="C198" s="56">
        <f t="shared" si="25"/>
        <v>1</v>
      </c>
      <c r="D198" s="56">
        <f t="shared" si="26"/>
        <v>10</v>
      </c>
      <c r="E198" s="56" t="str">
        <f t="shared" si="27"/>
        <v>101</v>
      </c>
      <c r="F198" s="66">
        <f ca="1">VLOOKUP(B198,Factors!$B:$I,6,0)</f>
        <v>1.1051162790697675</v>
      </c>
      <c r="G198" s="66">
        <f ca="1">VLOOKUP(E198,Factors!$E:$I,4,0)</f>
        <v>1.1075676607481468</v>
      </c>
      <c r="H198" s="66">
        <f ca="1">VLOOKUP(D198,Factors!D:I,6,0)</f>
        <v>0.95985703289225499</v>
      </c>
      <c r="I198" s="121">
        <v>208</v>
      </c>
      <c r="J198" s="122">
        <f t="shared" ca="1" si="28"/>
        <v>298.60859236311046</v>
      </c>
      <c r="K198" s="117">
        <f t="shared" ca="1" si="29"/>
        <v>90.608592363110461</v>
      </c>
      <c r="L198" s="118">
        <f t="shared" ca="1" si="30"/>
        <v>8209.9170100243191</v>
      </c>
      <c r="M198" s="119">
        <f t="shared" ca="1" si="31"/>
        <v>0.43561823251495413</v>
      </c>
      <c r="N198" s="55"/>
      <c r="O198" s="55"/>
      <c r="P198" s="173"/>
      <c r="W198" s="38"/>
    </row>
    <row r="199" spans="1:23" s="19" customFormat="1" x14ac:dyDescent="0.2">
      <c r="A199" s="120">
        <v>41187</v>
      </c>
      <c r="B199" s="56">
        <f t="shared" si="24"/>
        <v>5</v>
      </c>
      <c r="C199" s="56">
        <f t="shared" si="25"/>
        <v>1</v>
      </c>
      <c r="D199" s="56">
        <f t="shared" si="26"/>
        <v>10</v>
      </c>
      <c r="E199" s="56" t="str">
        <f t="shared" si="27"/>
        <v>101</v>
      </c>
      <c r="F199" s="66">
        <f ca="1">VLOOKUP(B199,Factors!$B:$I,6,0)</f>
        <v>0.95441860465116279</v>
      </c>
      <c r="G199" s="66">
        <f ca="1">VLOOKUP(E199,Factors!$E:$I,4,0)</f>
        <v>1.1075676607481468</v>
      </c>
      <c r="H199" s="66">
        <f ca="1">VLOOKUP(D199,Factors!D:I,6,0)</f>
        <v>0.95985703289225499</v>
      </c>
      <c r="I199" s="121">
        <v>210</v>
      </c>
      <c r="J199" s="122">
        <f t="shared" ca="1" si="28"/>
        <v>256.52590809173137</v>
      </c>
      <c r="K199" s="117">
        <f t="shared" ca="1" si="29"/>
        <v>46.525908091731367</v>
      </c>
      <c r="L199" s="118">
        <f t="shared" ca="1" si="30"/>
        <v>2164.6601237602345</v>
      </c>
      <c r="M199" s="119">
        <f t="shared" ca="1" si="31"/>
        <v>0.22155194329395889</v>
      </c>
      <c r="N199" s="55"/>
      <c r="O199" s="55"/>
      <c r="P199" s="173"/>
      <c r="W199" s="38"/>
    </row>
    <row r="200" spans="1:23" s="19" customFormat="1" x14ac:dyDescent="0.2">
      <c r="A200" s="120">
        <v>41190</v>
      </c>
      <c r="B200" s="56">
        <f t="shared" si="24"/>
        <v>8</v>
      </c>
      <c r="C200" s="56">
        <f t="shared" si="25"/>
        <v>2</v>
      </c>
      <c r="D200" s="56">
        <f t="shared" si="26"/>
        <v>10</v>
      </c>
      <c r="E200" s="56" t="str">
        <f t="shared" si="27"/>
        <v>102</v>
      </c>
      <c r="F200" s="66">
        <f ca="1">VLOOKUP(B200,Factors!$B:$I,6,0)</f>
        <v>1.1469440832249675</v>
      </c>
      <c r="G200" s="66">
        <f ca="1">VLOOKUP(E200,Factors!$E:$I,4,0)</f>
        <v>1.146354076883296</v>
      </c>
      <c r="H200" s="66">
        <f ca="1">VLOOKUP(D200,Factors!D:I,6,0)</f>
        <v>0.95985703289225499</v>
      </c>
      <c r="I200" s="121">
        <v>269</v>
      </c>
      <c r="J200" s="122">
        <f t="shared" ca="1" si="28"/>
        <v>316.16263927483055</v>
      </c>
      <c r="K200" s="117">
        <f t="shared" ca="1" si="29"/>
        <v>47.162639274830553</v>
      </c>
      <c r="L200" s="118">
        <f t="shared" ca="1" si="30"/>
        <v>2224.3145433677896</v>
      </c>
      <c r="M200" s="119">
        <f t="shared" ca="1" si="31"/>
        <v>0.17532579656070837</v>
      </c>
      <c r="N200" s="55"/>
      <c r="O200" s="55"/>
      <c r="P200" s="173"/>
      <c r="W200" s="38"/>
    </row>
    <row r="201" spans="1:23" s="19" customFormat="1" x14ac:dyDescent="0.2">
      <c r="A201" s="120">
        <v>41191</v>
      </c>
      <c r="B201" s="56">
        <f t="shared" si="24"/>
        <v>9</v>
      </c>
      <c r="C201" s="56">
        <f t="shared" si="25"/>
        <v>2</v>
      </c>
      <c r="D201" s="56">
        <f t="shared" si="26"/>
        <v>10</v>
      </c>
      <c r="E201" s="56" t="str">
        <f t="shared" si="27"/>
        <v>102</v>
      </c>
      <c r="F201" s="66">
        <f ca="1">VLOOKUP(B201,Factors!$B:$I,6,0)</f>
        <v>1.08</v>
      </c>
      <c r="G201" s="66">
        <f ca="1">VLOOKUP(E201,Factors!$E:$I,4,0)</f>
        <v>1.146354076883296</v>
      </c>
      <c r="H201" s="66">
        <f ca="1">VLOOKUP(D201,Factors!D:I,6,0)</f>
        <v>0.95985703289225499</v>
      </c>
      <c r="I201" s="121">
        <v>310</v>
      </c>
      <c r="J201" s="122">
        <f t="shared" ca="1" si="28"/>
        <v>296.33182621493961</v>
      </c>
      <c r="K201" s="117">
        <f t="shared" ca="1" si="29"/>
        <v>-13.668173785060389</v>
      </c>
      <c r="L201" s="118">
        <f t="shared" ca="1" si="30"/>
        <v>186.81897461861206</v>
      </c>
      <c r="M201" s="119">
        <f t="shared" ca="1" si="31"/>
        <v>4.4090883177614157E-2</v>
      </c>
      <c r="N201" s="55"/>
      <c r="O201" s="55"/>
      <c r="P201" s="173"/>
      <c r="W201" s="38"/>
    </row>
    <row r="202" spans="1:23" s="19" customFormat="1" x14ac:dyDescent="0.2">
      <c r="A202" s="120">
        <v>41192</v>
      </c>
      <c r="B202" s="56">
        <f t="shared" si="24"/>
        <v>10</v>
      </c>
      <c r="C202" s="56">
        <f t="shared" si="25"/>
        <v>2</v>
      </c>
      <c r="D202" s="56">
        <f t="shared" si="26"/>
        <v>10</v>
      </c>
      <c r="E202" s="56" t="str">
        <f t="shared" si="27"/>
        <v>102</v>
      </c>
      <c r="F202" s="66">
        <f ca="1">VLOOKUP(B202,Factors!$B:$I,6,0)</f>
        <v>1.0911627906976744</v>
      </c>
      <c r="G202" s="66">
        <f ca="1">VLOOKUP(E202,Factors!$E:$I,4,0)</f>
        <v>1.146354076883296</v>
      </c>
      <c r="H202" s="66">
        <f ca="1">VLOOKUP(D202,Factors!D:I,6,0)</f>
        <v>0.95985703289225499</v>
      </c>
      <c r="I202" s="121">
        <v>287</v>
      </c>
      <c r="J202" s="122">
        <f t="shared" ca="1" si="28"/>
        <v>297.25264988475374</v>
      </c>
      <c r="K202" s="117">
        <f t="shared" ca="1" si="29"/>
        <v>10.252649884753737</v>
      </c>
      <c r="L202" s="118">
        <f t="shared" ca="1" si="30"/>
        <v>105.11682965934081</v>
      </c>
      <c r="M202" s="119">
        <f t="shared" ca="1" si="31"/>
        <v>3.572351876220814E-2</v>
      </c>
      <c r="N202" s="55"/>
      <c r="O202" s="55"/>
      <c r="P202" s="173"/>
      <c r="W202" s="38"/>
    </row>
    <row r="203" spans="1:23" s="19" customFormat="1" x14ac:dyDescent="0.2">
      <c r="A203" s="120">
        <v>41193</v>
      </c>
      <c r="B203" s="56">
        <f t="shared" si="24"/>
        <v>11</v>
      </c>
      <c r="C203" s="56">
        <f t="shared" si="25"/>
        <v>2</v>
      </c>
      <c r="D203" s="56">
        <f t="shared" si="26"/>
        <v>10</v>
      </c>
      <c r="E203" s="56" t="str">
        <f t="shared" si="27"/>
        <v>102</v>
      </c>
      <c r="F203" s="66">
        <f ca="1">VLOOKUP(B203,Factors!$B:$I,6,0)</f>
        <v>1.0827906976744186</v>
      </c>
      <c r="G203" s="66">
        <f ca="1">VLOOKUP(E203,Factors!$E:$I,4,0)</f>
        <v>1.146354076883296</v>
      </c>
      <c r="H203" s="66">
        <f ca="1">VLOOKUP(D203,Factors!D:I,6,0)</f>
        <v>0.95985703289225499</v>
      </c>
      <c r="I203" s="121">
        <v>265</v>
      </c>
      <c r="J203" s="122">
        <f t="shared" ca="1" si="28"/>
        <v>292.98339500994098</v>
      </c>
      <c r="K203" s="117">
        <f t="shared" ca="1" si="29"/>
        <v>27.983395009940978</v>
      </c>
      <c r="L203" s="118">
        <f t="shared" ca="1" si="30"/>
        <v>783.07039628238965</v>
      </c>
      <c r="M203" s="119">
        <f t="shared" ca="1" si="31"/>
        <v>0.1055977170186452</v>
      </c>
      <c r="N203" s="55"/>
      <c r="O203" s="55"/>
      <c r="P203" s="173"/>
      <c r="W203" s="38"/>
    </row>
    <row r="204" spans="1:23" s="19" customFormat="1" x14ac:dyDescent="0.2">
      <c r="A204" s="120">
        <v>41194</v>
      </c>
      <c r="B204" s="56">
        <f t="shared" si="24"/>
        <v>12</v>
      </c>
      <c r="C204" s="56">
        <f t="shared" si="25"/>
        <v>2</v>
      </c>
      <c r="D204" s="56">
        <f t="shared" si="26"/>
        <v>10</v>
      </c>
      <c r="E204" s="56" t="str">
        <f t="shared" si="27"/>
        <v>102</v>
      </c>
      <c r="F204" s="66">
        <f ca="1">VLOOKUP(B204,Factors!$B:$I,6,0)</f>
        <v>1.0297674418604652</v>
      </c>
      <c r="G204" s="66">
        <f ca="1">VLOOKUP(E204,Factors!$E:$I,4,0)</f>
        <v>1.146354076883296</v>
      </c>
      <c r="H204" s="66">
        <f ca="1">VLOOKUP(D204,Factors!D:I,6,0)</f>
        <v>0.95985703289225499</v>
      </c>
      <c r="I204" s="121">
        <v>199</v>
      </c>
      <c r="J204" s="122">
        <f t="shared" ca="1" si="28"/>
        <v>276.85110346169574</v>
      </c>
      <c r="K204" s="117">
        <f t="shared" ca="1" si="29"/>
        <v>77.851103461695743</v>
      </c>
      <c r="L204" s="118">
        <f t="shared" ca="1" si="30"/>
        <v>6060.7943102036552</v>
      </c>
      <c r="M204" s="119">
        <f t="shared" ca="1" si="31"/>
        <v>0.3912115751844007</v>
      </c>
      <c r="N204" s="55"/>
      <c r="O204" s="55"/>
      <c r="P204" s="173"/>
      <c r="W204" s="38"/>
    </row>
    <row r="205" spans="1:23" s="19" customFormat="1" x14ac:dyDescent="0.2">
      <c r="A205" s="120">
        <v>41197</v>
      </c>
      <c r="B205" s="56">
        <f t="shared" si="24"/>
        <v>15</v>
      </c>
      <c r="C205" s="56">
        <f t="shared" si="25"/>
        <v>3</v>
      </c>
      <c r="D205" s="56">
        <f t="shared" si="26"/>
        <v>10</v>
      </c>
      <c r="E205" s="56" t="str">
        <f t="shared" si="27"/>
        <v>103</v>
      </c>
      <c r="F205" s="66">
        <f ca="1">VLOOKUP(B205,Factors!$B:$I,6,0)</f>
        <v>1.0225400953619419</v>
      </c>
      <c r="G205" s="66">
        <f ca="1">VLOOKUP(E205,Factors!$E:$I,4,0)</f>
        <v>1.1420444750905017</v>
      </c>
      <c r="H205" s="66">
        <f ca="1">VLOOKUP(D205,Factors!D:I,6,0)</f>
        <v>0.95985703289225499</v>
      </c>
      <c r="I205" s="121">
        <v>297</v>
      </c>
      <c r="J205" s="122">
        <f t="shared" ca="1" si="28"/>
        <v>282.81041188158156</v>
      </c>
      <c r="K205" s="117">
        <f t="shared" ca="1" si="29"/>
        <v>-14.189588118418442</v>
      </c>
      <c r="L205" s="118">
        <f t="shared" ca="1" si="30"/>
        <v>201.34441097036182</v>
      </c>
      <c r="M205" s="119">
        <f t="shared" ca="1" si="31"/>
        <v>4.7776390971105864E-2</v>
      </c>
      <c r="N205" s="55"/>
      <c r="O205" s="55"/>
      <c r="P205" s="173"/>
      <c r="W205" s="38"/>
    </row>
    <row r="206" spans="1:23" s="19" customFormat="1" x14ac:dyDescent="0.2">
      <c r="A206" s="120">
        <v>41198</v>
      </c>
      <c r="B206" s="56">
        <f t="shared" si="24"/>
        <v>16</v>
      </c>
      <c r="C206" s="56">
        <f t="shared" si="25"/>
        <v>3</v>
      </c>
      <c r="D206" s="56">
        <f t="shared" si="26"/>
        <v>10</v>
      </c>
      <c r="E206" s="56" t="str">
        <f t="shared" si="27"/>
        <v>103</v>
      </c>
      <c r="F206" s="66">
        <f ca="1">VLOOKUP(B206,Factors!$B:$I,6,0)</f>
        <v>0.19534883720930232</v>
      </c>
      <c r="G206" s="66">
        <f ca="1">VLOOKUP(E206,Factors!$E:$I,4,0)</f>
        <v>1.1420444750905017</v>
      </c>
      <c r="H206" s="66">
        <f ca="1">VLOOKUP(D206,Factors!D:I,6,0)</f>
        <v>0.95985703289225499</v>
      </c>
      <c r="I206" s="121">
        <v>311</v>
      </c>
      <c r="J206" s="122">
        <f t="shared" ca="1" si="28"/>
        <v>60.995158700471222</v>
      </c>
      <c r="K206" s="117">
        <f t="shared" ca="1" si="29"/>
        <v>-250.00484129952878</v>
      </c>
      <c r="L206" s="118">
        <f t="shared" ca="1" si="30"/>
        <v>62502.42067320257</v>
      </c>
      <c r="M206" s="119">
        <f t="shared" ca="1" si="31"/>
        <v>0.80387408777983527</v>
      </c>
      <c r="N206" s="55"/>
      <c r="O206" s="55"/>
      <c r="P206" s="173"/>
      <c r="W206" s="38"/>
    </row>
    <row r="207" spans="1:23" s="19" customFormat="1" x14ac:dyDescent="0.2">
      <c r="A207" s="120">
        <v>41199</v>
      </c>
      <c r="B207" s="56">
        <f t="shared" si="24"/>
        <v>17</v>
      </c>
      <c r="C207" s="56">
        <f t="shared" si="25"/>
        <v>3</v>
      </c>
      <c r="D207" s="56">
        <f t="shared" si="26"/>
        <v>10</v>
      </c>
      <c r="E207" s="56" t="str">
        <f t="shared" si="27"/>
        <v>103</v>
      </c>
      <c r="F207" s="66">
        <f ca="1">VLOOKUP(B207,Factors!$B:$I,6,0)</f>
        <v>1.2809302325581395</v>
      </c>
      <c r="G207" s="66">
        <f ca="1">VLOOKUP(E207,Factors!$E:$I,4,0)</f>
        <v>1.1420444750905017</v>
      </c>
      <c r="H207" s="66">
        <f ca="1">VLOOKUP(D207,Factors!D:I,6,0)</f>
        <v>0.95985703289225499</v>
      </c>
      <c r="I207" s="121">
        <v>244</v>
      </c>
      <c r="J207" s="122">
        <f t="shared" ca="1" si="28"/>
        <v>347.37030232475695</v>
      </c>
      <c r="K207" s="117">
        <f t="shared" ca="1" si="29"/>
        <v>103.37030232475695</v>
      </c>
      <c r="L207" s="118">
        <f t="shared" ca="1" si="30"/>
        <v>10685.419402711652</v>
      </c>
      <c r="M207" s="119">
        <f t="shared" ca="1" si="31"/>
        <v>0.42364878001949569</v>
      </c>
      <c r="N207" s="55"/>
      <c r="O207" s="55"/>
      <c r="P207" s="173"/>
      <c r="W207" s="38"/>
    </row>
    <row r="208" spans="1:23" s="19" customFormat="1" x14ac:dyDescent="0.2">
      <c r="A208" s="120">
        <v>41200</v>
      </c>
      <c r="B208" s="56">
        <f t="shared" si="24"/>
        <v>18</v>
      </c>
      <c r="C208" s="56">
        <f t="shared" si="25"/>
        <v>3</v>
      </c>
      <c r="D208" s="56">
        <f t="shared" si="26"/>
        <v>10</v>
      </c>
      <c r="E208" s="56" t="str">
        <f t="shared" si="27"/>
        <v>103</v>
      </c>
      <c r="F208" s="66">
        <f ca="1">VLOOKUP(B208,Factors!$B:$I,6,0)</f>
        <v>1.2111627906976745</v>
      </c>
      <c r="G208" s="66">
        <f ca="1">VLOOKUP(E208,Factors!$E:$I,4,0)</f>
        <v>1.1420444750905017</v>
      </c>
      <c r="H208" s="66">
        <f ca="1">VLOOKUP(D208,Factors!D:I,6,0)</f>
        <v>0.95985703289225499</v>
      </c>
      <c r="I208" s="121">
        <v>250</v>
      </c>
      <c r="J208" s="122">
        <f t="shared" ca="1" si="28"/>
        <v>326.78937202397447</v>
      </c>
      <c r="K208" s="117">
        <f t="shared" ca="1" si="29"/>
        <v>76.789372023974465</v>
      </c>
      <c r="L208" s="118">
        <f t="shared" ca="1" si="30"/>
        <v>5896.607655836352</v>
      </c>
      <c r="M208" s="119">
        <f t="shared" ca="1" si="31"/>
        <v>0.30715748809589788</v>
      </c>
      <c r="N208" s="55"/>
      <c r="O208" s="55"/>
      <c r="P208" s="173"/>
      <c r="W208" s="38"/>
    </row>
    <row r="209" spans="1:23" s="19" customFormat="1" x14ac:dyDescent="0.2">
      <c r="A209" s="120">
        <v>41201</v>
      </c>
      <c r="B209" s="56">
        <f t="shared" si="24"/>
        <v>19</v>
      </c>
      <c r="C209" s="56">
        <f t="shared" si="25"/>
        <v>3</v>
      </c>
      <c r="D209" s="56">
        <f t="shared" si="26"/>
        <v>10</v>
      </c>
      <c r="E209" s="56" t="str">
        <f t="shared" si="27"/>
        <v>103</v>
      </c>
      <c r="F209" s="66">
        <f ca="1">VLOOKUP(B209,Factors!$B:$I,6,0)</f>
        <v>0.99069767441860468</v>
      </c>
      <c r="G209" s="66">
        <f ca="1">VLOOKUP(E209,Factors!$E:$I,4,0)</f>
        <v>1.1420444750905017</v>
      </c>
      <c r="H209" s="66">
        <f ca="1">VLOOKUP(D209,Factors!D:I,6,0)</f>
        <v>0.95985703289225499</v>
      </c>
      <c r="I209" s="121">
        <v>223</v>
      </c>
      <c r="J209" s="122">
        <f t="shared" ca="1" si="28"/>
        <v>266.17069295035697</v>
      </c>
      <c r="K209" s="117">
        <f t="shared" ca="1" si="29"/>
        <v>43.170692950356965</v>
      </c>
      <c r="L209" s="118">
        <f t="shared" ca="1" si="30"/>
        <v>1863.7087298140007</v>
      </c>
      <c r="M209" s="119">
        <f t="shared" ca="1" si="31"/>
        <v>0.19359055134689221</v>
      </c>
      <c r="N209" s="55"/>
      <c r="O209" s="55"/>
      <c r="P209" s="173"/>
      <c r="W209" s="38"/>
    </row>
    <row r="210" spans="1:23" s="19" customFormat="1" x14ac:dyDescent="0.2">
      <c r="A210" s="120">
        <v>41204</v>
      </c>
      <c r="B210" s="56">
        <f t="shared" si="24"/>
        <v>22</v>
      </c>
      <c r="C210" s="56">
        <f t="shared" si="25"/>
        <v>4</v>
      </c>
      <c r="D210" s="56">
        <f t="shared" si="26"/>
        <v>10</v>
      </c>
      <c r="E210" s="56" t="str">
        <f t="shared" si="27"/>
        <v>104</v>
      </c>
      <c r="F210" s="66">
        <f ca="1">VLOOKUP(B210,Factors!$B:$I,6,0)</f>
        <v>0.90420459471174686</v>
      </c>
      <c r="G210" s="66">
        <f ca="1">VLOOKUP(E210,Factors!$E:$I,4,0)</f>
        <v>1.0558524392346147</v>
      </c>
      <c r="H210" s="66">
        <f ca="1">VLOOKUP(D210,Factors!D:I,6,0)</f>
        <v>0.95985703289225499</v>
      </c>
      <c r="I210" s="121">
        <v>261</v>
      </c>
      <c r="J210" s="122">
        <f t="shared" ca="1" si="28"/>
        <v>249.91798453085914</v>
      </c>
      <c r="K210" s="117">
        <f t="shared" ca="1" si="29"/>
        <v>-11.082015469140856</v>
      </c>
      <c r="L210" s="118">
        <f t="shared" ca="1" si="30"/>
        <v>122.81106685827723</v>
      </c>
      <c r="M210" s="119">
        <f t="shared" ca="1" si="31"/>
        <v>4.2459829383681438E-2</v>
      </c>
      <c r="N210" s="55"/>
      <c r="O210" s="55"/>
      <c r="P210" s="173"/>
      <c r="W210" s="38"/>
    </row>
    <row r="211" spans="1:23" s="19" customFormat="1" x14ac:dyDescent="0.2">
      <c r="A211" s="120">
        <v>41205</v>
      </c>
      <c r="B211" s="56">
        <f t="shared" si="24"/>
        <v>23</v>
      </c>
      <c r="C211" s="56">
        <f t="shared" si="25"/>
        <v>4</v>
      </c>
      <c r="D211" s="56">
        <f t="shared" si="26"/>
        <v>10</v>
      </c>
      <c r="E211" s="56" t="str">
        <f t="shared" si="27"/>
        <v>104</v>
      </c>
      <c r="F211" s="66">
        <f ca="1">VLOOKUP(B211,Factors!$B:$I,6,0)</f>
        <v>1.0213953488372094</v>
      </c>
      <c r="G211" s="66">
        <f ca="1">VLOOKUP(E211,Factors!$E:$I,4,0)</f>
        <v>1.0558524392346147</v>
      </c>
      <c r="H211" s="66">
        <f ca="1">VLOOKUP(D211,Factors!D:I,6,0)</f>
        <v>0.95985703289225499</v>
      </c>
      <c r="I211" s="121">
        <v>288</v>
      </c>
      <c r="J211" s="122">
        <f t="shared" ca="1" si="28"/>
        <v>279.00859236618794</v>
      </c>
      <c r="K211" s="117">
        <f t="shared" ca="1" si="29"/>
        <v>-8.9914076338120594</v>
      </c>
      <c r="L211" s="118">
        <f t="shared" ca="1" si="30"/>
        <v>80.845411237373781</v>
      </c>
      <c r="M211" s="119">
        <f t="shared" ca="1" si="31"/>
        <v>3.1220165395180761E-2</v>
      </c>
      <c r="N211" s="55"/>
      <c r="O211" s="55"/>
      <c r="P211" s="173"/>
      <c r="W211" s="38"/>
    </row>
    <row r="212" spans="1:23" s="19" customFormat="1" x14ac:dyDescent="0.2">
      <c r="A212" s="120">
        <v>41206</v>
      </c>
      <c r="B212" s="56">
        <f t="shared" si="24"/>
        <v>24</v>
      </c>
      <c r="C212" s="56">
        <f t="shared" si="25"/>
        <v>4</v>
      </c>
      <c r="D212" s="56">
        <f t="shared" si="26"/>
        <v>10</v>
      </c>
      <c r="E212" s="56" t="str">
        <f t="shared" si="27"/>
        <v>104</v>
      </c>
      <c r="F212" s="66">
        <f ca="1">VLOOKUP(B212,Factors!$B:$I,6,0)</f>
        <v>1.1162790697674418</v>
      </c>
      <c r="G212" s="66">
        <f ca="1">VLOOKUP(E212,Factors!$E:$I,4,0)</f>
        <v>1.0558524392346147</v>
      </c>
      <c r="H212" s="66">
        <f ca="1">VLOOKUP(D212,Factors!D:I,6,0)</f>
        <v>0.95985703289225499</v>
      </c>
      <c r="I212" s="121">
        <v>239</v>
      </c>
      <c r="J212" s="122">
        <f t="shared" ca="1" si="28"/>
        <v>302.17260979868809</v>
      </c>
      <c r="K212" s="117">
        <f t="shared" ca="1" si="29"/>
        <v>63.172609798688086</v>
      </c>
      <c r="L212" s="118">
        <f t="shared" ca="1" si="30"/>
        <v>3990.7786287773019</v>
      </c>
      <c r="M212" s="119">
        <f t="shared" ca="1" si="31"/>
        <v>0.26432054309074515</v>
      </c>
      <c r="N212" s="55"/>
      <c r="O212" s="55"/>
      <c r="P212" s="173"/>
      <c r="W212" s="38"/>
    </row>
    <row r="213" spans="1:23" s="19" customFormat="1" x14ac:dyDescent="0.2">
      <c r="A213" s="120">
        <v>41207</v>
      </c>
      <c r="B213" s="56">
        <f t="shared" si="24"/>
        <v>25</v>
      </c>
      <c r="C213" s="56">
        <f t="shared" si="25"/>
        <v>4</v>
      </c>
      <c r="D213" s="56">
        <f t="shared" si="26"/>
        <v>10</v>
      </c>
      <c r="E213" s="56" t="str">
        <f t="shared" si="27"/>
        <v>104</v>
      </c>
      <c r="F213" s="66">
        <f ca="1">VLOOKUP(B213,Factors!$B:$I,6,0)</f>
        <v>0.9767441860465117</v>
      </c>
      <c r="G213" s="66">
        <f ca="1">VLOOKUP(E213,Factors!$E:$I,4,0)</f>
        <v>1.0558524392346147</v>
      </c>
      <c r="H213" s="66">
        <f ca="1">VLOOKUP(D213,Factors!D:I,6,0)</f>
        <v>0.95985703289225499</v>
      </c>
      <c r="I213" s="121">
        <v>241</v>
      </c>
      <c r="J213" s="122">
        <f t="shared" ca="1" si="28"/>
        <v>263.0556846956672</v>
      </c>
      <c r="K213" s="117">
        <f t="shared" ca="1" si="29"/>
        <v>22.055684695667196</v>
      </c>
      <c r="L213" s="118">
        <f t="shared" ca="1" si="30"/>
        <v>486.45322739468816</v>
      </c>
      <c r="M213" s="119">
        <f t="shared" ca="1" si="31"/>
        <v>9.1517363882436503E-2</v>
      </c>
      <c r="N213" s="55"/>
      <c r="O213" s="55"/>
      <c r="P213" s="173"/>
      <c r="W213" s="38"/>
    </row>
    <row r="214" spans="1:23" s="19" customFormat="1" x14ac:dyDescent="0.2">
      <c r="A214" s="120">
        <v>41208</v>
      </c>
      <c r="B214" s="56">
        <f t="shared" si="24"/>
        <v>26</v>
      </c>
      <c r="C214" s="56">
        <f t="shared" si="25"/>
        <v>4</v>
      </c>
      <c r="D214" s="56">
        <f t="shared" si="26"/>
        <v>10</v>
      </c>
      <c r="E214" s="56" t="str">
        <f t="shared" si="27"/>
        <v>104</v>
      </c>
      <c r="F214" s="66">
        <f ca="1">VLOOKUP(B214,Factors!$B:$I,6,0)</f>
        <v>0.91255813953488374</v>
      </c>
      <c r="G214" s="66">
        <f ca="1">VLOOKUP(E214,Factors!$E:$I,4,0)</f>
        <v>1.0558524392346147</v>
      </c>
      <c r="H214" s="66">
        <f ca="1">VLOOKUP(D214,Factors!D:I,6,0)</f>
        <v>0.95985703289225499</v>
      </c>
      <c r="I214" s="121">
        <v>196</v>
      </c>
      <c r="J214" s="122">
        <f t="shared" ca="1" si="28"/>
        <v>243.95763397906373</v>
      </c>
      <c r="K214" s="117">
        <f t="shared" ca="1" si="29"/>
        <v>47.957633979063729</v>
      </c>
      <c r="L214" s="118">
        <f t="shared" ca="1" si="30"/>
        <v>2299.9346568698479</v>
      </c>
      <c r="M214" s="119">
        <f t="shared" ca="1" si="31"/>
        <v>0.24468180601563128</v>
      </c>
      <c r="N214" s="55"/>
      <c r="O214" s="55"/>
      <c r="P214" s="173"/>
      <c r="W214" s="38"/>
    </row>
    <row r="215" spans="1:23" s="19" customFormat="1" x14ac:dyDescent="0.2">
      <c r="A215" s="120">
        <v>41211</v>
      </c>
      <c r="B215" s="56">
        <f t="shared" si="24"/>
        <v>29</v>
      </c>
      <c r="C215" s="56">
        <f t="shared" si="25"/>
        <v>5</v>
      </c>
      <c r="D215" s="56">
        <f t="shared" si="26"/>
        <v>10</v>
      </c>
      <c r="E215" s="56" t="str">
        <f t="shared" si="27"/>
        <v>105</v>
      </c>
      <c r="F215" s="66">
        <f ca="1">VLOOKUP(B215,Factors!$B:$I,6,0)</f>
        <v>0.99826614651061996</v>
      </c>
      <c r="G215" s="66">
        <f ca="1">VLOOKUP(E215,Factors!$E:$I,4,0)</f>
        <v>0.54818134804344076</v>
      </c>
      <c r="H215" s="66">
        <f ca="1">VLOOKUP(D215,Factors!D:I,6,0)</f>
        <v>0.95985703289225499</v>
      </c>
      <c r="I215" s="121">
        <v>176</v>
      </c>
      <c r="J215" s="122">
        <f t="shared" ca="1" si="28"/>
        <v>267.52345895601758</v>
      </c>
      <c r="K215" s="117">
        <f t="shared" ca="1" si="29"/>
        <v>91.523458956017578</v>
      </c>
      <c r="L215" s="118">
        <f t="shared" ca="1" si="30"/>
        <v>8376.5435392738345</v>
      </c>
      <c r="M215" s="119">
        <f t="shared" ca="1" si="31"/>
        <v>0.52001965315919074</v>
      </c>
      <c r="N215" s="55"/>
      <c r="O215" s="55"/>
      <c r="P215" s="173"/>
      <c r="W215" s="38"/>
    </row>
    <row r="216" spans="1:23" s="19" customFormat="1" x14ac:dyDescent="0.2">
      <c r="A216" s="120">
        <v>41212</v>
      </c>
      <c r="B216" s="56">
        <f t="shared" si="24"/>
        <v>30</v>
      </c>
      <c r="C216" s="56">
        <f t="shared" si="25"/>
        <v>5</v>
      </c>
      <c r="D216" s="56">
        <f t="shared" si="26"/>
        <v>10</v>
      </c>
      <c r="E216" s="56" t="str">
        <f t="shared" si="27"/>
        <v>105</v>
      </c>
      <c r="F216" s="66">
        <f ca="1">VLOOKUP(B216,Factors!$B:$I,6,0)</f>
        <v>1.1162790697674418</v>
      </c>
      <c r="G216" s="66">
        <f ca="1">VLOOKUP(E216,Factors!$E:$I,4,0)</f>
        <v>0.54818134804344076</v>
      </c>
      <c r="H216" s="66">
        <f ca="1">VLOOKUP(D216,Factors!D:I,6,0)</f>
        <v>0.95985703289225499</v>
      </c>
      <c r="I216" s="121">
        <v>196</v>
      </c>
      <c r="J216" s="122">
        <f t="shared" ca="1" si="28"/>
        <v>296.83250281736434</v>
      </c>
      <c r="K216" s="117">
        <f t="shared" ca="1" si="29"/>
        <v>100.83250281736434</v>
      </c>
      <c r="L216" s="118">
        <f t="shared" ca="1" si="30"/>
        <v>10167.193624413789</v>
      </c>
      <c r="M216" s="119">
        <f t="shared" ca="1" si="31"/>
        <v>0.51445154498655277</v>
      </c>
      <c r="N216" s="55"/>
      <c r="O216" s="55"/>
      <c r="P216" s="173"/>
      <c r="W216" s="38"/>
    </row>
    <row r="217" spans="1:23" s="19" customFormat="1" x14ac:dyDescent="0.2">
      <c r="A217" s="120">
        <v>41213</v>
      </c>
      <c r="B217" s="56">
        <f t="shared" si="24"/>
        <v>31</v>
      </c>
      <c r="C217" s="56">
        <f t="shared" si="25"/>
        <v>5</v>
      </c>
      <c r="D217" s="56">
        <f t="shared" si="26"/>
        <v>10</v>
      </c>
      <c r="E217" s="56" t="str">
        <f t="shared" si="27"/>
        <v>105</v>
      </c>
      <c r="F217" s="66">
        <f ca="1">VLOOKUP(B217,Factors!$B:$I,6,0)</f>
        <v>1.1218604651162791</v>
      </c>
      <c r="G217" s="66">
        <f ca="1">VLOOKUP(E217,Factors!$E:$I,4,0)</f>
        <v>0.54818134804344076</v>
      </c>
      <c r="H217" s="66">
        <f ca="1">VLOOKUP(D217,Factors!D:I,6,0)</f>
        <v>0.95985703289225499</v>
      </c>
      <c r="I217" s="121">
        <v>264</v>
      </c>
      <c r="J217" s="122">
        <f t="shared" ca="1" si="28"/>
        <v>296.27044690299937</v>
      </c>
      <c r="K217" s="117">
        <f t="shared" ca="1" si="29"/>
        <v>32.270446902999367</v>
      </c>
      <c r="L217" s="118">
        <f t="shared" ca="1" si="30"/>
        <v>1041.3817433193014</v>
      </c>
      <c r="M217" s="119">
        <f t="shared" ca="1" si="31"/>
        <v>0.12223654129924003</v>
      </c>
      <c r="N217" s="55"/>
      <c r="O217" s="55"/>
      <c r="P217" s="173"/>
      <c r="W217" s="38"/>
    </row>
    <row r="218" spans="1:23" s="19" customFormat="1" x14ac:dyDescent="0.2">
      <c r="A218" s="120">
        <v>41214</v>
      </c>
      <c r="B218" s="56">
        <f t="shared" si="24"/>
        <v>1</v>
      </c>
      <c r="C218" s="56">
        <f t="shared" si="25"/>
        <v>1</v>
      </c>
      <c r="D218" s="56">
        <f t="shared" si="26"/>
        <v>11</v>
      </c>
      <c r="E218" s="56" t="str">
        <f t="shared" si="27"/>
        <v>111</v>
      </c>
      <c r="F218" s="66">
        <f ca="1">VLOOKUP(B218,Factors!$B:$I,6,0)</f>
        <v>1.0923276983094929</v>
      </c>
      <c r="G218" s="66">
        <f ca="1">VLOOKUP(E218,Factors!$E:$I,4,0)</f>
        <v>0.41999440670145793</v>
      </c>
      <c r="H218" s="66">
        <f ca="1">VLOOKUP(D218,Factors!D:I,6,0)</f>
        <v>0.902110074698944</v>
      </c>
      <c r="I218" s="121">
        <v>263</v>
      </c>
      <c r="J218" s="122">
        <f t="shared" ca="1" si="28"/>
        <v>275.70678508893542</v>
      </c>
      <c r="K218" s="117">
        <f t="shared" ca="1" si="29"/>
        <v>12.706785088935419</v>
      </c>
      <c r="L218" s="118">
        <f t="shared" ca="1" si="30"/>
        <v>161.46238729639151</v>
      </c>
      <c r="M218" s="119">
        <f t="shared" ca="1" si="31"/>
        <v>4.8314772201275356E-2</v>
      </c>
      <c r="N218" s="55"/>
      <c r="O218" s="55"/>
      <c r="P218" s="173"/>
      <c r="W218" s="38"/>
    </row>
    <row r="219" spans="1:23" s="19" customFormat="1" x14ac:dyDescent="0.2">
      <c r="A219" s="120">
        <v>41215</v>
      </c>
      <c r="B219" s="56">
        <f t="shared" si="24"/>
        <v>2</v>
      </c>
      <c r="C219" s="56">
        <f t="shared" si="25"/>
        <v>1</v>
      </c>
      <c r="D219" s="56">
        <f t="shared" si="26"/>
        <v>11</v>
      </c>
      <c r="E219" s="56" t="str">
        <f t="shared" si="27"/>
        <v>111</v>
      </c>
      <c r="F219" s="66">
        <f ca="1">VLOOKUP(B219,Factors!$B:$I,6,0)</f>
        <v>1.0953619419159082</v>
      </c>
      <c r="G219" s="66">
        <f ca="1">VLOOKUP(E219,Factors!$E:$I,4,0)</f>
        <v>0.41999440670145793</v>
      </c>
      <c r="H219" s="66">
        <f ca="1">VLOOKUP(D219,Factors!D:I,6,0)</f>
        <v>0.902110074698944</v>
      </c>
      <c r="I219" s="121">
        <v>195</v>
      </c>
      <c r="J219" s="122">
        <f t="shared" ca="1" si="28"/>
        <v>274.46799529700507</v>
      </c>
      <c r="K219" s="117">
        <f t="shared" ca="1" si="29"/>
        <v>79.467995297005075</v>
      </c>
      <c r="L219" s="118">
        <f t="shared" ca="1" si="30"/>
        <v>6315.1622765248203</v>
      </c>
      <c r="M219" s="119">
        <f t="shared" ca="1" si="31"/>
        <v>0.40752818101028243</v>
      </c>
      <c r="N219" s="55"/>
      <c r="O219" s="55"/>
      <c r="P219" s="173"/>
      <c r="W219" s="38"/>
    </row>
    <row r="220" spans="1:23" s="19" customFormat="1" x14ac:dyDescent="0.2">
      <c r="A220" s="120">
        <v>41218</v>
      </c>
      <c r="B220" s="56">
        <f t="shared" si="24"/>
        <v>5</v>
      </c>
      <c r="C220" s="56">
        <f t="shared" si="25"/>
        <v>2</v>
      </c>
      <c r="D220" s="56">
        <f t="shared" si="26"/>
        <v>11</v>
      </c>
      <c r="E220" s="56" t="str">
        <f t="shared" si="27"/>
        <v>112</v>
      </c>
      <c r="F220" s="66">
        <f ca="1">VLOOKUP(B220,Factors!$B:$I,6,0)</f>
        <v>0.95441860465116279</v>
      </c>
      <c r="G220" s="66">
        <f ca="1">VLOOKUP(E220,Factors!$E:$I,4,0)</f>
        <v>1.1325176687255469</v>
      </c>
      <c r="H220" s="66">
        <f ca="1">VLOOKUP(D220,Factors!D:I,6,0)</f>
        <v>0.902110074698944</v>
      </c>
      <c r="I220" s="121">
        <v>267</v>
      </c>
      <c r="J220" s="122">
        <f t="shared" ca="1" si="28"/>
        <v>254.99068119075574</v>
      </c>
      <c r="K220" s="117">
        <f t="shared" ca="1" si="29"/>
        <v>-12.009318809244263</v>
      </c>
      <c r="L220" s="118">
        <f t="shared" ca="1" si="30"/>
        <v>144.22373826206805</v>
      </c>
      <c r="M220" s="119">
        <f t="shared" ca="1" si="31"/>
        <v>4.4978722132000985E-2</v>
      </c>
      <c r="N220" s="55"/>
      <c r="O220" s="55"/>
      <c r="P220" s="173"/>
      <c r="W220" s="38"/>
    </row>
    <row r="221" spans="1:23" s="19" customFormat="1" x14ac:dyDescent="0.2">
      <c r="A221" s="120">
        <v>41219</v>
      </c>
      <c r="B221" s="56">
        <f t="shared" si="24"/>
        <v>6</v>
      </c>
      <c r="C221" s="56">
        <f t="shared" si="25"/>
        <v>2</v>
      </c>
      <c r="D221" s="56">
        <f t="shared" si="26"/>
        <v>11</v>
      </c>
      <c r="E221" s="56" t="str">
        <f t="shared" si="27"/>
        <v>112</v>
      </c>
      <c r="F221" s="66">
        <f ca="1">VLOOKUP(B221,Factors!$B:$I,6,0)</f>
        <v>0.97953488372093034</v>
      </c>
      <c r="G221" s="66">
        <f ca="1">VLOOKUP(E221,Factors!$E:$I,4,0)</f>
        <v>1.1325176687255469</v>
      </c>
      <c r="H221" s="66">
        <f ca="1">VLOOKUP(D221,Factors!D:I,6,0)</f>
        <v>0.902110074698944</v>
      </c>
      <c r="I221" s="121">
        <v>242</v>
      </c>
      <c r="J221" s="122">
        <f t="shared" ca="1" si="28"/>
        <v>259.6187038210175</v>
      </c>
      <c r="K221" s="117">
        <f t="shared" ca="1" si="29"/>
        <v>17.618703821017505</v>
      </c>
      <c r="L221" s="118">
        <f t="shared" ca="1" si="30"/>
        <v>310.41872433273682</v>
      </c>
      <c r="M221" s="119">
        <f t="shared" ca="1" si="31"/>
        <v>7.280456124387398E-2</v>
      </c>
      <c r="N221" s="55"/>
      <c r="O221" s="55"/>
      <c r="P221" s="173"/>
      <c r="W221" s="38"/>
    </row>
    <row r="222" spans="1:23" s="19" customFormat="1" x14ac:dyDescent="0.2">
      <c r="A222" s="120">
        <v>41220</v>
      </c>
      <c r="B222" s="56">
        <f t="shared" si="24"/>
        <v>7</v>
      </c>
      <c r="C222" s="56">
        <f t="shared" si="25"/>
        <v>2</v>
      </c>
      <c r="D222" s="56">
        <f t="shared" si="26"/>
        <v>11</v>
      </c>
      <c r="E222" s="56" t="str">
        <f t="shared" si="27"/>
        <v>112</v>
      </c>
      <c r="F222" s="66">
        <f ca="1">VLOOKUP(B222,Factors!$B:$I,6,0)</f>
        <v>1.1772865192891202</v>
      </c>
      <c r="G222" s="66">
        <f ca="1">VLOOKUP(E222,Factors!$E:$I,4,0)</f>
        <v>1.1325176687255469</v>
      </c>
      <c r="H222" s="66">
        <f ca="1">VLOOKUP(D222,Factors!D:I,6,0)</f>
        <v>0.902110074698944</v>
      </c>
      <c r="I222" s="121">
        <v>279</v>
      </c>
      <c r="J222" s="122">
        <f t="shared" ca="1" si="28"/>
        <v>310.11293546518107</v>
      </c>
      <c r="K222" s="117">
        <f t="shared" ca="1" si="29"/>
        <v>31.112935465181067</v>
      </c>
      <c r="L222" s="118">
        <f t="shared" ca="1" si="30"/>
        <v>968.01475326052184</v>
      </c>
      <c r="M222" s="119">
        <f t="shared" ca="1" si="31"/>
        <v>0.11151589772466332</v>
      </c>
      <c r="N222" s="55"/>
      <c r="O222" s="55"/>
      <c r="P222" s="173"/>
      <c r="W222" s="38"/>
    </row>
    <row r="223" spans="1:23" s="19" customFormat="1" x14ac:dyDescent="0.2">
      <c r="A223" s="120">
        <v>41221</v>
      </c>
      <c r="B223" s="56">
        <f t="shared" si="24"/>
        <v>8</v>
      </c>
      <c r="C223" s="56">
        <f t="shared" si="25"/>
        <v>2</v>
      </c>
      <c r="D223" s="56">
        <f t="shared" si="26"/>
        <v>11</v>
      </c>
      <c r="E223" s="56" t="str">
        <f t="shared" si="27"/>
        <v>112</v>
      </c>
      <c r="F223" s="66">
        <f ca="1">VLOOKUP(B223,Factors!$B:$I,6,0)</f>
        <v>1.1469440832249675</v>
      </c>
      <c r="G223" s="66">
        <f ca="1">VLOOKUP(E223,Factors!$E:$I,4,0)</f>
        <v>1.1325176687255469</v>
      </c>
      <c r="H223" s="66">
        <f ca="1">VLOOKUP(D223,Factors!D:I,6,0)</f>
        <v>0.902110074698944</v>
      </c>
      <c r="I223" s="121">
        <v>256</v>
      </c>
      <c r="J223" s="122">
        <f t="shared" ca="1" si="28"/>
        <v>300.00654290049943</v>
      </c>
      <c r="K223" s="117">
        <f t="shared" ca="1" si="29"/>
        <v>44.006542900499426</v>
      </c>
      <c r="L223" s="118">
        <f t="shared" ca="1" si="30"/>
        <v>1936.5758180534965</v>
      </c>
      <c r="M223" s="119">
        <f t="shared" ca="1" si="31"/>
        <v>0.17190055820507588</v>
      </c>
      <c r="N223" s="55"/>
      <c r="O223" s="55"/>
      <c r="P223" s="173"/>
      <c r="W223" s="38"/>
    </row>
    <row r="224" spans="1:23" s="19" customFormat="1" x14ac:dyDescent="0.2">
      <c r="A224" s="120">
        <v>41222</v>
      </c>
      <c r="B224" s="56">
        <f t="shared" si="24"/>
        <v>9</v>
      </c>
      <c r="C224" s="56">
        <f t="shared" si="25"/>
        <v>2</v>
      </c>
      <c r="D224" s="56">
        <f t="shared" si="26"/>
        <v>11</v>
      </c>
      <c r="E224" s="56" t="str">
        <f t="shared" si="27"/>
        <v>112</v>
      </c>
      <c r="F224" s="66">
        <f ca="1">VLOOKUP(B224,Factors!$B:$I,6,0)</f>
        <v>1.08</v>
      </c>
      <c r="G224" s="66">
        <f ca="1">VLOOKUP(E224,Factors!$E:$I,4,0)</f>
        <v>1.1325176687255469</v>
      </c>
      <c r="H224" s="66">
        <f ca="1">VLOOKUP(D224,Factors!D:I,6,0)</f>
        <v>0.902110074698944</v>
      </c>
      <c r="I224" s="121">
        <v>191</v>
      </c>
      <c r="J224" s="122">
        <f t="shared" ca="1" si="28"/>
        <v>280.17572984060854</v>
      </c>
      <c r="K224" s="117">
        <f t="shared" ca="1" si="29"/>
        <v>89.17572984060854</v>
      </c>
      <c r="L224" s="118">
        <f t="shared" ca="1" si="30"/>
        <v>7952.3107926052007</v>
      </c>
      <c r="M224" s="119">
        <f t="shared" ca="1" si="31"/>
        <v>0.46688863790894525</v>
      </c>
      <c r="N224" s="55"/>
      <c r="O224" s="55"/>
      <c r="P224" s="173"/>
      <c r="W224" s="38"/>
    </row>
    <row r="225" spans="1:23" s="19" customFormat="1" x14ac:dyDescent="0.2">
      <c r="A225" s="120">
        <v>41225</v>
      </c>
      <c r="B225" s="56">
        <f t="shared" si="24"/>
        <v>12</v>
      </c>
      <c r="C225" s="56">
        <f t="shared" si="25"/>
        <v>3</v>
      </c>
      <c r="D225" s="56">
        <f t="shared" si="26"/>
        <v>11</v>
      </c>
      <c r="E225" s="56" t="str">
        <f t="shared" si="27"/>
        <v>113</v>
      </c>
      <c r="F225" s="66">
        <f ca="1">VLOOKUP(B225,Factors!$B:$I,6,0)</f>
        <v>1.0297674418604652</v>
      </c>
      <c r="G225" s="66">
        <f ca="1">VLOOKUP(E225,Factors!$E:$I,4,0)</f>
        <v>1.1842866238323884</v>
      </c>
      <c r="H225" s="66">
        <f ca="1">VLOOKUP(D225,Factors!D:I,6,0)</f>
        <v>0.902110074698944</v>
      </c>
      <c r="I225" s="121">
        <v>243</v>
      </c>
      <c r="J225" s="122">
        <f t="shared" ca="1" si="28"/>
        <v>275.49860518018363</v>
      </c>
      <c r="K225" s="117">
        <f t="shared" ca="1" si="29"/>
        <v>32.498605180183631</v>
      </c>
      <c r="L225" s="118">
        <f t="shared" ca="1" si="30"/>
        <v>1056.1593386574584</v>
      </c>
      <c r="M225" s="119">
        <f t="shared" ca="1" si="31"/>
        <v>0.13373911596783386</v>
      </c>
      <c r="N225" s="55"/>
      <c r="O225" s="55"/>
      <c r="P225" s="173"/>
      <c r="W225" s="38"/>
    </row>
    <row r="226" spans="1:23" s="19" customFormat="1" x14ac:dyDescent="0.2">
      <c r="A226" s="120">
        <v>41226</v>
      </c>
      <c r="B226" s="56">
        <f t="shared" si="24"/>
        <v>13</v>
      </c>
      <c r="C226" s="56">
        <f t="shared" si="25"/>
        <v>3</v>
      </c>
      <c r="D226" s="56">
        <f t="shared" si="26"/>
        <v>11</v>
      </c>
      <c r="E226" s="56" t="str">
        <f t="shared" si="27"/>
        <v>113</v>
      </c>
      <c r="F226" s="66">
        <f ca="1">VLOOKUP(B226,Factors!$B:$I,6,0)</f>
        <v>0.8567441860465117</v>
      </c>
      <c r="G226" s="66">
        <f ca="1">VLOOKUP(E226,Factors!$E:$I,4,0)</f>
        <v>1.1842866238323884</v>
      </c>
      <c r="H226" s="66">
        <f ca="1">VLOOKUP(D226,Factors!D:I,6,0)</f>
        <v>0.902110074698944</v>
      </c>
      <c r="I226" s="121">
        <v>250</v>
      </c>
      <c r="J226" s="122">
        <f t="shared" ca="1" si="28"/>
        <v>227.48440257208827</v>
      </c>
      <c r="K226" s="117">
        <f t="shared" ca="1" si="29"/>
        <v>-22.515597427911729</v>
      </c>
      <c r="L226" s="118">
        <f t="shared" ca="1" si="30"/>
        <v>506.95212753578528</v>
      </c>
      <c r="M226" s="119">
        <f t="shared" ca="1" si="31"/>
        <v>9.0062389711646915E-2</v>
      </c>
      <c r="N226" s="55"/>
      <c r="O226" s="55"/>
      <c r="P226" s="173"/>
      <c r="W226" s="38"/>
    </row>
    <row r="227" spans="1:23" s="19" customFormat="1" x14ac:dyDescent="0.2">
      <c r="A227" s="120">
        <v>41227</v>
      </c>
      <c r="B227" s="56">
        <f t="shared" si="24"/>
        <v>14</v>
      </c>
      <c r="C227" s="56">
        <f t="shared" si="25"/>
        <v>3</v>
      </c>
      <c r="D227" s="56">
        <f t="shared" si="26"/>
        <v>11</v>
      </c>
      <c r="E227" s="56" t="str">
        <f t="shared" si="27"/>
        <v>113</v>
      </c>
      <c r="F227" s="66">
        <f ca="1">VLOOKUP(B227,Factors!$B:$I,6,0)</f>
        <v>0.97702644126571314</v>
      </c>
      <c r="G227" s="66">
        <f ca="1">VLOOKUP(E227,Factors!$E:$I,4,0)</f>
        <v>1.1842866238323884</v>
      </c>
      <c r="H227" s="66">
        <f ca="1">VLOOKUP(D227,Factors!D:I,6,0)</f>
        <v>0.902110074698944</v>
      </c>
      <c r="I227" s="121">
        <v>297</v>
      </c>
      <c r="J227" s="122">
        <f t="shared" ca="1" si="28"/>
        <v>257.39636843168392</v>
      </c>
      <c r="K227" s="117">
        <f t="shared" ca="1" si="29"/>
        <v>-39.603631568316075</v>
      </c>
      <c r="L227" s="118">
        <f t="shared" ca="1" si="30"/>
        <v>1568.4476333989217</v>
      </c>
      <c r="M227" s="119">
        <f t="shared" ca="1" si="31"/>
        <v>0.13334556083608107</v>
      </c>
      <c r="N227" s="55"/>
      <c r="O227" s="55"/>
      <c r="P227" s="173"/>
      <c r="W227" s="38"/>
    </row>
    <row r="228" spans="1:23" s="19" customFormat="1" x14ac:dyDescent="0.2">
      <c r="A228" s="120">
        <v>41228</v>
      </c>
      <c r="B228" s="56">
        <f t="shared" si="24"/>
        <v>15</v>
      </c>
      <c r="C228" s="56">
        <f t="shared" si="25"/>
        <v>3</v>
      </c>
      <c r="D228" s="56">
        <f t="shared" si="26"/>
        <v>11</v>
      </c>
      <c r="E228" s="56" t="str">
        <f t="shared" si="27"/>
        <v>113</v>
      </c>
      <c r="F228" s="66">
        <f ca="1">VLOOKUP(B228,Factors!$B:$I,6,0)</f>
        <v>1.0225400953619419</v>
      </c>
      <c r="G228" s="66">
        <f ca="1">VLOOKUP(E228,Factors!$E:$I,4,0)</f>
        <v>1.1842866238323884</v>
      </c>
      <c r="H228" s="66">
        <f ca="1">VLOOKUP(D228,Factors!D:I,6,0)</f>
        <v>0.902110074698944</v>
      </c>
      <c r="I228" s="121">
        <v>275</v>
      </c>
      <c r="J228" s="122">
        <f t="shared" ca="1" si="28"/>
        <v>267.44361853234608</v>
      </c>
      <c r="K228" s="117">
        <f t="shared" ca="1" si="29"/>
        <v>-7.5563814676539209</v>
      </c>
      <c r="L228" s="118">
        <f t="shared" ca="1" si="30"/>
        <v>57.098900884703625</v>
      </c>
      <c r="M228" s="119">
        <f t="shared" ca="1" si="31"/>
        <v>2.7477750791468802E-2</v>
      </c>
      <c r="N228" s="55"/>
      <c r="O228" s="55"/>
      <c r="P228" s="173"/>
      <c r="W228" s="38"/>
    </row>
    <row r="229" spans="1:23" s="19" customFormat="1" x14ac:dyDescent="0.2">
      <c r="A229" s="120">
        <v>41229</v>
      </c>
      <c r="B229" s="56">
        <f t="shared" si="24"/>
        <v>16</v>
      </c>
      <c r="C229" s="56">
        <f t="shared" si="25"/>
        <v>3</v>
      </c>
      <c r="D229" s="56">
        <f t="shared" si="26"/>
        <v>11</v>
      </c>
      <c r="E229" s="56" t="str">
        <f t="shared" si="27"/>
        <v>113</v>
      </c>
      <c r="F229" s="66">
        <f ca="1">VLOOKUP(B229,Factors!$B:$I,6,0)</f>
        <v>0.19534883720930232</v>
      </c>
      <c r="G229" s="66">
        <f ca="1">VLOOKUP(E229,Factors!$E:$I,4,0)</f>
        <v>1.1842866238323884</v>
      </c>
      <c r="H229" s="66">
        <f ca="1">VLOOKUP(D229,Factors!D:I,6,0)</f>
        <v>0.902110074698944</v>
      </c>
      <c r="I229" s="121">
        <v>226</v>
      </c>
      <c r="J229" s="122">
        <f t="shared" ca="1" si="28"/>
        <v>45.628365351235743</v>
      </c>
      <c r="K229" s="117">
        <f t="shared" ca="1" si="29"/>
        <v>-180.37163464876426</v>
      </c>
      <c r="L229" s="118">
        <f t="shared" ca="1" si="30"/>
        <v>32533.926585867295</v>
      </c>
      <c r="M229" s="119">
        <f t="shared" ca="1" si="31"/>
        <v>0.79810457809187729</v>
      </c>
      <c r="N229" s="55"/>
      <c r="O229" s="55"/>
      <c r="P229" s="173"/>
      <c r="W229" s="38"/>
    </row>
    <row r="230" spans="1:23" s="19" customFormat="1" x14ac:dyDescent="0.2">
      <c r="A230" s="120">
        <v>41232</v>
      </c>
      <c r="B230" s="56">
        <f t="shared" si="24"/>
        <v>19</v>
      </c>
      <c r="C230" s="56">
        <f t="shared" si="25"/>
        <v>4</v>
      </c>
      <c r="D230" s="56">
        <f t="shared" si="26"/>
        <v>11</v>
      </c>
      <c r="E230" s="56" t="str">
        <f t="shared" si="27"/>
        <v>114</v>
      </c>
      <c r="F230" s="66">
        <f ca="1">VLOOKUP(B230,Factors!$B:$I,6,0)</f>
        <v>0.99069767441860468</v>
      </c>
      <c r="G230" s="66">
        <f ca="1">VLOOKUP(E230,Factors!$E:$I,4,0)</f>
        <v>0.68042761959057152</v>
      </c>
      <c r="H230" s="66">
        <f ca="1">VLOOKUP(D230,Factors!D:I,6,0)</f>
        <v>0.902110074698944</v>
      </c>
      <c r="I230" s="121">
        <v>255</v>
      </c>
      <c r="J230" s="122">
        <f t="shared" ca="1" si="28"/>
        <v>257.78706055383191</v>
      </c>
      <c r="K230" s="117">
        <f t="shared" ca="1" si="29"/>
        <v>2.7870605538319069</v>
      </c>
      <c r="L230" s="118">
        <f t="shared" ca="1" si="30"/>
        <v>7.7677065307258157</v>
      </c>
      <c r="M230" s="119">
        <f t="shared" ca="1" si="31"/>
        <v>1.0929649230713359E-2</v>
      </c>
      <c r="N230" s="55"/>
      <c r="O230" s="55"/>
      <c r="P230" s="173"/>
      <c r="W230" s="38"/>
    </row>
    <row r="231" spans="1:23" s="19" customFormat="1" x14ac:dyDescent="0.2">
      <c r="A231" s="120">
        <v>41233</v>
      </c>
      <c r="B231" s="56">
        <f t="shared" si="24"/>
        <v>20</v>
      </c>
      <c r="C231" s="56">
        <f t="shared" si="25"/>
        <v>4</v>
      </c>
      <c r="D231" s="56">
        <f t="shared" si="26"/>
        <v>11</v>
      </c>
      <c r="E231" s="56" t="str">
        <f t="shared" si="27"/>
        <v>114</v>
      </c>
      <c r="F231" s="66">
        <f ca="1">VLOOKUP(B231,Factors!$B:$I,6,0)</f>
        <v>0.84837209302325589</v>
      </c>
      <c r="G231" s="66">
        <f ca="1">VLOOKUP(E231,Factors!$E:$I,4,0)</f>
        <v>0.68042761959057152</v>
      </c>
      <c r="H231" s="66">
        <f ca="1">VLOOKUP(D231,Factors!D:I,6,0)</f>
        <v>0.902110074698944</v>
      </c>
      <c r="I231" s="121">
        <v>256</v>
      </c>
      <c r="J231" s="122">
        <f t="shared" ca="1" si="28"/>
        <v>217.92869565872149</v>
      </c>
      <c r="K231" s="117">
        <f t="shared" ca="1" si="29"/>
        <v>-38.071304341278505</v>
      </c>
      <c r="L231" s="118">
        <f t="shared" ca="1" si="30"/>
        <v>1449.4242142462515</v>
      </c>
      <c r="M231" s="119">
        <f t="shared" ca="1" si="31"/>
        <v>0.14871603258311916</v>
      </c>
      <c r="N231" s="55"/>
      <c r="O231" s="55"/>
      <c r="P231" s="173"/>
      <c r="W231" s="38"/>
    </row>
    <row r="232" spans="1:23" s="19" customFormat="1" x14ac:dyDescent="0.2">
      <c r="A232" s="120">
        <v>41234</v>
      </c>
      <c r="B232" s="56">
        <f t="shared" si="24"/>
        <v>21</v>
      </c>
      <c r="C232" s="56">
        <f t="shared" si="25"/>
        <v>4</v>
      </c>
      <c r="D232" s="56">
        <f t="shared" si="26"/>
        <v>11</v>
      </c>
      <c r="E232" s="56" t="str">
        <f t="shared" si="27"/>
        <v>114</v>
      </c>
      <c r="F232" s="66">
        <f ca="1">VLOOKUP(B232,Factors!$B:$I,6,0)</f>
        <v>1.1772865192891202</v>
      </c>
      <c r="G232" s="66">
        <f ca="1">VLOOKUP(E232,Factors!$E:$I,4,0)</f>
        <v>0.68042761959057152</v>
      </c>
      <c r="H232" s="66">
        <f ca="1">VLOOKUP(D232,Factors!D:I,6,0)</f>
        <v>0.902110074698944</v>
      </c>
      <c r="I232" s="121">
        <v>184</v>
      </c>
      <c r="J232" s="122">
        <f t="shared" ca="1" si="28"/>
        <v>303.27059753109324</v>
      </c>
      <c r="K232" s="117">
        <f t="shared" ca="1" si="29"/>
        <v>119.27059753109324</v>
      </c>
      <c r="L232" s="118">
        <f t="shared" ca="1" si="30"/>
        <v>14225.475435424027</v>
      </c>
      <c r="M232" s="119">
        <f t="shared" ca="1" si="31"/>
        <v>0.64820976919072415</v>
      </c>
      <c r="N232" s="55"/>
      <c r="O232" s="55"/>
      <c r="P232" s="173"/>
      <c r="W232" s="38"/>
    </row>
    <row r="233" spans="1:23" s="19" customFormat="1" x14ac:dyDescent="0.2">
      <c r="A233" s="120">
        <v>41236</v>
      </c>
      <c r="B233" s="56">
        <f t="shared" si="24"/>
        <v>23</v>
      </c>
      <c r="C233" s="56">
        <f t="shared" si="25"/>
        <v>4</v>
      </c>
      <c r="D233" s="56">
        <f t="shared" si="26"/>
        <v>11</v>
      </c>
      <c r="E233" s="56" t="str">
        <f t="shared" si="27"/>
        <v>114</v>
      </c>
      <c r="F233" s="66">
        <f ca="1">VLOOKUP(B233,Factors!$B:$I,6,0)</f>
        <v>1.0213953488372094</v>
      </c>
      <c r="G233" s="66">
        <f ca="1">VLOOKUP(E233,Factors!$E:$I,4,0)</f>
        <v>0.68042761959057152</v>
      </c>
      <c r="H233" s="66">
        <f ca="1">VLOOKUP(D233,Factors!D:I,6,0)</f>
        <v>0.902110074698944</v>
      </c>
      <c r="I233" s="121">
        <v>47</v>
      </c>
      <c r="J233" s="122">
        <f t="shared" ca="1" si="28"/>
        <v>257.76315627264046</v>
      </c>
      <c r="K233" s="117">
        <f t="shared" ca="1" si="29"/>
        <v>210.76315627264046</v>
      </c>
      <c r="L233" s="118">
        <f t="shared" ca="1" si="30"/>
        <v>44421.108042005464</v>
      </c>
      <c r="M233" s="119">
        <f t="shared" ca="1" si="31"/>
        <v>4.4843224738859675</v>
      </c>
      <c r="N233" s="55"/>
      <c r="O233" s="55"/>
      <c r="P233" s="173"/>
      <c r="W233" s="38"/>
    </row>
    <row r="234" spans="1:23" s="19" customFormat="1" x14ac:dyDescent="0.2">
      <c r="A234" s="120">
        <v>41239</v>
      </c>
      <c r="B234" s="56">
        <f t="shared" si="24"/>
        <v>26</v>
      </c>
      <c r="C234" s="56">
        <f t="shared" si="25"/>
        <v>5</v>
      </c>
      <c r="D234" s="56">
        <f t="shared" si="26"/>
        <v>11</v>
      </c>
      <c r="E234" s="56" t="str">
        <f t="shared" si="27"/>
        <v>115</v>
      </c>
      <c r="F234" s="66">
        <f ca="1">VLOOKUP(B234,Factors!$B:$I,6,0)</f>
        <v>0.91255813953488374</v>
      </c>
      <c r="G234" s="66">
        <f ca="1">VLOOKUP(E234,Factors!$E:$I,4,0)</f>
        <v>1.5827736811500357</v>
      </c>
      <c r="H234" s="66">
        <f ca="1">VLOOKUP(D234,Factors!D:I,6,0)</f>
        <v>0.902110074698944</v>
      </c>
      <c r="I234" s="121">
        <v>405</v>
      </c>
      <c r="J234" s="122">
        <f t="shared" ca="1" si="28"/>
        <v>249.48762835629179</v>
      </c>
      <c r="K234" s="117">
        <f t="shared" ca="1" si="29"/>
        <v>-155.51237164370821</v>
      </c>
      <c r="L234" s="118">
        <f t="shared" ca="1" si="30"/>
        <v>24184.097734250819</v>
      </c>
      <c r="M234" s="119">
        <f t="shared" ca="1" si="31"/>
        <v>0.38398116455236592</v>
      </c>
      <c r="N234" s="55"/>
      <c r="O234" s="55"/>
      <c r="P234" s="173"/>
      <c r="W234" s="38"/>
    </row>
    <row r="235" spans="1:23" s="19" customFormat="1" x14ac:dyDescent="0.2">
      <c r="A235" s="120">
        <v>41240</v>
      </c>
      <c r="B235" s="56">
        <f t="shared" si="24"/>
        <v>27</v>
      </c>
      <c r="C235" s="56">
        <f t="shared" si="25"/>
        <v>5</v>
      </c>
      <c r="D235" s="56">
        <f t="shared" si="26"/>
        <v>11</v>
      </c>
      <c r="E235" s="56" t="str">
        <f t="shared" si="27"/>
        <v>115</v>
      </c>
      <c r="F235" s="66">
        <f ca="1">VLOOKUP(B235,Factors!$B:$I,6,0)</f>
        <v>0.76744186046511631</v>
      </c>
      <c r="G235" s="66">
        <f ca="1">VLOOKUP(E235,Factors!$E:$I,4,0)</f>
        <v>1.5827736811500357</v>
      </c>
      <c r="H235" s="66">
        <f ca="1">VLOOKUP(D235,Factors!D:I,6,0)</f>
        <v>0.902110074698944</v>
      </c>
      <c r="I235" s="121">
        <v>364</v>
      </c>
      <c r="J235" s="122">
        <f t="shared" ca="1" si="28"/>
        <v>208.8878236690918</v>
      </c>
      <c r="K235" s="117">
        <f t="shared" ca="1" si="29"/>
        <v>-155.1121763309082</v>
      </c>
      <c r="L235" s="118">
        <f t="shared" ca="1" si="30"/>
        <v>24059.787246110758</v>
      </c>
      <c r="M235" s="119">
        <f t="shared" ca="1" si="31"/>
        <v>0.42613235255744009</v>
      </c>
      <c r="N235" s="55"/>
      <c r="O235" s="55"/>
      <c r="P235" s="173"/>
      <c r="W235" s="38"/>
    </row>
    <row r="236" spans="1:23" s="19" customFormat="1" x14ac:dyDescent="0.2">
      <c r="A236" s="120">
        <v>41241</v>
      </c>
      <c r="B236" s="56">
        <f t="shared" si="24"/>
        <v>28</v>
      </c>
      <c r="C236" s="56">
        <f t="shared" si="25"/>
        <v>5</v>
      </c>
      <c r="D236" s="56">
        <f t="shared" si="26"/>
        <v>11</v>
      </c>
      <c r="E236" s="56" t="str">
        <f t="shared" si="27"/>
        <v>115</v>
      </c>
      <c r="F236" s="66">
        <f ca="1">VLOOKUP(B236,Factors!$B:$I,6,0)</f>
        <v>1.1014304291287387</v>
      </c>
      <c r="G236" s="66">
        <f ca="1">VLOOKUP(E236,Factors!$E:$I,4,0)</f>
        <v>1.5827736811500357</v>
      </c>
      <c r="H236" s="66">
        <f ca="1">VLOOKUP(D236,Factors!D:I,6,0)</f>
        <v>0.902110074698944</v>
      </c>
      <c r="I236" s="121">
        <v>344</v>
      </c>
      <c r="J236" s="122">
        <f t="shared" ca="1" si="28"/>
        <v>295.57783684671642</v>
      </c>
      <c r="K236" s="117">
        <f t="shared" ca="1" si="29"/>
        <v>-48.422163153283577</v>
      </c>
      <c r="L236" s="118">
        <f t="shared" ca="1" si="30"/>
        <v>2344.7058844432136</v>
      </c>
      <c r="M236" s="119">
        <f t="shared" ca="1" si="31"/>
        <v>0.14076210218977783</v>
      </c>
      <c r="N236" s="55"/>
      <c r="O236" s="55"/>
      <c r="P236" s="173"/>
      <c r="W236" s="38"/>
    </row>
    <row r="237" spans="1:23" s="19" customFormat="1" x14ac:dyDescent="0.2">
      <c r="A237" s="120">
        <v>41242</v>
      </c>
      <c r="B237" s="56">
        <f t="shared" si="24"/>
        <v>29</v>
      </c>
      <c r="C237" s="56">
        <f t="shared" si="25"/>
        <v>5</v>
      </c>
      <c r="D237" s="56">
        <f t="shared" si="26"/>
        <v>11</v>
      </c>
      <c r="E237" s="56" t="str">
        <f t="shared" si="27"/>
        <v>115</v>
      </c>
      <c r="F237" s="66">
        <f ca="1">VLOOKUP(B237,Factors!$B:$I,6,0)</f>
        <v>0.99826614651061996</v>
      </c>
      <c r="G237" s="66">
        <f ca="1">VLOOKUP(E237,Factors!$E:$I,4,0)</f>
        <v>1.5827736811500357</v>
      </c>
      <c r="H237" s="66">
        <f ca="1">VLOOKUP(D237,Factors!D:I,6,0)</f>
        <v>0.902110074698944</v>
      </c>
      <c r="I237" s="121">
        <v>323</v>
      </c>
      <c r="J237" s="122">
        <f t="shared" ca="1" si="28"/>
        <v>266.12394732330483</v>
      </c>
      <c r="K237" s="117">
        <f t="shared" ca="1" si="29"/>
        <v>-56.876052676695167</v>
      </c>
      <c r="L237" s="118">
        <f t="shared" ca="1" si="30"/>
        <v>3234.8853680822035</v>
      </c>
      <c r="M237" s="119">
        <f t="shared" ca="1" si="31"/>
        <v>0.17608685039224509</v>
      </c>
      <c r="N237" s="55"/>
      <c r="O237" s="55"/>
      <c r="P237" s="173"/>
      <c r="W237" s="38"/>
    </row>
    <row r="238" spans="1:23" s="19" customFormat="1" x14ac:dyDescent="0.2">
      <c r="A238" s="120">
        <v>41243</v>
      </c>
      <c r="B238" s="56">
        <f t="shared" si="24"/>
        <v>30</v>
      </c>
      <c r="C238" s="56">
        <f t="shared" si="25"/>
        <v>5</v>
      </c>
      <c r="D238" s="56">
        <f t="shared" si="26"/>
        <v>11</v>
      </c>
      <c r="E238" s="56" t="str">
        <f t="shared" si="27"/>
        <v>115</v>
      </c>
      <c r="F238" s="66">
        <f ca="1">VLOOKUP(B238,Factors!$B:$I,6,0)</f>
        <v>1.1162790697674418</v>
      </c>
      <c r="G238" s="66">
        <f ca="1">VLOOKUP(E238,Factors!$E:$I,4,0)</f>
        <v>1.5827736811500357</v>
      </c>
      <c r="H238" s="66">
        <f ca="1">VLOOKUP(D238,Factors!D:I,6,0)</f>
        <v>0.902110074698944</v>
      </c>
      <c r="I238" s="121">
        <v>290</v>
      </c>
      <c r="J238" s="122">
        <f t="shared" ca="1" si="28"/>
        <v>295.4329911846516</v>
      </c>
      <c r="K238" s="117">
        <f t="shared" ca="1" si="29"/>
        <v>5.4329911846515984</v>
      </c>
      <c r="L238" s="118">
        <f t="shared" ca="1" si="30"/>
        <v>29.517393212501979</v>
      </c>
      <c r="M238" s="119">
        <f t="shared" ca="1" si="31"/>
        <v>1.8734452360867581E-2</v>
      </c>
      <c r="N238" s="55"/>
      <c r="O238" s="55"/>
      <c r="P238" s="173"/>
      <c r="W238" s="38"/>
    </row>
    <row r="239" spans="1:23" s="19" customFormat="1" x14ac:dyDescent="0.2">
      <c r="A239" s="120">
        <v>41246</v>
      </c>
      <c r="B239" s="56">
        <f t="shared" si="24"/>
        <v>3</v>
      </c>
      <c r="C239" s="56">
        <f t="shared" si="25"/>
        <v>2</v>
      </c>
      <c r="D239" s="56">
        <f t="shared" si="26"/>
        <v>12</v>
      </c>
      <c r="E239" s="56" t="str">
        <f t="shared" si="27"/>
        <v>122</v>
      </c>
      <c r="F239" s="66">
        <f ca="1">VLOOKUP(B239,Factors!$B:$I,6,0)</f>
        <v>1.2613953488372094</v>
      </c>
      <c r="G239" s="66">
        <f ca="1">VLOOKUP(E239,Factors!$E:$I,4,0)</f>
        <v>1.1621757322175732</v>
      </c>
      <c r="H239" s="66">
        <f ca="1">VLOOKUP(D239,Factors!D:I,6,0)</f>
        <v>0.98935935239058637</v>
      </c>
      <c r="I239" s="121">
        <v>327</v>
      </c>
      <c r="J239" s="122">
        <f t="shared" ca="1" si="28"/>
        <v>359.16635448184019</v>
      </c>
      <c r="K239" s="117">
        <f t="shared" ca="1" si="29"/>
        <v>32.166354481840187</v>
      </c>
      <c r="L239" s="118">
        <f t="shared" ca="1" si="30"/>
        <v>1034.6743606514003</v>
      </c>
      <c r="M239" s="119">
        <f t="shared" ca="1" si="31"/>
        <v>9.8368056519388958E-2</v>
      </c>
      <c r="N239" s="55"/>
      <c r="O239" s="55"/>
      <c r="P239" s="173"/>
      <c r="W239" s="38"/>
    </row>
    <row r="240" spans="1:23" s="19" customFormat="1" x14ac:dyDescent="0.2">
      <c r="A240" s="120">
        <v>41247</v>
      </c>
      <c r="B240" s="56">
        <f t="shared" si="24"/>
        <v>4</v>
      </c>
      <c r="C240" s="56">
        <f t="shared" si="25"/>
        <v>2</v>
      </c>
      <c r="D240" s="56">
        <f t="shared" si="26"/>
        <v>12</v>
      </c>
      <c r="E240" s="56" t="str">
        <f t="shared" si="27"/>
        <v>122</v>
      </c>
      <c r="F240" s="66">
        <f ca="1">VLOOKUP(B240,Factors!$B:$I,6,0)</f>
        <v>1.1051162790697675</v>
      </c>
      <c r="G240" s="66">
        <f ca="1">VLOOKUP(E240,Factors!$E:$I,4,0)</f>
        <v>1.1621757322175732</v>
      </c>
      <c r="H240" s="66">
        <f ca="1">VLOOKUP(D240,Factors!D:I,6,0)</f>
        <v>0.98935935239058637</v>
      </c>
      <c r="I240" s="121">
        <v>409</v>
      </c>
      <c r="J240" s="122">
        <f t="shared" ca="1" si="28"/>
        <v>315.60079062628205</v>
      </c>
      <c r="K240" s="117">
        <f t="shared" ca="1" si="29"/>
        <v>-93.399209373717952</v>
      </c>
      <c r="L240" s="118">
        <f t="shared" ca="1" si="30"/>
        <v>8723.4123116356041</v>
      </c>
      <c r="M240" s="119">
        <f t="shared" ca="1" si="31"/>
        <v>0.22835992511911479</v>
      </c>
      <c r="N240" s="55"/>
      <c r="O240" s="55"/>
      <c r="P240" s="173"/>
      <c r="W240" s="38"/>
    </row>
    <row r="241" spans="1:23" s="19" customFormat="1" x14ac:dyDescent="0.2">
      <c r="A241" s="120">
        <v>41248</v>
      </c>
      <c r="B241" s="56">
        <f t="shared" si="24"/>
        <v>5</v>
      </c>
      <c r="C241" s="56">
        <f t="shared" si="25"/>
        <v>2</v>
      </c>
      <c r="D241" s="56">
        <f t="shared" si="26"/>
        <v>12</v>
      </c>
      <c r="E241" s="56" t="str">
        <f t="shared" si="27"/>
        <v>122</v>
      </c>
      <c r="F241" s="66">
        <f ca="1">VLOOKUP(B241,Factors!$B:$I,6,0)</f>
        <v>0.95441860465116279</v>
      </c>
      <c r="G241" s="66">
        <f ca="1">VLOOKUP(E241,Factors!$E:$I,4,0)</f>
        <v>1.1621757322175732</v>
      </c>
      <c r="H241" s="66">
        <f ca="1">VLOOKUP(D241,Factors!D:I,6,0)</f>
        <v>0.98935935239058637</v>
      </c>
      <c r="I241" s="121">
        <v>350</v>
      </c>
      <c r="J241" s="122">
        <f t="shared" ca="1" si="28"/>
        <v>273.51810635490295</v>
      </c>
      <c r="K241" s="117">
        <f t="shared" ca="1" si="29"/>
        <v>-76.481893645097045</v>
      </c>
      <c r="L241" s="118">
        <f t="shared" ca="1" si="30"/>
        <v>5849.4800555399361</v>
      </c>
      <c r="M241" s="119">
        <f t="shared" ca="1" si="31"/>
        <v>0.21851969612884869</v>
      </c>
      <c r="N241" s="55"/>
      <c r="O241" s="55"/>
      <c r="P241" s="173"/>
      <c r="W241" s="38"/>
    </row>
    <row r="242" spans="1:23" s="19" customFormat="1" x14ac:dyDescent="0.2">
      <c r="A242" s="120">
        <v>41249</v>
      </c>
      <c r="B242" s="56">
        <f t="shared" si="24"/>
        <v>6</v>
      </c>
      <c r="C242" s="56">
        <f t="shared" si="25"/>
        <v>2</v>
      </c>
      <c r="D242" s="56">
        <f t="shared" si="26"/>
        <v>12</v>
      </c>
      <c r="E242" s="56" t="str">
        <f t="shared" si="27"/>
        <v>122</v>
      </c>
      <c r="F242" s="66">
        <f ca="1">VLOOKUP(B242,Factors!$B:$I,6,0)</f>
        <v>0.97953488372093034</v>
      </c>
      <c r="G242" s="66">
        <f ca="1">VLOOKUP(E242,Factors!$E:$I,4,0)</f>
        <v>1.1621757322175732</v>
      </c>
      <c r="H242" s="66">
        <f ca="1">VLOOKUP(D242,Factors!D:I,6,0)</f>
        <v>0.98935935239058637</v>
      </c>
      <c r="I242" s="121">
        <v>375</v>
      </c>
      <c r="J242" s="122">
        <f t="shared" ca="1" si="28"/>
        <v>278.14612898516475</v>
      </c>
      <c r="K242" s="117">
        <f t="shared" ca="1" si="29"/>
        <v>-96.853871014835249</v>
      </c>
      <c r="L242" s="118">
        <f t="shared" ca="1" si="30"/>
        <v>9380.6723305583437</v>
      </c>
      <c r="M242" s="119">
        <f t="shared" ca="1" si="31"/>
        <v>0.25827698937289401</v>
      </c>
      <c r="N242" s="55"/>
      <c r="O242" s="55"/>
      <c r="P242" s="173"/>
      <c r="W242" s="38"/>
    </row>
    <row r="243" spans="1:23" s="19" customFormat="1" x14ac:dyDescent="0.2">
      <c r="A243" s="120">
        <v>41250</v>
      </c>
      <c r="B243" s="56">
        <f t="shared" si="24"/>
        <v>7</v>
      </c>
      <c r="C243" s="56">
        <f t="shared" si="25"/>
        <v>2</v>
      </c>
      <c r="D243" s="56">
        <f t="shared" si="26"/>
        <v>12</v>
      </c>
      <c r="E243" s="56" t="str">
        <f t="shared" si="27"/>
        <v>122</v>
      </c>
      <c r="F243" s="66">
        <f ca="1">VLOOKUP(B243,Factors!$B:$I,6,0)</f>
        <v>1.1772865192891202</v>
      </c>
      <c r="G243" s="66">
        <f ca="1">VLOOKUP(E243,Factors!$E:$I,4,0)</f>
        <v>1.1621757322175732</v>
      </c>
      <c r="H243" s="66">
        <f ca="1">VLOOKUP(D243,Factors!D:I,6,0)</f>
        <v>0.98935935239058637</v>
      </c>
      <c r="I243" s="121">
        <v>275</v>
      </c>
      <c r="J243" s="122">
        <f t="shared" ca="1" si="28"/>
        <v>328.64036062932826</v>
      </c>
      <c r="K243" s="117">
        <f t="shared" ca="1" si="29"/>
        <v>53.640360629328256</v>
      </c>
      <c r="L243" s="118">
        <f t="shared" ca="1" si="30"/>
        <v>2877.2882884443889</v>
      </c>
      <c r="M243" s="119">
        <f t="shared" ca="1" si="31"/>
        <v>0.19505585683392093</v>
      </c>
      <c r="N243" s="55"/>
      <c r="O243" s="55"/>
      <c r="P243" s="173"/>
      <c r="W243" s="38"/>
    </row>
    <row r="244" spans="1:23" s="19" customFormat="1" x14ac:dyDescent="0.2">
      <c r="A244" s="120">
        <v>41253</v>
      </c>
      <c r="B244" s="56">
        <f t="shared" si="24"/>
        <v>10</v>
      </c>
      <c r="C244" s="56">
        <f t="shared" si="25"/>
        <v>3</v>
      </c>
      <c r="D244" s="56">
        <f t="shared" si="26"/>
        <v>12</v>
      </c>
      <c r="E244" s="56" t="str">
        <f t="shared" si="27"/>
        <v>123</v>
      </c>
      <c r="F244" s="66">
        <f ca="1">VLOOKUP(B244,Factors!$B:$I,6,0)</f>
        <v>1.0911627906976744</v>
      </c>
      <c r="G244" s="66">
        <f ca="1">VLOOKUP(E244,Factors!$E:$I,4,0)</f>
        <v>1.1668619246861924</v>
      </c>
      <c r="H244" s="66">
        <f ca="1">VLOOKUP(D244,Factors!D:I,6,0)</f>
        <v>0.98935935239058637</v>
      </c>
      <c r="I244" s="121">
        <v>385</v>
      </c>
      <c r="J244" s="122">
        <f t="shared" ca="1" si="28"/>
        <v>313.76488911929698</v>
      </c>
      <c r="K244" s="117">
        <f t="shared" ca="1" si="29"/>
        <v>-71.235110880703019</v>
      </c>
      <c r="L244" s="118">
        <f t="shared" ca="1" si="30"/>
        <v>5074.4410221860535</v>
      </c>
      <c r="M244" s="119">
        <f t="shared" ca="1" si="31"/>
        <v>0.18502626202780004</v>
      </c>
      <c r="N244" s="55"/>
      <c r="O244" s="55"/>
      <c r="P244" s="173"/>
      <c r="W244" s="38"/>
    </row>
    <row r="245" spans="1:23" s="19" customFormat="1" x14ac:dyDescent="0.2">
      <c r="A245" s="120">
        <v>41254</v>
      </c>
      <c r="B245" s="56">
        <f t="shared" si="24"/>
        <v>11</v>
      </c>
      <c r="C245" s="56">
        <f t="shared" si="25"/>
        <v>3</v>
      </c>
      <c r="D245" s="56">
        <f t="shared" si="26"/>
        <v>12</v>
      </c>
      <c r="E245" s="56" t="str">
        <f t="shared" si="27"/>
        <v>123</v>
      </c>
      <c r="F245" s="66">
        <f ca="1">VLOOKUP(B245,Factors!$B:$I,6,0)</f>
        <v>1.0827906976744186</v>
      </c>
      <c r="G245" s="66">
        <f ca="1">VLOOKUP(E245,Factors!$E:$I,4,0)</f>
        <v>1.1668619246861924</v>
      </c>
      <c r="H245" s="66">
        <f ca="1">VLOOKUP(D245,Factors!D:I,6,0)</f>
        <v>0.98935935239058637</v>
      </c>
      <c r="I245" s="121">
        <v>397</v>
      </c>
      <c r="J245" s="122">
        <f t="shared" ca="1" si="28"/>
        <v>309.49563424448422</v>
      </c>
      <c r="K245" s="117">
        <f t="shared" ca="1" si="29"/>
        <v>-87.504365755515778</v>
      </c>
      <c r="L245" s="118">
        <f t="shared" ca="1" si="30"/>
        <v>7657.014026275082</v>
      </c>
      <c r="M245" s="119">
        <f t="shared" ca="1" si="31"/>
        <v>0.22041401953530423</v>
      </c>
      <c r="N245" s="55"/>
      <c r="O245" s="55"/>
      <c r="P245" s="173"/>
      <c r="W245" s="38"/>
    </row>
    <row r="246" spans="1:23" s="19" customFormat="1" x14ac:dyDescent="0.2">
      <c r="A246" s="120">
        <v>41255</v>
      </c>
      <c r="B246" s="56">
        <f t="shared" si="24"/>
        <v>12</v>
      </c>
      <c r="C246" s="56">
        <f t="shared" si="25"/>
        <v>3</v>
      </c>
      <c r="D246" s="56">
        <f t="shared" si="26"/>
        <v>12</v>
      </c>
      <c r="E246" s="56" t="str">
        <f t="shared" si="27"/>
        <v>123</v>
      </c>
      <c r="F246" s="66">
        <f ca="1">VLOOKUP(B246,Factors!$B:$I,6,0)</f>
        <v>1.0297674418604652</v>
      </c>
      <c r="G246" s="66">
        <f ca="1">VLOOKUP(E246,Factors!$E:$I,4,0)</f>
        <v>1.1668619246861924</v>
      </c>
      <c r="H246" s="66">
        <f ca="1">VLOOKUP(D246,Factors!D:I,6,0)</f>
        <v>0.98935935239058637</v>
      </c>
      <c r="I246" s="121">
        <v>369</v>
      </c>
      <c r="J246" s="122">
        <f t="shared" ca="1" si="28"/>
        <v>293.36334269623899</v>
      </c>
      <c r="K246" s="117">
        <f t="shared" ca="1" si="29"/>
        <v>-75.636657303761012</v>
      </c>
      <c r="L246" s="118">
        <f t="shared" ca="1" si="30"/>
        <v>5720.9039280865845</v>
      </c>
      <c r="M246" s="119">
        <f t="shared" ca="1" si="31"/>
        <v>0.20497739106710303</v>
      </c>
      <c r="N246" s="55"/>
      <c r="O246" s="55"/>
      <c r="P246" s="173"/>
      <c r="W246" s="38"/>
    </row>
    <row r="247" spans="1:23" s="19" customFormat="1" x14ac:dyDescent="0.2">
      <c r="A247" s="120">
        <v>41256</v>
      </c>
      <c r="B247" s="56">
        <f t="shared" si="24"/>
        <v>13</v>
      </c>
      <c r="C247" s="56">
        <f t="shared" si="25"/>
        <v>3</v>
      </c>
      <c r="D247" s="56">
        <f t="shared" si="26"/>
        <v>12</v>
      </c>
      <c r="E247" s="56" t="str">
        <f t="shared" si="27"/>
        <v>123</v>
      </c>
      <c r="F247" s="66">
        <f ca="1">VLOOKUP(B247,Factors!$B:$I,6,0)</f>
        <v>0.8567441860465117</v>
      </c>
      <c r="G247" s="66">
        <f ca="1">VLOOKUP(E247,Factors!$E:$I,4,0)</f>
        <v>1.1668619246861924</v>
      </c>
      <c r="H247" s="66">
        <f ca="1">VLOOKUP(D247,Factors!D:I,6,0)</f>
        <v>0.98935935239058637</v>
      </c>
      <c r="I247" s="121">
        <v>351</v>
      </c>
      <c r="J247" s="122">
        <f t="shared" ca="1" si="28"/>
        <v>245.3491400881436</v>
      </c>
      <c r="K247" s="117">
        <f t="shared" ca="1" si="29"/>
        <v>-105.6508599118564</v>
      </c>
      <c r="L247" s="118">
        <f t="shared" ca="1" si="30"/>
        <v>11162.104200114705</v>
      </c>
      <c r="M247" s="119">
        <f t="shared" ca="1" si="31"/>
        <v>0.30099960088847977</v>
      </c>
      <c r="N247" s="55"/>
      <c r="O247" s="55"/>
      <c r="P247" s="173"/>
      <c r="W247" s="38"/>
    </row>
    <row r="248" spans="1:23" s="19" customFormat="1" x14ac:dyDescent="0.2">
      <c r="A248" s="120">
        <v>41257</v>
      </c>
      <c r="B248" s="56">
        <f t="shared" si="24"/>
        <v>14</v>
      </c>
      <c r="C248" s="56">
        <f t="shared" si="25"/>
        <v>3</v>
      </c>
      <c r="D248" s="56">
        <f t="shared" si="26"/>
        <v>12</v>
      </c>
      <c r="E248" s="56" t="str">
        <f t="shared" si="27"/>
        <v>123</v>
      </c>
      <c r="F248" s="66">
        <f ca="1">VLOOKUP(B248,Factors!$B:$I,6,0)</f>
        <v>0.97702644126571314</v>
      </c>
      <c r="G248" s="66">
        <f ca="1">VLOOKUP(E248,Factors!$E:$I,4,0)</f>
        <v>1.1668619246861924</v>
      </c>
      <c r="H248" s="66">
        <f ca="1">VLOOKUP(D248,Factors!D:I,6,0)</f>
        <v>0.98935935239058637</v>
      </c>
      <c r="I248" s="121">
        <v>241</v>
      </c>
      <c r="J248" s="122">
        <f t="shared" ca="1" si="28"/>
        <v>275.26110594773922</v>
      </c>
      <c r="K248" s="117">
        <f t="shared" ca="1" si="29"/>
        <v>34.261105947739225</v>
      </c>
      <c r="L248" s="118">
        <f t="shared" ca="1" si="30"/>
        <v>1173.8233807622121</v>
      </c>
      <c r="M248" s="119">
        <f t="shared" ca="1" si="31"/>
        <v>0.14216226534331627</v>
      </c>
      <c r="N248" s="55"/>
      <c r="O248" s="55"/>
      <c r="P248" s="173"/>
      <c r="W248" s="38"/>
    </row>
    <row r="249" spans="1:23" s="19" customFormat="1" x14ac:dyDescent="0.2">
      <c r="A249" s="120">
        <v>41260</v>
      </c>
      <c r="B249" s="56">
        <f t="shared" si="24"/>
        <v>17</v>
      </c>
      <c r="C249" s="56">
        <f t="shared" si="25"/>
        <v>4</v>
      </c>
      <c r="D249" s="56">
        <f t="shared" si="26"/>
        <v>12</v>
      </c>
      <c r="E249" s="56" t="str">
        <f t="shared" si="27"/>
        <v>124</v>
      </c>
      <c r="F249" s="66">
        <f ca="1">VLOOKUP(B249,Factors!$B:$I,6,0)</f>
        <v>1.2809302325581395</v>
      </c>
      <c r="G249" s="66">
        <f ca="1">VLOOKUP(E249,Factors!$E:$I,4,0)</f>
        <v>1.0584100418410043</v>
      </c>
      <c r="H249" s="66">
        <f ca="1">VLOOKUP(D249,Factors!D:I,6,0)</f>
        <v>0.98935935239058637</v>
      </c>
      <c r="I249" s="121">
        <v>370</v>
      </c>
      <c r="J249" s="122">
        <f t="shared" ca="1" si="28"/>
        <v>362.41674389938316</v>
      </c>
      <c r="K249" s="117">
        <f t="shared" ca="1" si="29"/>
        <v>-7.5832561006168362</v>
      </c>
      <c r="L249" s="118">
        <f t="shared" ca="1" si="30"/>
        <v>57.505773087542465</v>
      </c>
      <c r="M249" s="119">
        <f t="shared" ca="1" si="31"/>
        <v>2.0495286758423881E-2</v>
      </c>
      <c r="N249" s="55"/>
      <c r="O249" s="55"/>
      <c r="P249" s="173"/>
      <c r="W249" s="38"/>
    </row>
    <row r="250" spans="1:23" s="19" customFormat="1" x14ac:dyDescent="0.2">
      <c r="A250" s="120">
        <v>41261</v>
      </c>
      <c r="B250" s="56">
        <f t="shared" si="24"/>
        <v>18</v>
      </c>
      <c r="C250" s="56">
        <f t="shared" si="25"/>
        <v>4</v>
      </c>
      <c r="D250" s="56">
        <f t="shared" si="26"/>
        <v>12</v>
      </c>
      <c r="E250" s="56" t="str">
        <f t="shared" si="27"/>
        <v>124</v>
      </c>
      <c r="F250" s="66">
        <f ca="1">VLOOKUP(B250,Factors!$B:$I,6,0)</f>
        <v>1.2111627906976745</v>
      </c>
      <c r="G250" s="66">
        <f ca="1">VLOOKUP(E250,Factors!$E:$I,4,0)</f>
        <v>1.0584100418410043</v>
      </c>
      <c r="H250" s="66">
        <f ca="1">VLOOKUP(D250,Factors!D:I,6,0)</f>
        <v>0.98935935239058637</v>
      </c>
      <c r="I250" s="121">
        <v>386</v>
      </c>
      <c r="J250" s="122">
        <f t="shared" ca="1" si="28"/>
        <v>341.83581359860068</v>
      </c>
      <c r="K250" s="117">
        <f t="shared" ca="1" si="29"/>
        <v>-44.16418640139932</v>
      </c>
      <c r="L250" s="118">
        <f t="shared" ca="1" si="30"/>
        <v>1950.4753604975447</v>
      </c>
      <c r="M250" s="119">
        <f t="shared" ca="1" si="31"/>
        <v>0.1144149906772003</v>
      </c>
      <c r="N250" s="55"/>
      <c r="O250" s="55"/>
      <c r="P250" s="173"/>
      <c r="W250" s="38"/>
    </row>
    <row r="251" spans="1:23" s="19" customFormat="1" x14ac:dyDescent="0.2">
      <c r="A251" s="120">
        <v>41262</v>
      </c>
      <c r="B251" s="56">
        <f t="shared" si="24"/>
        <v>19</v>
      </c>
      <c r="C251" s="56">
        <f t="shared" si="25"/>
        <v>4</v>
      </c>
      <c r="D251" s="56">
        <f t="shared" si="26"/>
        <v>12</v>
      </c>
      <c r="E251" s="56" t="str">
        <f t="shared" si="27"/>
        <v>124</v>
      </c>
      <c r="F251" s="66">
        <f ca="1">VLOOKUP(B251,Factors!$B:$I,6,0)</f>
        <v>0.99069767441860468</v>
      </c>
      <c r="G251" s="66">
        <f ca="1">VLOOKUP(E251,Factors!$E:$I,4,0)</f>
        <v>1.0584100418410043</v>
      </c>
      <c r="H251" s="66">
        <f ca="1">VLOOKUP(D251,Factors!D:I,6,0)</f>
        <v>0.98935935239058637</v>
      </c>
      <c r="I251" s="121">
        <v>326</v>
      </c>
      <c r="J251" s="122">
        <f t="shared" ca="1" si="28"/>
        <v>281.21713452498312</v>
      </c>
      <c r="K251" s="117">
        <f t="shared" ca="1" si="29"/>
        <v>-44.782865475016877</v>
      </c>
      <c r="L251" s="118">
        <f t="shared" ca="1" si="30"/>
        <v>2005.5050401534586</v>
      </c>
      <c r="M251" s="119">
        <f t="shared" ca="1" si="31"/>
        <v>0.1373707529908493</v>
      </c>
      <c r="N251" s="55"/>
      <c r="O251" s="55"/>
      <c r="P251" s="173"/>
      <c r="W251" s="38"/>
    </row>
    <row r="252" spans="1:23" s="19" customFormat="1" x14ac:dyDescent="0.2">
      <c r="A252" s="120">
        <v>41263</v>
      </c>
      <c r="B252" s="56">
        <f t="shared" si="24"/>
        <v>20</v>
      </c>
      <c r="C252" s="56">
        <f t="shared" si="25"/>
        <v>4</v>
      </c>
      <c r="D252" s="56">
        <f t="shared" si="26"/>
        <v>12</v>
      </c>
      <c r="E252" s="56" t="str">
        <f t="shared" si="27"/>
        <v>124</v>
      </c>
      <c r="F252" s="66">
        <f ca="1">VLOOKUP(B252,Factors!$B:$I,6,0)</f>
        <v>0.84837209302325589</v>
      </c>
      <c r="G252" s="66">
        <f ca="1">VLOOKUP(E252,Factors!$E:$I,4,0)</f>
        <v>1.0584100418410043</v>
      </c>
      <c r="H252" s="66">
        <f ca="1">VLOOKUP(D252,Factors!D:I,6,0)</f>
        <v>0.98935935239058637</v>
      </c>
      <c r="I252" s="121">
        <v>287</v>
      </c>
      <c r="J252" s="122">
        <f t="shared" ca="1" si="28"/>
        <v>241.35876962987268</v>
      </c>
      <c r="K252" s="117">
        <f t="shared" ca="1" si="29"/>
        <v>-45.641230370127317</v>
      </c>
      <c r="L252" s="118">
        <f t="shared" ca="1" si="30"/>
        <v>2083.1219096990321</v>
      </c>
      <c r="M252" s="119">
        <f t="shared" ca="1" si="31"/>
        <v>0.15902867724783037</v>
      </c>
      <c r="N252" s="55"/>
      <c r="O252" s="55"/>
      <c r="P252" s="173"/>
      <c r="W252" s="38"/>
    </row>
    <row r="253" spans="1:23" s="19" customFormat="1" x14ac:dyDescent="0.2">
      <c r="A253" s="120">
        <v>41264</v>
      </c>
      <c r="B253" s="56">
        <f t="shared" si="24"/>
        <v>21</v>
      </c>
      <c r="C253" s="56">
        <f t="shared" si="25"/>
        <v>4</v>
      </c>
      <c r="D253" s="56">
        <f t="shared" si="26"/>
        <v>12</v>
      </c>
      <c r="E253" s="56" t="str">
        <f t="shared" si="27"/>
        <v>124</v>
      </c>
      <c r="F253" s="66">
        <f ca="1">VLOOKUP(B253,Factors!$B:$I,6,0)</f>
        <v>1.1772865192891202</v>
      </c>
      <c r="G253" s="66">
        <f ca="1">VLOOKUP(E253,Factors!$E:$I,4,0)</f>
        <v>1.0584100418410043</v>
      </c>
      <c r="H253" s="66">
        <f ca="1">VLOOKUP(D253,Factors!D:I,6,0)</f>
        <v>0.98935935239058637</v>
      </c>
      <c r="I253" s="121">
        <v>212</v>
      </c>
      <c r="J253" s="122">
        <f t="shared" ca="1" si="28"/>
        <v>326.70067150224446</v>
      </c>
      <c r="K253" s="117">
        <f t="shared" ca="1" si="29"/>
        <v>114.70067150224446</v>
      </c>
      <c r="L253" s="118">
        <f t="shared" ca="1" si="30"/>
        <v>13156.244043065795</v>
      </c>
      <c r="M253" s="119">
        <f t="shared" ca="1" si="31"/>
        <v>0.5410409033124739</v>
      </c>
      <c r="N253" s="55"/>
      <c r="O253" s="55"/>
      <c r="P253" s="173"/>
      <c r="W253" s="38"/>
    </row>
    <row r="254" spans="1:23" s="19" customFormat="1" x14ac:dyDescent="0.2">
      <c r="A254" s="120">
        <v>41267</v>
      </c>
      <c r="B254" s="56">
        <f t="shared" si="24"/>
        <v>24</v>
      </c>
      <c r="C254" s="56">
        <f t="shared" si="25"/>
        <v>5</v>
      </c>
      <c r="D254" s="56">
        <f t="shared" si="26"/>
        <v>12</v>
      </c>
      <c r="E254" s="56" t="str">
        <f t="shared" si="27"/>
        <v>125</v>
      </c>
      <c r="F254" s="66">
        <f ca="1">VLOOKUP(B254,Factors!$B:$I,6,0)</f>
        <v>1.1162790697674418</v>
      </c>
      <c r="G254" s="66">
        <f ca="1">VLOOKUP(E254,Factors!$E:$I,4,0)</f>
        <v>0.61255230125523008</v>
      </c>
      <c r="H254" s="66">
        <f ca="1">VLOOKUP(D254,Factors!D:I,6,0)</f>
        <v>0.98935935239058637</v>
      </c>
      <c r="I254" s="121">
        <v>65</v>
      </c>
      <c r="J254" s="122">
        <f t="shared" ca="1" si="28"/>
        <v>312.1567736603817</v>
      </c>
      <c r="K254" s="117">
        <f t="shared" ca="1" si="29"/>
        <v>247.1567736603817</v>
      </c>
      <c r="L254" s="118">
        <f t="shared" ca="1" si="30"/>
        <v>61086.470766209153</v>
      </c>
      <c r="M254" s="119">
        <f t="shared" ca="1" si="31"/>
        <v>3.8024119024674108</v>
      </c>
      <c r="N254" s="55"/>
      <c r="O254" s="55"/>
      <c r="P254" s="173"/>
      <c r="W254" s="38"/>
    </row>
    <row r="255" spans="1:23" s="19" customFormat="1" x14ac:dyDescent="0.2">
      <c r="A255" s="120">
        <v>41269</v>
      </c>
      <c r="B255" s="56">
        <f t="shared" si="24"/>
        <v>26</v>
      </c>
      <c r="C255" s="56">
        <f t="shared" si="25"/>
        <v>5</v>
      </c>
      <c r="D255" s="56">
        <f t="shared" si="26"/>
        <v>12</v>
      </c>
      <c r="E255" s="56" t="str">
        <f t="shared" si="27"/>
        <v>125</v>
      </c>
      <c r="F255" s="66">
        <f ca="1">VLOOKUP(B255,Factors!$B:$I,6,0)</f>
        <v>0.91255813953488374</v>
      </c>
      <c r="G255" s="66">
        <f ca="1">VLOOKUP(E255,Factors!$E:$I,4,0)</f>
        <v>0.61255230125523008</v>
      </c>
      <c r="H255" s="66">
        <f ca="1">VLOOKUP(D255,Factors!D:I,6,0)</f>
        <v>0.98935935239058637</v>
      </c>
      <c r="I255" s="121">
        <v>228</v>
      </c>
      <c r="J255" s="122">
        <f t="shared" ca="1" si="28"/>
        <v>253.94179784075732</v>
      </c>
      <c r="K255" s="117">
        <f t="shared" ca="1" si="29"/>
        <v>25.941797840757317</v>
      </c>
      <c r="L255" s="118">
        <f t="shared" ca="1" si="30"/>
        <v>672.976875210721</v>
      </c>
      <c r="M255" s="119">
        <f t="shared" ca="1" si="31"/>
        <v>0.11377981509104086</v>
      </c>
      <c r="N255" s="55"/>
      <c r="O255" s="55"/>
      <c r="P255" s="173"/>
      <c r="W255" s="38"/>
    </row>
    <row r="256" spans="1:23" s="19" customFormat="1" x14ac:dyDescent="0.2">
      <c r="A256" s="120">
        <v>41270</v>
      </c>
      <c r="B256" s="56">
        <f t="shared" si="24"/>
        <v>27</v>
      </c>
      <c r="C256" s="56">
        <f t="shared" si="25"/>
        <v>5</v>
      </c>
      <c r="D256" s="56">
        <f t="shared" si="26"/>
        <v>12</v>
      </c>
      <c r="E256" s="56" t="str">
        <f t="shared" si="27"/>
        <v>125</v>
      </c>
      <c r="F256" s="66">
        <f ca="1">VLOOKUP(B256,Factors!$B:$I,6,0)</f>
        <v>0.76744186046511631</v>
      </c>
      <c r="G256" s="66">
        <f ca="1">VLOOKUP(E256,Factors!$E:$I,4,0)</f>
        <v>0.61255230125523008</v>
      </c>
      <c r="H256" s="66">
        <f ca="1">VLOOKUP(D256,Factors!D:I,6,0)</f>
        <v>0.98935935239058637</v>
      </c>
      <c r="I256" s="121">
        <v>303</v>
      </c>
      <c r="J256" s="122">
        <f t="shared" ca="1" si="28"/>
        <v>213.34199315355733</v>
      </c>
      <c r="K256" s="117">
        <f t="shared" ca="1" si="29"/>
        <v>-89.658006846442674</v>
      </c>
      <c r="L256" s="118">
        <f t="shared" ca="1" si="30"/>
        <v>8038.5581916767615</v>
      </c>
      <c r="M256" s="119">
        <f t="shared" ca="1" si="31"/>
        <v>0.29590101269453029</v>
      </c>
      <c r="N256" s="55"/>
      <c r="O256" s="55"/>
      <c r="P256" s="173"/>
      <c r="W256" s="38"/>
    </row>
    <row r="257" spans="1:23" s="19" customFormat="1" x14ac:dyDescent="0.2">
      <c r="A257" s="120">
        <v>41271</v>
      </c>
      <c r="B257" s="56">
        <f t="shared" si="24"/>
        <v>28</v>
      </c>
      <c r="C257" s="56">
        <f t="shared" si="25"/>
        <v>5</v>
      </c>
      <c r="D257" s="56">
        <f t="shared" si="26"/>
        <v>12</v>
      </c>
      <c r="E257" s="56" t="str">
        <f t="shared" si="27"/>
        <v>125</v>
      </c>
      <c r="F257" s="66">
        <f ca="1">VLOOKUP(B257,Factors!$B:$I,6,0)</f>
        <v>1.1014304291287387</v>
      </c>
      <c r="G257" s="66">
        <f ca="1">VLOOKUP(E257,Factors!$E:$I,4,0)</f>
        <v>0.61255230125523008</v>
      </c>
      <c r="H257" s="66">
        <f ca="1">VLOOKUP(D257,Factors!D:I,6,0)</f>
        <v>0.98935935239058637</v>
      </c>
      <c r="I257" s="121">
        <v>206</v>
      </c>
      <c r="J257" s="122">
        <f t="shared" ca="1" si="28"/>
        <v>300.03200633118195</v>
      </c>
      <c r="K257" s="117">
        <f t="shared" ca="1" si="29"/>
        <v>94.032006331181947</v>
      </c>
      <c r="L257" s="118">
        <f t="shared" ca="1" si="30"/>
        <v>8842.0182146674415</v>
      </c>
      <c r="M257" s="119">
        <f t="shared" ca="1" si="31"/>
        <v>0.45646605015136865</v>
      </c>
      <c r="N257" s="55"/>
      <c r="O257" s="55"/>
      <c r="P257" s="173"/>
      <c r="W257" s="38"/>
    </row>
    <row r="258" spans="1:23" s="19" customFormat="1" x14ac:dyDescent="0.2">
      <c r="A258" s="120">
        <v>41274</v>
      </c>
      <c r="B258" s="56">
        <f t="shared" si="24"/>
        <v>31</v>
      </c>
      <c r="C258" s="56">
        <f t="shared" si="25"/>
        <v>5</v>
      </c>
      <c r="D258" s="56">
        <f t="shared" si="26"/>
        <v>12</v>
      </c>
      <c r="E258" s="56" t="str">
        <f t="shared" si="27"/>
        <v>125</v>
      </c>
      <c r="F258" s="66">
        <f ca="1">VLOOKUP(B258,Factors!$B:$I,6,0)</f>
        <v>1.1218604651162791</v>
      </c>
      <c r="G258" s="66">
        <f ca="1">VLOOKUP(E258,Factors!$E:$I,4,0)</f>
        <v>0.61255230125523008</v>
      </c>
      <c r="H258" s="66">
        <f ca="1">VLOOKUP(D258,Factors!D:I,6,0)</f>
        <v>0.98935935239058637</v>
      </c>
      <c r="I258" s="121">
        <v>113</v>
      </c>
      <c r="J258" s="122">
        <f t="shared" ca="1" si="28"/>
        <v>299.32510475475215</v>
      </c>
      <c r="K258" s="117">
        <f t="shared" ca="1" si="29"/>
        <v>186.32510475475215</v>
      </c>
      <c r="L258" s="118">
        <f t="shared" ca="1" si="30"/>
        <v>34717.04466186936</v>
      </c>
      <c r="M258" s="119">
        <f t="shared" ca="1" si="31"/>
        <v>1.6488947323429393</v>
      </c>
      <c r="N258" s="55"/>
      <c r="O258" s="55"/>
      <c r="P258" s="173"/>
      <c r="W258" s="38"/>
    </row>
    <row r="259" spans="1:23" x14ac:dyDescent="0.2">
      <c r="B259" s="56"/>
      <c r="C259" s="56"/>
      <c r="D259" s="56"/>
      <c r="E259" s="56"/>
      <c r="F259" s="66"/>
      <c r="G259" s="66"/>
      <c r="H259" s="66"/>
      <c r="J259" s="122"/>
      <c r="K259" s="117"/>
      <c r="L259" s="118"/>
      <c r="M259" s="119"/>
      <c r="N259" s="55"/>
      <c r="O259" s="55"/>
      <c r="P259" s="173"/>
    </row>
    <row r="260" spans="1:23" x14ac:dyDescent="0.2">
      <c r="B260" s="56"/>
      <c r="C260" s="56"/>
      <c r="D260" s="56"/>
      <c r="E260" s="56"/>
      <c r="F260" s="66"/>
      <c r="G260" s="66"/>
      <c r="H260" s="66"/>
      <c r="J260" s="122"/>
      <c r="K260" s="117"/>
      <c r="L260" s="118"/>
      <c r="M260" s="119"/>
      <c r="N260" s="55"/>
      <c r="O260" s="55"/>
      <c r="P260" s="173"/>
    </row>
    <row r="261" spans="1:23" x14ac:dyDescent="0.2">
      <c r="B261" s="56"/>
      <c r="C261" s="56"/>
      <c r="D261" s="56"/>
      <c r="E261" s="56"/>
      <c r="F261" s="66"/>
      <c r="G261" s="66"/>
      <c r="H261" s="66"/>
      <c r="J261" s="122"/>
      <c r="K261" s="117"/>
      <c r="L261" s="118"/>
      <c r="M261" s="119"/>
      <c r="N261" s="55"/>
      <c r="O261" s="55"/>
      <c r="P261" s="173"/>
    </row>
    <row r="262" spans="1:23" x14ac:dyDescent="0.2">
      <c r="B262" s="56"/>
      <c r="C262" s="56"/>
      <c r="D262" s="56"/>
      <c r="E262" s="56"/>
      <c r="F262" s="66"/>
      <c r="G262" s="66"/>
      <c r="H262" s="66"/>
      <c r="J262" s="122"/>
      <c r="K262" s="117"/>
      <c r="L262" s="118"/>
      <c r="M262" s="119"/>
      <c r="N262" s="55"/>
      <c r="O262" s="55"/>
      <c r="P262" s="173"/>
    </row>
    <row r="263" spans="1:23" x14ac:dyDescent="0.2">
      <c r="B263" s="56"/>
      <c r="C263" s="56"/>
      <c r="D263" s="56"/>
      <c r="E263" s="56"/>
      <c r="F263" s="66"/>
      <c r="G263" s="66"/>
      <c r="H263" s="66"/>
      <c r="J263" s="122"/>
      <c r="K263" s="117"/>
      <c r="L263" s="118"/>
      <c r="M263" s="119"/>
      <c r="N263" s="55"/>
      <c r="O263" s="55"/>
      <c r="P263" s="173"/>
    </row>
    <row r="264" spans="1:23" x14ac:dyDescent="0.2">
      <c r="B264" s="56"/>
      <c r="C264" s="56"/>
      <c r="D264" s="56"/>
      <c r="E264" s="56"/>
      <c r="F264" s="66"/>
      <c r="G264" s="66"/>
      <c r="H264" s="66"/>
      <c r="J264" s="122"/>
      <c r="K264" s="117"/>
      <c r="L264" s="118"/>
      <c r="M264" s="119"/>
      <c r="N264" s="55"/>
      <c r="O264" s="55"/>
      <c r="P264" s="173"/>
    </row>
    <row r="265" spans="1:23" x14ac:dyDescent="0.2">
      <c r="B265" s="56"/>
      <c r="C265" s="56"/>
      <c r="D265" s="56"/>
      <c r="E265" s="56"/>
      <c r="F265" s="66"/>
      <c r="G265" s="66"/>
      <c r="H265" s="66"/>
      <c r="J265" s="122"/>
      <c r="K265" s="117"/>
      <c r="L265" s="118"/>
      <c r="M265" s="119"/>
      <c r="N265" s="55"/>
      <c r="O265" s="55"/>
      <c r="P265" s="173"/>
    </row>
    <row r="266" spans="1:23" x14ac:dyDescent="0.2">
      <c r="B266" s="56"/>
      <c r="C266" s="56"/>
      <c r="D266" s="56"/>
      <c r="E266" s="56"/>
      <c r="F266" s="66"/>
      <c r="G266" s="66"/>
      <c r="H266" s="66"/>
      <c r="J266" s="122"/>
      <c r="K266" s="117"/>
      <c r="L266" s="118"/>
      <c r="M266" s="119"/>
      <c r="N266" s="55"/>
      <c r="O266" s="55"/>
      <c r="P266" s="173"/>
    </row>
    <row r="267" spans="1:23" x14ac:dyDescent="0.2">
      <c r="B267" s="56"/>
      <c r="C267" s="56"/>
      <c r="D267" s="56"/>
      <c r="E267" s="56"/>
      <c r="F267" s="66"/>
      <c r="G267" s="66"/>
      <c r="H267" s="66"/>
      <c r="J267" s="122"/>
      <c r="K267" s="117"/>
      <c r="L267" s="118"/>
      <c r="M267" s="119"/>
      <c r="N267" s="55"/>
      <c r="O267" s="55"/>
      <c r="P267" s="173"/>
    </row>
    <row r="268" spans="1:23" x14ac:dyDescent="0.2">
      <c r="B268" s="56"/>
      <c r="C268" s="56"/>
      <c r="D268" s="56"/>
      <c r="E268" s="56"/>
      <c r="F268" s="66"/>
      <c r="G268" s="66"/>
      <c r="H268" s="66"/>
      <c r="J268" s="122"/>
      <c r="K268" s="117"/>
      <c r="L268" s="118"/>
      <c r="M268" s="119"/>
      <c r="N268" s="55"/>
      <c r="O268" s="55"/>
      <c r="P268" s="173"/>
    </row>
    <row r="269" spans="1:23" x14ac:dyDescent="0.2">
      <c r="B269" s="56"/>
      <c r="C269" s="56"/>
      <c r="D269" s="56"/>
      <c r="E269" s="56"/>
      <c r="F269" s="66"/>
      <c r="G269" s="66"/>
      <c r="H269" s="66"/>
      <c r="J269" s="122"/>
      <c r="K269" s="117"/>
      <c r="L269" s="118"/>
      <c r="M269" s="119"/>
      <c r="N269" s="55"/>
      <c r="O269" s="55"/>
      <c r="P269" s="173"/>
    </row>
    <row r="270" spans="1:23" x14ac:dyDescent="0.2">
      <c r="B270" s="56"/>
      <c r="C270" s="56"/>
      <c r="D270" s="56"/>
      <c r="E270" s="56"/>
      <c r="F270" s="66"/>
      <c r="G270" s="66"/>
      <c r="H270" s="66"/>
      <c r="J270" s="122"/>
      <c r="K270" s="117"/>
      <c r="L270" s="118"/>
      <c r="M270" s="119"/>
      <c r="N270" s="55"/>
      <c r="O270" s="55"/>
      <c r="P270" s="173"/>
    </row>
    <row r="271" spans="1:23" x14ac:dyDescent="0.2">
      <c r="B271" s="56"/>
      <c r="C271" s="56"/>
      <c r="D271" s="56"/>
      <c r="E271" s="56"/>
      <c r="F271" s="66"/>
      <c r="G271" s="66"/>
      <c r="H271" s="66"/>
      <c r="J271" s="122"/>
      <c r="K271" s="117"/>
      <c r="L271" s="118"/>
      <c r="M271" s="119"/>
      <c r="N271" s="55"/>
      <c r="O271" s="55"/>
      <c r="P271" s="173"/>
    </row>
    <row r="272" spans="1:23" x14ac:dyDescent="0.2">
      <c r="B272" s="56"/>
      <c r="C272" s="56"/>
      <c r="D272" s="56"/>
      <c r="E272" s="56"/>
      <c r="F272" s="66"/>
      <c r="G272" s="66"/>
      <c r="H272" s="66"/>
      <c r="J272" s="122"/>
      <c r="K272" s="117"/>
      <c r="L272" s="118"/>
      <c r="M272" s="119"/>
      <c r="N272" s="55"/>
      <c r="O272" s="55"/>
      <c r="P272" s="173"/>
    </row>
    <row r="273" spans="2:16" x14ac:dyDescent="0.2">
      <c r="B273" s="56"/>
      <c r="C273" s="56"/>
      <c r="D273" s="56"/>
      <c r="E273" s="56"/>
      <c r="F273" s="66"/>
      <c r="G273" s="66"/>
      <c r="H273" s="66"/>
      <c r="J273" s="122"/>
      <c r="K273" s="117"/>
      <c r="L273" s="118"/>
      <c r="M273" s="119"/>
      <c r="N273" s="55"/>
      <c r="O273" s="55"/>
      <c r="P273" s="173"/>
    </row>
    <row r="274" spans="2:16" x14ac:dyDescent="0.2">
      <c r="B274" s="56"/>
      <c r="C274" s="56"/>
      <c r="D274" s="56"/>
      <c r="E274" s="56"/>
      <c r="F274" s="66"/>
      <c r="G274" s="66"/>
      <c r="H274" s="66"/>
      <c r="J274" s="122"/>
      <c r="K274" s="117"/>
      <c r="L274" s="118"/>
      <c r="M274" s="119"/>
      <c r="N274" s="55"/>
      <c r="O274" s="55"/>
      <c r="P274" s="173"/>
    </row>
    <row r="275" spans="2:16" x14ac:dyDescent="0.2">
      <c r="B275" s="56"/>
      <c r="C275" s="56"/>
      <c r="D275" s="56"/>
      <c r="E275" s="56"/>
      <c r="F275" s="66"/>
      <c r="G275" s="66"/>
      <c r="H275" s="66"/>
      <c r="J275" s="122"/>
      <c r="K275" s="117"/>
      <c r="L275" s="118"/>
      <c r="M275" s="119"/>
      <c r="N275" s="55"/>
      <c r="O275" s="55"/>
      <c r="P275" s="173"/>
    </row>
    <row r="276" spans="2:16" x14ac:dyDescent="0.2">
      <c r="B276" s="56"/>
      <c r="C276" s="56"/>
      <c r="D276" s="56"/>
      <c r="E276" s="56"/>
      <c r="F276" s="66"/>
      <c r="G276" s="66"/>
      <c r="H276" s="66"/>
      <c r="J276" s="122"/>
      <c r="K276" s="117"/>
      <c r="L276" s="118"/>
      <c r="M276" s="119"/>
      <c r="N276" s="55"/>
      <c r="O276" s="55"/>
      <c r="P276" s="173"/>
    </row>
    <row r="277" spans="2:16" x14ac:dyDescent="0.2">
      <c r="B277" s="56"/>
      <c r="C277" s="56"/>
      <c r="D277" s="56"/>
      <c r="E277" s="56"/>
      <c r="F277" s="66"/>
      <c r="G277" s="66"/>
      <c r="H277" s="66"/>
      <c r="J277" s="122"/>
      <c r="K277" s="117"/>
      <c r="L277" s="118"/>
      <c r="M277" s="119"/>
      <c r="N277" s="55"/>
      <c r="O277" s="55"/>
      <c r="P277" s="173"/>
    </row>
    <row r="278" spans="2:16" x14ac:dyDescent="0.2">
      <c r="B278" s="56"/>
      <c r="C278" s="56"/>
      <c r="D278" s="56"/>
      <c r="E278" s="56"/>
      <c r="F278" s="66"/>
      <c r="G278" s="66"/>
      <c r="H278" s="66"/>
      <c r="J278" s="122"/>
      <c r="K278" s="117"/>
      <c r="L278" s="118"/>
      <c r="M278" s="119"/>
      <c r="N278" s="55"/>
      <c r="O278" s="55"/>
      <c r="P278" s="173"/>
    </row>
    <row r="279" spans="2:16" x14ac:dyDescent="0.2">
      <c r="B279" s="56"/>
      <c r="C279" s="56"/>
      <c r="D279" s="56"/>
      <c r="E279" s="56"/>
      <c r="F279" s="66"/>
      <c r="G279" s="66"/>
      <c r="H279" s="66"/>
      <c r="J279" s="122"/>
      <c r="K279" s="117"/>
      <c r="L279" s="118"/>
      <c r="M279" s="119"/>
      <c r="N279" s="55"/>
      <c r="O279" s="55"/>
      <c r="P279" s="173"/>
    </row>
    <row r="280" spans="2:16" x14ac:dyDescent="0.2">
      <c r="B280" s="56"/>
      <c r="C280" s="56"/>
      <c r="D280" s="56"/>
      <c r="E280" s="56"/>
      <c r="F280" s="66"/>
      <c r="G280" s="66"/>
      <c r="H280" s="66"/>
      <c r="J280" s="122"/>
      <c r="K280" s="117"/>
      <c r="L280" s="118"/>
      <c r="M280" s="119"/>
      <c r="N280" s="55"/>
      <c r="O280" s="55"/>
      <c r="P280" s="173"/>
    </row>
    <row r="281" spans="2:16" x14ac:dyDescent="0.2">
      <c r="B281" s="56"/>
      <c r="C281" s="56"/>
      <c r="D281" s="56"/>
      <c r="E281" s="56"/>
      <c r="F281" s="66"/>
      <c r="G281" s="66"/>
      <c r="H281" s="66"/>
      <c r="J281" s="122"/>
      <c r="K281" s="117"/>
      <c r="L281" s="118"/>
      <c r="M281" s="119"/>
      <c r="N281" s="55"/>
      <c r="O281" s="55"/>
      <c r="P281" s="173"/>
    </row>
    <row r="282" spans="2:16" x14ac:dyDescent="0.2">
      <c r="B282" s="56"/>
      <c r="C282" s="56"/>
      <c r="D282" s="56"/>
      <c r="E282" s="56"/>
      <c r="F282" s="66"/>
      <c r="G282" s="66"/>
      <c r="H282" s="66"/>
      <c r="J282" s="122"/>
      <c r="K282" s="117"/>
      <c r="L282" s="118"/>
      <c r="M282" s="119"/>
      <c r="N282" s="55"/>
      <c r="O282" s="55"/>
      <c r="P282" s="173"/>
    </row>
    <row r="283" spans="2:16" x14ac:dyDescent="0.2">
      <c r="B283" s="56"/>
      <c r="C283" s="56"/>
      <c r="D283" s="56"/>
      <c r="E283" s="56"/>
      <c r="F283" s="66"/>
      <c r="G283" s="66"/>
      <c r="H283" s="66"/>
      <c r="J283" s="122"/>
      <c r="K283" s="117"/>
      <c r="L283" s="118"/>
      <c r="M283" s="119"/>
      <c r="N283" s="55"/>
      <c r="O283" s="55"/>
      <c r="P283" s="173"/>
    </row>
    <row r="284" spans="2:16" x14ac:dyDescent="0.2">
      <c r="B284" s="56"/>
      <c r="C284" s="56"/>
      <c r="D284" s="56"/>
      <c r="E284" s="56"/>
      <c r="F284" s="66"/>
      <c r="G284" s="66"/>
      <c r="H284" s="66"/>
      <c r="J284" s="122"/>
      <c r="K284" s="117"/>
      <c r="L284" s="118"/>
      <c r="M284" s="119"/>
      <c r="N284" s="55"/>
      <c r="O284" s="55"/>
      <c r="P284" s="173"/>
    </row>
    <row r="285" spans="2:16" x14ac:dyDescent="0.2">
      <c r="B285" s="56"/>
      <c r="C285" s="56"/>
      <c r="D285" s="56"/>
      <c r="E285" s="56"/>
      <c r="F285" s="66"/>
      <c r="G285" s="66"/>
      <c r="H285" s="66"/>
      <c r="J285" s="122"/>
      <c r="K285" s="117"/>
      <c r="L285" s="118"/>
      <c r="M285" s="119"/>
      <c r="N285" s="55"/>
      <c r="O285" s="55"/>
      <c r="P285" s="173"/>
    </row>
    <row r="286" spans="2:16" x14ac:dyDescent="0.2">
      <c r="B286" s="56"/>
      <c r="C286" s="56"/>
      <c r="D286" s="56"/>
      <c r="E286" s="56"/>
      <c r="F286" s="66"/>
      <c r="G286" s="66"/>
      <c r="H286" s="66"/>
      <c r="J286" s="122"/>
      <c r="K286" s="117"/>
      <c r="L286" s="118"/>
      <c r="M286" s="119"/>
      <c r="N286" s="55"/>
      <c r="O286" s="55"/>
      <c r="P286" s="173"/>
    </row>
    <row r="287" spans="2:16" x14ac:dyDescent="0.2">
      <c r="B287" s="56"/>
      <c r="C287" s="56"/>
      <c r="D287" s="56"/>
      <c r="E287" s="56"/>
      <c r="F287" s="66"/>
      <c r="G287" s="66"/>
      <c r="H287" s="66"/>
      <c r="J287" s="122"/>
      <c r="K287" s="117"/>
      <c r="L287" s="118"/>
      <c r="M287" s="119"/>
      <c r="N287" s="55"/>
      <c r="O287" s="55"/>
      <c r="P287" s="173"/>
    </row>
    <row r="288" spans="2:16" x14ac:dyDescent="0.2">
      <c r="B288" s="56"/>
      <c r="C288" s="56"/>
      <c r="D288" s="56"/>
      <c r="E288" s="56"/>
      <c r="F288" s="66"/>
      <c r="G288" s="66"/>
      <c r="H288" s="66"/>
      <c r="J288" s="122"/>
      <c r="K288" s="117"/>
      <c r="L288" s="118"/>
      <c r="M288" s="119"/>
      <c r="N288" s="55"/>
      <c r="O288" s="55"/>
      <c r="P288" s="173"/>
    </row>
    <row r="289" spans="2:16" x14ac:dyDescent="0.2">
      <c r="B289" s="56"/>
      <c r="C289" s="56"/>
      <c r="D289" s="56"/>
      <c r="E289" s="56"/>
      <c r="F289" s="66"/>
      <c r="G289" s="66"/>
      <c r="H289" s="66"/>
      <c r="J289" s="122"/>
      <c r="K289" s="117"/>
      <c r="L289" s="118"/>
      <c r="M289" s="119"/>
      <c r="N289" s="55"/>
      <c r="O289" s="55"/>
      <c r="P289" s="173"/>
    </row>
    <row r="290" spans="2:16" x14ac:dyDescent="0.2">
      <c r="B290" s="56"/>
      <c r="C290" s="56"/>
      <c r="D290" s="56"/>
      <c r="E290" s="56"/>
      <c r="F290" s="66"/>
      <c r="G290" s="66"/>
      <c r="H290" s="66"/>
      <c r="J290" s="122"/>
      <c r="K290" s="117"/>
      <c r="L290" s="118"/>
      <c r="M290" s="119"/>
      <c r="N290" s="55"/>
      <c r="O290" s="55"/>
      <c r="P290" s="173"/>
    </row>
    <row r="291" spans="2:16" x14ac:dyDescent="0.2">
      <c r="B291" s="56"/>
      <c r="C291" s="56"/>
      <c r="D291" s="56"/>
      <c r="E291" s="56"/>
      <c r="F291" s="66"/>
      <c r="G291" s="66"/>
      <c r="H291" s="66"/>
      <c r="J291" s="122"/>
      <c r="K291" s="117"/>
      <c r="L291" s="118"/>
      <c r="M291" s="119"/>
      <c r="N291" s="55"/>
      <c r="O291" s="55"/>
      <c r="P291" s="173"/>
    </row>
    <row r="292" spans="2:16" x14ac:dyDescent="0.2">
      <c r="B292" s="56"/>
      <c r="C292" s="56"/>
      <c r="D292" s="56"/>
      <c r="E292" s="56"/>
      <c r="F292" s="66"/>
      <c r="G292" s="66"/>
      <c r="H292" s="66"/>
      <c r="J292" s="122"/>
      <c r="K292" s="117"/>
      <c r="L292" s="118"/>
      <c r="M292" s="119"/>
      <c r="N292" s="55"/>
      <c r="O292" s="55"/>
      <c r="P292" s="173"/>
    </row>
    <row r="293" spans="2:16" x14ac:dyDescent="0.2">
      <c r="B293" s="56"/>
      <c r="C293" s="56"/>
      <c r="D293" s="56"/>
      <c r="E293" s="56"/>
      <c r="F293" s="66"/>
      <c r="G293" s="66"/>
      <c r="H293" s="66"/>
      <c r="J293" s="122"/>
      <c r="K293" s="117"/>
      <c r="L293" s="118"/>
      <c r="M293" s="119"/>
      <c r="N293" s="55"/>
      <c r="O293" s="55"/>
      <c r="P293" s="173"/>
    </row>
    <row r="294" spans="2:16" x14ac:dyDescent="0.2">
      <c r="B294" s="56"/>
      <c r="C294" s="56"/>
      <c r="D294" s="56"/>
      <c r="E294" s="56"/>
      <c r="F294" s="66"/>
      <c r="G294" s="66"/>
      <c r="H294" s="66"/>
      <c r="J294" s="122"/>
      <c r="K294" s="117"/>
      <c r="L294" s="118"/>
      <c r="M294" s="119"/>
      <c r="N294" s="55"/>
      <c r="O294" s="55"/>
      <c r="P294" s="173"/>
    </row>
    <row r="295" spans="2:16" x14ac:dyDescent="0.2">
      <c r="B295" s="56"/>
      <c r="C295" s="56"/>
      <c r="D295" s="56"/>
      <c r="E295" s="56"/>
      <c r="F295" s="66"/>
      <c r="G295" s="66"/>
      <c r="H295" s="66"/>
      <c r="J295" s="122"/>
      <c r="K295" s="117"/>
      <c r="L295" s="118"/>
      <c r="M295" s="119"/>
      <c r="N295" s="55"/>
      <c r="O295" s="55"/>
      <c r="P295" s="173"/>
    </row>
    <row r="296" spans="2:16" x14ac:dyDescent="0.2">
      <c r="B296" s="56"/>
      <c r="C296" s="56"/>
      <c r="D296" s="56"/>
      <c r="E296" s="56"/>
      <c r="F296" s="66"/>
      <c r="G296" s="66"/>
      <c r="H296" s="66"/>
      <c r="J296" s="122"/>
      <c r="K296" s="117"/>
      <c r="L296" s="118"/>
      <c r="M296" s="119"/>
      <c r="N296" s="55"/>
      <c r="O296" s="55"/>
      <c r="P296" s="173"/>
    </row>
    <row r="297" spans="2:16" x14ac:dyDescent="0.2">
      <c r="B297" s="56"/>
      <c r="C297" s="56"/>
      <c r="D297" s="56"/>
      <c r="E297" s="56"/>
      <c r="F297" s="66"/>
      <c r="G297" s="66"/>
      <c r="H297" s="66"/>
      <c r="J297" s="122"/>
      <c r="K297" s="117"/>
      <c r="L297" s="118"/>
      <c r="M297" s="119"/>
      <c r="N297" s="55"/>
      <c r="O297" s="55"/>
      <c r="P297" s="173"/>
    </row>
    <row r="298" spans="2:16" x14ac:dyDescent="0.2">
      <c r="B298" s="56"/>
      <c r="C298" s="56"/>
      <c r="D298" s="56"/>
      <c r="E298" s="56"/>
      <c r="F298" s="66"/>
      <c r="G298" s="66"/>
      <c r="H298" s="66"/>
      <c r="J298" s="122"/>
      <c r="K298" s="117"/>
      <c r="L298" s="118"/>
      <c r="M298" s="119"/>
      <c r="N298" s="55"/>
      <c r="O298" s="55"/>
      <c r="P298" s="173"/>
    </row>
    <row r="299" spans="2:16" x14ac:dyDescent="0.2">
      <c r="B299" s="56"/>
      <c r="C299" s="56"/>
      <c r="D299" s="56"/>
      <c r="E299" s="56"/>
      <c r="F299" s="66"/>
      <c r="G299" s="66"/>
      <c r="H299" s="66"/>
      <c r="J299" s="122"/>
      <c r="K299" s="117"/>
      <c r="L299" s="118"/>
      <c r="M299" s="119"/>
      <c r="N299" s="55"/>
      <c r="O299" s="55"/>
      <c r="P299" s="173"/>
    </row>
    <row r="300" spans="2:16" x14ac:dyDescent="0.2">
      <c r="B300" s="56"/>
      <c r="C300" s="56"/>
      <c r="D300" s="56"/>
      <c r="E300" s="56"/>
      <c r="F300" s="66"/>
      <c r="G300" s="66"/>
      <c r="H300" s="66"/>
      <c r="J300" s="122"/>
      <c r="K300" s="117"/>
      <c r="L300" s="118"/>
      <c r="M300" s="119"/>
      <c r="N300" s="55"/>
      <c r="O300" s="55"/>
      <c r="P300" s="173"/>
    </row>
    <row r="301" spans="2:16" x14ac:dyDescent="0.2">
      <c r="B301" s="56"/>
      <c r="C301" s="56"/>
      <c r="D301" s="56"/>
      <c r="E301" s="56"/>
      <c r="F301" s="66"/>
      <c r="G301" s="66"/>
      <c r="H301" s="66"/>
      <c r="J301" s="122"/>
      <c r="K301" s="117"/>
      <c r="L301" s="118"/>
      <c r="M301" s="119"/>
      <c r="N301" s="55"/>
      <c r="O301" s="55"/>
      <c r="P301" s="173"/>
    </row>
    <row r="302" spans="2:16" x14ac:dyDescent="0.2">
      <c r="B302" s="56"/>
      <c r="C302" s="56"/>
      <c r="D302" s="56"/>
      <c r="E302" s="56"/>
      <c r="F302" s="66"/>
      <c r="G302" s="66"/>
      <c r="H302" s="66"/>
      <c r="J302" s="122"/>
      <c r="K302" s="117"/>
      <c r="L302" s="118"/>
      <c r="M302" s="119"/>
      <c r="N302" s="55"/>
      <c r="O302" s="55"/>
      <c r="P302" s="173"/>
    </row>
    <row r="303" spans="2:16" x14ac:dyDescent="0.2">
      <c r="B303" s="56"/>
      <c r="C303" s="56"/>
      <c r="D303" s="56"/>
      <c r="E303" s="56"/>
      <c r="F303" s="66"/>
      <c r="G303" s="66"/>
      <c r="H303" s="66"/>
      <c r="J303" s="122"/>
      <c r="K303" s="117"/>
      <c r="L303" s="118"/>
      <c r="M303" s="119"/>
      <c r="N303" s="55"/>
      <c r="O303" s="55"/>
      <c r="P303" s="173"/>
    </row>
    <row r="304" spans="2:16" x14ac:dyDescent="0.2">
      <c r="B304" s="56"/>
      <c r="C304" s="56"/>
      <c r="D304" s="56"/>
      <c r="E304" s="56"/>
      <c r="F304" s="66"/>
      <c r="G304" s="66"/>
      <c r="H304" s="66"/>
      <c r="J304" s="122"/>
      <c r="K304" s="117"/>
      <c r="L304" s="118"/>
      <c r="M304" s="119"/>
      <c r="N304" s="55"/>
      <c r="O304" s="55"/>
      <c r="P304" s="173"/>
    </row>
    <row r="305" spans="2:16" x14ac:dyDescent="0.2">
      <c r="B305" s="56"/>
      <c r="C305" s="56"/>
      <c r="D305" s="56"/>
      <c r="E305" s="56"/>
      <c r="F305" s="66"/>
      <c r="G305" s="66"/>
      <c r="H305" s="66"/>
      <c r="J305" s="122"/>
      <c r="K305" s="117"/>
      <c r="L305" s="118"/>
      <c r="M305" s="119"/>
      <c r="N305" s="55"/>
      <c r="O305" s="55"/>
      <c r="P305" s="173"/>
    </row>
    <row r="306" spans="2:16" x14ac:dyDescent="0.2">
      <c r="B306" s="56"/>
      <c r="C306" s="56"/>
      <c r="D306" s="56"/>
      <c r="E306" s="56"/>
      <c r="F306" s="66"/>
      <c r="G306" s="66"/>
      <c r="H306" s="66"/>
      <c r="J306" s="122"/>
      <c r="K306" s="117"/>
      <c r="L306" s="118"/>
      <c r="M306" s="119"/>
      <c r="N306" s="55"/>
      <c r="O306" s="55"/>
      <c r="P306" s="173"/>
    </row>
    <row r="307" spans="2:16" x14ac:dyDescent="0.2">
      <c r="B307" s="56"/>
      <c r="C307" s="56"/>
      <c r="D307" s="56"/>
      <c r="E307" s="56"/>
      <c r="F307" s="66"/>
      <c r="G307" s="66"/>
      <c r="H307" s="66"/>
      <c r="J307" s="122"/>
      <c r="K307" s="117"/>
      <c r="L307" s="118"/>
      <c r="M307" s="119"/>
      <c r="N307" s="55"/>
      <c r="O307" s="55"/>
      <c r="P307" s="173"/>
    </row>
    <row r="308" spans="2:16" x14ac:dyDescent="0.2">
      <c r="B308" s="56"/>
      <c r="C308" s="56"/>
      <c r="D308" s="56"/>
      <c r="E308" s="56"/>
      <c r="F308" s="66"/>
      <c r="G308" s="66"/>
      <c r="H308" s="66"/>
      <c r="J308" s="122"/>
      <c r="K308" s="117"/>
      <c r="L308" s="118"/>
      <c r="M308" s="119"/>
      <c r="N308" s="55"/>
      <c r="O308" s="55"/>
      <c r="P308" s="173"/>
    </row>
    <row r="309" spans="2:16" x14ac:dyDescent="0.2">
      <c r="B309" s="56"/>
      <c r="C309" s="56"/>
      <c r="D309" s="56"/>
      <c r="E309" s="56"/>
      <c r="F309" s="66"/>
      <c r="G309" s="66"/>
      <c r="H309" s="66"/>
      <c r="J309" s="122"/>
      <c r="K309" s="117"/>
      <c r="L309" s="118"/>
      <c r="M309" s="119"/>
      <c r="N309" s="55"/>
      <c r="O309" s="55"/>
      <c r="P309" s="173"/>
    </row>
    <row r="310" spans="2:16" x14ac:dyDescent="0.2">
      <c r="B310" s="56"/>
      <c r="C310" s="56"/>
      <c r="D310" s="56"/>
      <c r="E310" s="56"/>
      <c r="F310" s="66"/>
      <c r="G310" s="66"/>
      <c r="H310" s="66"/>
      <c r="J310" s="122"/>
      <c r="K310" s="117"/>
      <c r="L310" s="118"/>
      <c r="M310" s="119"/>
      <c r="N310" s="55"/>
      <c r="O310" s="55"/>
      <c r="P310" s="173"/>
    </row>
    <row r="311" spans="2:16" x14ac:dyDescent="0.2">
      <c r="B311" s="56"/>
      <c r="C311" s="56"/>
      <c r="D311" s="56"/>
      <c r="E311" s="56"/>
      <c r="F311" s="66"/>
      <c r="G311" s="66"/>
      <c r="H311" s="66"/>
      <c r="J311" s="122"/>
      <c r="K311" s="117"/>
      <c r="L311" s="118"/>
      <c r="M311" s="119"/>
      <c r="N311" s="55"/>
      <c r="O311" s="55"/>
      <c r="P311" s="173"/>
    </row>
    <row r="312" spans="2:16" x14ac:dyDescent="0.2">
      <c r="B312" s="56"/>
      <c r="C312" s="56"/>
      <c r="D312" s="56"/>
      <c r="E312" s="56"/>
      <c r="F312" s="66"/>
      <c r="G312" s="66"/>
      <c r="H312" s="66"/>
      <c r="J312" s="122"/>
      <c r="K312" s="117"/>
      <c r="L312" s="118"/>
      <c r="M312" s="119"/>
      <c r="N312" s="55"/>
      <c r="O312" s="55"/>
      <c r="P312" s="173"/>
    </row>
    <row r="313" spans="2:16" x14ac:dyDescent="0.2">
      <c r="B313" s="56"/>
      <c r="C313" s="56"/>
      <c r="D313" s="56"/>
      <c r="E313" s="56"/>
      <c r="F313" s="66"/>
      <c r="G313" s="66"/>
      <c r="H313" s="66"/>
      <c r="J313" s="122"/>
      <c r="K313" s="117"/>
      <c r="L313" s="118"/>
      <c r="M313" s="119"/>
      <c r="N313" s="55"/>
      <c r="O313" s="55"/>
      <c r="P313" s="173"/>
    </row>
    <row r="314" spans="2:16" x14ac:dyDescent="0.2">
      <c r="B314" s="56"/>
      <c r="C314" s="56"/>
      <c r="D314" s="56"/>
      <c r="E314" s="56"/>
      <c r="F314" s="66"/>
      <c r="G314" s="66"/>
      <c r="H314" s="66"/>
      <c r="J314" s="122"/>
      <c r="K314" s="117"/>
      <c r="L314" s="118"/>
      <c r="M314" s="119"/>
      <c r="N314" s="55"/>
      <c r="O314" s="55"/>
      <c r="P314" s="173"/>
    </row>
    <row r="315" spans="2:16" x14ac:dyDescent="0.2">
      <c r="B315" s="56"/>
      <c r="C315" s="56"/>
      <c r="D315" s="56"/>
      <c r="E315" s="56"/>
      <c r="F315" s="66"/>
      <c r="G315" s="66"/>
      <c r="H315" s="66"/>
      <c r="J315" s="122"/>
      <c r="K315" s="117"/>
      <c r="L315" s="118"/>
      <c r="M315" s="119"/>
      <c r="N315" s="55"/>
      <c r="O315" s="55"/>
      <c r="P315" s="173"/>
    </row>
    <row r="316" spans="2:16" x14ac:dyDescent="0.2">
      <c r="B316" s="56"/>
      <c r="C316" s="56"/>
      <c r="D316" s="56"/>
      <c r="E316" s="56"/>
      <c r="F316" s="66"/>
      <c r="G316" s="66"/>
      <c r="H316" s="66"/>
      <c r="J316" s="122"/>
      <c r="K316" s="117"/>
      <c r="L316" s="118"/>
      <c r="M316" s="119"/>
      <c r="N316" s="55"/>
      <c r="O316" s="55"/>
      <c r="P316" s="173"/>
    </row>
    <row r="317" spans="2:16" x14ac:dyDescent="0.2">
      <c r="B317" s="56"/>
      <c r="C317" s="56"/>
      <c r="D317" s="56"/>
      <c r="E317" s="56"/>
      <c r="F317" s="66"/>
      <c r="G317" s="66"/>
      <c r="H317" s="66"/>
      <c r="J317" s="122"/>
      <c r="K317" s="117"/>
      <c r="L317" s="118"/>
      <c r="M317" s="119"/>
      <c r="N317" s="55"/>
      <c r="O317" s="55"/>
      <c r="P317" s="173"/>
    </row>
    <row r="318" spans="2:16" x14ac:dyDescent="0.2">
      <c r="B318" s="56"/>
      <c r="C318" s="56"/>
      <c r="D318" s="56"/>
      <c r="E318" s="56"/>
      <c r="F318" s="66"/>
      <c r="G318" s="66"/>
      <c r="H318" s="66"/>
      <c r="J318" s="122"/>
      <c r="K318" s="117"/>
      <c r="L318" s="118"/>
      <c r="M318" s="119"/>
      <c r="N318" s="55"/>
      <c r="O318" s="55"/>
      <c r="P318" s="173"/>
    </row>
    <row r="319" spans="2:16" x14ac:dyDescent="0.2">
      <c r="B319" s="56"/>
      <c r="C319" s="56"/>
      <c r="D319" s="56"/>
      <c r="E319" s="56"/>
      <c r="F319" s="66"/>
      <c r="G319" s="66"/>
      <c r="H319" s="66"/>
      <c r="J319" s="122"/>
      <c r="K319" s="117"/>
      <c r="L319" s="118"/>
      <c r="M319" s="119"/>
      <c r="N319" s="55"/>
      <c r="O319" s="55"/>
      <c r="P319" s="173"/>
    </row>
    <row r="320" spans="2:16" x14ac:dyDescent="0.2">
      <c r="B320" s="56"/>
      <c r="C320" s="56"/>
      <c r="D320" s="56"/>
      <c r="E320" s="56"/>
      <c r="F320" s="66"/>
      <c r="G320" s="66"/>
      <c r="H320" s="66"/>
      <c r="J320" s="122"/>
      <c r="K320" s="117"/>
      <c r="L320" s="118"/>
      <c r="M320" s="119"/>
      <c r="N320" s="55"/>
      <c r="O320" s="55"/>
      <c r="P320" s="173"/>
    </row>
    <row r="321" spans="2:16" x14ac:dyDescent="0.2">
      <c r="B321" s="56"/>
      <c r="C321" s="56"/>
      <c r="D321" s="56"/>
      <c r="E321" s="56"/>
      <c r="F321" s="66"/>
      <c r="G321" s="66"/>
      <c r="H321" s="66"/>
      <c r="J321" s="122"/>
      <c r="K321" s="117"/>
      <c r="L321" s="118"/>
      <c r="M321" s="119"/>
      <c r="N321" s="55"/>
      <c r="O321" s="55"/>
      <c r="P321" s="173"/>
    </row>
    <row r="322" spans="2:16" x14ac:dyDescent="0.2">
      <c r="B322" s="56"/>
      <c r="C322" s="56"/>
      <c r="D322" s="56"/>
      <c r="E322" s="56"/>
      <c r="F322" s="66"/>
      <c r="G322" s="66"/>
      <c r="H322" s="66"/>
      <c r="J322" s="122"/>
      <c r="K322" s="117"/>
      <c r="L322" s="118"/>
      <c r="M322" s="119"/>
      <c r="N322" s="55"/>
      <c r="O322" s="55"/>
      <c r="P322" s="173"/>
    </row>
    <row r="323" spans="2:16" x14ac:dyDescent="0.2">
      <c r="B323" s="56"/>
      <c r="C323" s="56"/>
      <c r="D323" s="56"/>
      <c r="E323" s="56"/>
      <c r="F323" s="66"/>
      <c r="G323" s="66"/>
      <c r="H323" s="66"/>
      <c r="J323" s="122"/>
      <c r="K323" s="117"/>
      <c r="L323" s="118"/>
      <c r="M323" s="119"/>
      <c r="N323" s="55"/>
      <c r="O323" s="55"/>
      <c r="P323" s="173"/>
    </row>
    <row r="324" spans="2:16" x14ac:dyDescent="0.2">
      <c r="B324" s="56"/>
      <c r="C324" s="56"/>
      <c r="D324" s="56"/>
      <c r="E324" s="56"/>
      <c r="F324" s="66"/>
      <c r="G324" s="66"/>
      <c r="H324" s="66"/>
      <c r="J324" s="122"/>
      <c r="K324" s="117"/>
      <c r="L324" s="118"/>
      <c r="M324" s="119"/>
      <c r="N324" s="55"/>
      <c r="O324" s="55"/>
      <c r="P324" s="173"/>
    </row>
    <row r="325" spans="2:16" x14ac:dyDescent="0.2">
      <c r="B325" s="56"/>
      <c r="C325" s="56"/>
      <c r="D325" s="56"/>
      <c r="E325" s="56"/>
      <c r="F325" s="66"/>
      <c r="G325" s="66"/>
      <c r="H325" s="66"/>
      <c r="J325" s="122"/>
      <c r="K325" s="117"/>
      <c r="L325" s="118"/>
      <c r="M325" s="119"/>
      <c r="N325" s="55"/>
      <c r="O325" s="55"/>
      <c r="P325" s="173"/>
    </row>
    <row r="326" spans="2:16" x14ac:dyDescent="0.2">
      <c r="B326" s="56"/>
      <c r="C326" s="56"/>
      <c r="D326" s="56"/>
      <c r="E326" s="56"/>
      <c r="F326" s="66"/>
      <c r="G326" s="66"/>
      <c r="H326" s="66"/>
      <c r="J326" s="122"/>
      <c r="K326" s="117"/>
      <c r="L326" s="118"/>
      <c r="M326" s="119"/>
      <c r="N326" s="55"/>
      <c r="O326" s="55"/>
      <c r="P326" s="173"/>
    </row>
    <row r="327" spans="2:16" x14ac:dyDescent="0.2">
      <c r="B327" s="56"/>
      <c r="C327" s="56"/>
      <c r="D327" s="56"/>
      <c r="E327" s="56"/>
      <c r="F327" s="66"/>
      <c r="G327" s="66"/>
      <c r="H327" s="66"/>
      <c r="J327" s="122"/>
      <c r="K327" s="117"/>
      <c r="L327" s="118"/>
      <c r="M327" s="119"/>
      <c r="N327" s="55"/>
      <c r="O327" s="55"/>
      <c r="P327" s="173"/>
    </row>
    <row r="328" spans="2:16" x14ac:dyDescent="0.2">
      <c r="B328" s="56"/>
      <c r="C328" s="56"/>
      <c r="D328" s="56"/>
      <c r="E328" s="56"/>
      <c r="F328" s="66"/>
      <c r="G328" s="66"/>
      <c r="H328" s="66"/>
      <c r="J328" s="122"/>
      <c r="K328" s="117"/>
      <c r="L328" s="118"/>
      <c r="M328" s="119"/>
      <c r="N328" s="55"/>
      <c r="O328" s="55"/>
      <c r="P328" s="173"/>
    </row>
    <row r="329" spans="2:16" x14ac:dyDescent="0.2">
      <c r="B329" s="56"/>
      <c r="C329" s="56"/>
      <c r="D329" s="56"/>
      <c r="E329" s="56"/>
      <c r="F329" s="66"/>
      <c r="G329" s="66"/>
      <c r="H329" s="66"/>
      <c r="J329" s="122"/>
      <c r="K329" s="117"/>
      <c r="L329" s="118"/>
      <c r="M329" s="119"/>
      <c r="N329" s="55"/>
      <c r="O329" s="55"/>
      <c r="P329" s="173"/>
    </row>
    <row r="330" spans="2:16" x14ac:dyDescent="0.2">
      <c r="B330" s="56"/>
      <c r="C330" s="56"/>
      <c r="D330" s="56"/>
      <c r="E330" s="56"/>
      <c r="F330" s="66"/>
      <c r="G330" s="66"/>
      <c r="H330" s="66"/>
      <c r="J330" s="122"/>
      <c r="K330" s="117"/>
      <c r="L330" s="118"/>
      <c r="M330" s="119"/>
      <c r="N330" s="55"/>
      <c r="O330" s="55"/>
      <c r="P330" s="173"/>
    </row>
    <row r="331" spans="2:16" x14ac:dyDescent="0.2">
      <c r="B331" s="56"/>
      <c r="C331" s="56"/>
      <c r="D331" s="56"/>
      <c r="E331" s="56"/>
      <c r="F331" s="66"/>
      <c r="G331" s="66"/>
      <c r="H331" s="66"/>
      <c r="J331" s="122"/>
      <c r="K331" s="117"/>
      <c r="L331" s="118"/>
      <c r="M331" s="119"/>
      <c r="N331" s="55"/>
      <c r="O331" s="55"/>
      <c r="P331" s="173"/>
    </row>
    <row r="332" spans="2:16" x14ac:dyDescent="0.2">
      <c r="B332" s="56"/>
      <c r="C332" s="56"/>
      <c r="D332" s="56"/>
      <c r="E332" s="56"/>
      <c r="F332" s="66"/>
      <c r="G332" s="66"/>
      <c r="H332" s="66"/>
      <c r="J332" s="122"/>
      <c r="K332" s="117"/>
      <c r="L332" s="118"/>
      <c r="M332" s="119"/>
      <c r="N332" s="55"/>
      <c r="O332" s="55"/>
      <c r="P332" s="173"/>
    </row>
    <row r="333" spans="2:16" x14ac:dyDescent="0.2">
      <c r="B333" s="56"/>
      <c r="C333" s="56"/>
      <c r="D333" s="56"/>
      <c r="E333" s="56"/>
      <c r="F333" s="66"/>
      <c r="G333" s="66"/>
      <c r="H333" s="66"/>
      <c r="J333" s="122"/>
      <c r="K333" s="117"/>
      <c r="L333" s="118"/>
      <c r="M333" s="119"/>
      <c r="N333" s="55"/>
      <c r="O333" s="55"/>
      <c r="P333" s="173"/>
    </row>
    <row r="334" spans="2:16" x14ac:dyDescent="0.2">
      <c r="B334" s="56"/>
      <c r="C334" s="56"/>
      <c r="D334" s="56"/>
      <c r="E334" s="56"/>
      <c r="F334" s="66"/>
      <c r="G334" s="66"/>
      <c r="H334" s="66"/>
      <c r="J334" s="122"/>
      <c r="K334" s="117"/>
      <c r="L334" s="118"/>
      <c r="M334" s="119"/>
      <c r="N334" s="55"/>
      <c r="O334" s="55"/>
      <c r="P334" s="173"/>
    </row>
    <row r="335" spans="2:16" x14ac:dyDescent="0.2">
      <c r="B335" s="56"/>
      <c r="C335" s="56"/>
      <c r="D335" s="56"/>
      <c r="E335" s="56"/>
      <c r="F335" s="66"/>
      <c r="G335" s="66"/>
      <c r="H335" s="66"/>
      <c r="J335" s="122"/>
      <c r="K335" s="117"/>
      <c r="L335" s="118"/>
      <c r="M335" s="119"/>
      <c r="N335" s="55"/>
      <c r="O335" s="55"/>
      <c r="P335" s="173"/>
    </row>
    <row r="336" spans="2:16" x14ac:dyDescent="0.2">
      <c r="B336" s="56"/>
      <c r="C336" s="56"/>
      <c r="D336" s="56"/>
      <c r="E336" s="56"/>
      <c r="F336" s="66"/>
      <c r="G336" s="66"/>
      <c r="H336" s="66"/>
      <c r="J336" s="122"/>
      <c r="K336" s="117"/>
      <c r="L336" s="118"/>
      <c r="M336" s="119"/>
      <c r="N336" s="55"/>
      <c r="O336" s="55"/>
      <c r="P336" s="173"/>
    </row>
    <row r="337" spans="2:16" x14ac:dyDescent="0.2">
      <c r="B337" s="56"/>
      <c r="C337" s="56"/>
      <c r="D337" s="56"/>
      <c r="E337" s="56"/>
      <c r="F337" s="66"/>
      <c r="G337" s="66"/>
      <c r="H337" s="66"/>
      <c r="J337" s="122"/>
      <c r="K337" s="117"/>
      <c r="L337" s="118"/>
      <c r="M337" s="119"/>
      <c r="N337" s="55"/>
      <c r="O337" s="55"/>
      <c r="P337" s="173"/>
    </row>
    <row r="338" spans="2:16" x14ac:dyDescent="0.2">
      <c r="B338" s="56"/>
      <c r="C338" s="56"/>
      <c r="D338" s="56"/>
      <c r="E338" s="56"/>
      <c r="F338" s="66"/>
      <c r="G338" s="66"/>
      <c r="H338" s="66"/>
      <c r="J338" s="122"/>
      <c r="K338" s="117"/>
      <c r="L338" s="118"/>
      <c r="M338" s="119"/>
      <c r="N338" s="55"/>
      <c r="O338" s="55"/>
      <c r="P338" s="173"/>
    </row>
    <row r="339" spans="2:16" x14ac:dyDescent="0.2">
      <c r="B339" s="56"/>
      <c r="C339" s="56"/>
      <c r="D339" s="56"/>
      <c r="E339" s="56"/>
      <c r="F339" s="66"/>
      <c r="G339" s="66"/>
      <c r="H339" s="66"/>
      <c r="J339" s="122"/>
      <c r="K339" s="117"/>
      <c r="L339" s="118"/>
      <c r="M339" s="119"/>
      <c r="N339" s="55"/>
      <c r="O339" s="55"/>
      <c r="P339" s="173"/>
    </row>
    <row r="340" spans="2:16" x14ac:dyDescent="0.2">
      <c r="B340" s="56"/>
      <c r="C340" s="56"/>
      <c r="D340" s="56"/>
      <c r="E340" s="56"/>
      <c r="F340" s="66"/>
      <c r="G340" s="66"/>
      <c r="H340" s="66"/>
      <c r="J340" s="122"/>
      <c r="K340" s="117"/>
      <c r="L340" s="118"/>
      <c r="M340" s="119"/>
      <c r="N340" s="55"/>
      <c r="O340" s="55"/>
      <c r="P340" s="173"/>
    </row>
    <row r="341" spans="2:16" x14ac:dyDescent="0.2">
      <c r="B341" s="56"/>
      <c r="C341" s="56"/>
      <c r="D341" s="56"/>
      <c r="E341" s="56"/>
      <c r="F341" s="66"/>
      <c r="G341" s="66"/>
      <c r="H341" s="66"/>
      <c r="J341" s="122"/>
      <c r="K341" s="117"/>
      <c r="L341" s="118"/>
      <c r="M341" s="119"/>
      <c r="N341" s="55"/>
      <c r="O341" s="55"/>
      <c r="P341" s="173"/>
    </row>
    <row r="342" spans="2:16" x14ac:dyDescent="0.2">
      <c r="B342" s="56"/>
      <c r="C342" s="56"/>
      <c r="D342" s="56"/>
      <c r="E342" s="56"/>
      <c r="F342" s="66"/>
      <c r="G342" s="66"/>
      <c r="H342" s="66"/>
      <c r="J342" s="122"/>
      <c r="K342" s="117"/>
      <c r="L342" s="118"/>
      <c r="M342" s="119"/>
      <c r="N342" s="55"/>
      <c r="O342" s="55"/>
      <c r="P342" s="173"/>
    </row>
    <row r="343" spans="2:16" x14ac:dyDescent="0.2">
      <c r="B343" s="56"/>
      <c r="C343" s="56"/>
      <c r="D343" s="56"/>
      <c r="E343" s="56"/>
      <c r="F343" s="66"/>
      <c r="G343" s="66"/>
      <c r="H343" s="66"/>
      <c r="J343" s="122"/>
      <c r="K343" s="117"/>
      <c r="L343" s="118"/>
      <c r="M343" s="119"/>
      <c r="N343" s="55"/>
      <c r="O343" s="55"/>
      <c r="P343" s="173"/>
    </row>
    <row r="344" spans="2:16" x14ac:dyDescent="0.2">
      <c r="B344" s="56"/>
      <c r="C344" s="56"/>
      <c r="D344" s="56"/>
      <c r="E344" s="56"/>
      <c r="F344" s="66"/>
      <c r="G344" s="66"/>
      <c r="H344" s="66"/>
      <c r="J344" s="122"/>
      <c r="K344" s="117"/>
      <c r="L344" s="118"/>
      <c r="M344" s="119"/>
      <c r="N344" s="55"/>
      <c r="O344" s="55"/>
      <c r="P344" s="173"/>
    </row>
    <row r="345" spans="2:16" x14ac:dyDescent="0.2">
      <c r="B345" s="56"/>
      <c r="C345" s="56"/>
      <c r="D345" s="56"/>
      <c r="E345" s="56"/>
      <c r="F345" s="66"/>
      <c r="G345" s="66"/>
      <c r="H345" s="66"/>
      <c r="J345" s="122"/>
      <c r="K345" s="117"/>
      <c r="L345" s="118"/>
      <c r="M345" s="119"/>
      <c r="N345" s="55"/>
      <c r="O345" s="55"/>
      <c r="P345" s="173"/>
    </row>
    <row r="346" spans="2:16" x14ac:dyDescent="0.2">
      <c r="B346" s="56"/>
      <c r="C346" s="56"/>
      <c r="D346" s="56"/>
      <c r="E346" s="56"/>
      <c r="F346" s="66"/>
      <c r="G346" s="66"/>
      <c r="H346" s="66"/>
      <c r="J346" s="122"/>
      <c r="K346" s="117"/>
      <c r="L346" s="118"/>
      <c r="M346" s="119"/>
      <c r="N346" s="55"/>
      <c r="O346" s="55"/>
      <c r="P346" s="173"/>
    </row>
    <row r="347" spans="2:16" x14ac:dyDescent="0.2">
      <c r="B347" s="56"/>
      <c r="C347" s="56"/>
      <c r="D347" s="56"/>
      <c r="E347" s="56"/>
      <c r="F347" s="66"/>
      <c r="G347" s="66"/>
      <c r="H347" s="66"/>
      <c r="J347" s="122"/>
      <c r="K347" s="117"/>
      <c r="L347" s="118"/>
      <c r="M347" s="119"/>
      <c r="N347" s="55"/>
      <c r="O347" s="55"/>
      <c r="P347" s="173"/>
    </row>
    <row r="348" spans="2:16" x14ac:dyDescent="0.2">
      <c r="B348" s="56"/>
      <c r="C348" s="56"/>
      <c r="D348" s="56"/>
      <c r="E348" s="56"/>
      <c r="F348" s="66"/>
      <c r="G348" s="66"/>
      <c r="H348" s="66"/>
      <c r="J348" s="122"/>
      <c r="K348" s="117"/>
      <c r="L348" s="118"/>
      <c r="M348" s="119"/>
      <c r="N348" s="55"/>
      <c r="O348" s="55"/>
      <c r="P348" s="173"/>
    </row>
    <row r="349" spans="2:16" x14ac:dyDescent="0.2">
      <c r="B349" s="56"/>
      <c r="C349" s="56"/>
      <c r="D349" s="56"/>
      <c r="E349" s="56"/>
      <c r="F349" s="66"/>
      <c r="G349" s="66"/>
      <c r="H349" s="66"/>
      <c r="J349" s="122"/>
      <c r="K349" s="117"/>
      <c r="L349" s="118"/>
      <c r="M349" s="119"/>
      <c r="N349" s="55"/>
      <c r="O349" s="55"/>
      <c r="P349" s="173"/>
    </row>
    <row r="350" spans="2:16" x14ac:dyDescent="0.2">
      <c r="B350" s="56"/>
      <c r="C350" s="56"/>
      <c r="D350" s="56"/>
      <c r="E350" s="56"/>
      <c r="F350" s="66"/>
      <c r="G350" s="66"/>
      <c r="H350" s="66"/>
      <c r="J350" s="122"/>
      <c r="K350" s="117"/>
      <c r="L350" s="118"/>
      <c r="M350" s="119"/>
      <c r="N350" s="55"/>
      <c r="O350" s="55"/>
      <c r="P350" s="173"/>
    </row>
    <row r="351" spans="2:16" x14ac:dyDescent="0.2">
      <c r="B351" s="56"/>
      <c r="C351" s="56"/>
      <c r="D351" s="56"/>
      <c r="E351" s="56"/>
      <c r="F351" s="66"/>
      <c r="G351" s="66"/>
      <c r="H351" s="66"/>
      <c r="J351" s="122"/>
      <c r="K351" s="117"/>
      <c r="L351" s="118"/>
      <c r="M351" s="119"/>
      <c r="N351" s="55"/>
      <c r="O351" s="55"/>
      <c r="P351" s="173"/>
    </row>
    <row r="352" spans="2:16" x14ac:dyDescent="0.2">
      <c r="B352" s="56"/>
      <c r="C352" s="56"/>
      <c r="D352" s="56"/>
      <c r="E352" s="56"/>
      <c r="F352" s="66"/>
      <c r="G352" s="66"/>
      <c r="H352" s="66"/>
      <c r="J352" s="122"/>
      <c r="K352" s="117"/>
      <c r="L352" s="118"/>
      <c r="M352" s="119"/>
      <c r="N352" s="55"/>
      <c r="O352" s="55"/>
      <c r="P352" s="173"/>
    </row>
    <row r="353" spans="2:16" x14ac:dyDescent="0.2">
      <c r="B353" s="56"/>
      <c r="C353" s="56"/>
      <c r="D353" s="56"/>
      <c r="E353" s="56"/>
      <c r="F353" s="66"/>
      <c r="G353" s="66"/>
      <c r="H353" s="66"/>
      <c r="J353" s="122"/>
      <c r="K353" s="117"/>
      <c r="L353" s="118"/>
      <c r="M353" s="119"/>
      <c r="N353" s="55"/>
      <c r="O353" s="55"/>
      <c r="P353" s="173"/>
    </row>
    <row r="354" spans="2:16" x14ac:dyDescent="0.2">
      <c r="B354" s="56"/>
      <c r="C354" s="56"/>
      <c r="D354" s="56"/>
      <c r="E354" s="56"/>
      <c r="F354" s="66"/>
      <c r="G354" s="66"/>
      <c r="H354" s="66"/>
      <c r="J354" s="122"/>
      <c r="K354" s="117"/>
      <c r="L354" s="118"/>
      <c r="M354" s="119"/>
      <c r="N354" s="55"/>
      <c r="O354" s="55"/>
      <c r="P354" s="173"/>
    </row>
    <row r="355" spans="2:16" x14ac:dyDescent="0.2">
      <c r="B355" s="56"/>
      <c r="C355" s="56"/>
      <c r="D355" s="56"/>
      <c r="E355" s="56"/>
      <c r="F355" s="66"/>
      <c r="G355" s="66"/>
      <c r="H355" s="66"/>
      <c r="J355" s="122"/>
      <c r="K355" s="117"/>
      <c r="L355" s="118"/>
      <c r="M355" s="119"/>
      <c r="N355" s="55"/>
      <c r="O355" s="55"/>
      <c r="P355" s="173"/>
    </row>
    <row r="356" spans="2:16" x14ac:dyDescent="0.2">
      <c r="B356" s="56"/>
      <c r="C356" s="56"/>
      <c r="D356" s="56"/>
      <c r="E356" s="56"/>
      <c r="F356" s="66"/>
      <c r="G356" s="66"/>
      <c r="H356" s="66"/>
      <c r="J356" s="122"/>
      <c r="K356" s="117"/>
      <c r="L356" s="118"/>
      <c r="M356" s="119"/>
      <c r="N356" s="55"/>
      <c r="O356" s="55"/>
      <c r="P356" s="173"/>
    </row>
    <row r="357" spans="2:16" x14ac:dyDescent="0.2">
      <c r="B357" s="56"/>
      <c r="C357" s="56"/>
      <c r="D357" s="56"/>
      <c r="E357" s="56"/>
      <c r="F357" s="66"/>
      <c r="G357" s="66"/>
      <c r="H357" s="66"/>
      <c r="J357" s="122"/>
      <c r="K357" s="117"/>
      <c r="L357" s="118"/>
      <c r="M357" s="119"/>
      <c r="N357" s="55"/>
      <c r="O357" s="55"/>
      <c r="P357" s="173"/>
    </row>
    <row r="358" spans="2:16" x14ac:dyDescent="0.2">
      <c r="B358" s="56"/>
      <c r="C358" s="56"/>
      <c r="D358" s="56"/>
      <c r="E358" s="56"/>
      <c r="F358" s="66"/>
      <c r="G358" s="66"/>
      <c r="H358" s="66"/>
      <c r="J358" s="122"/>
      <c r="K358" s="117"/>
      <c r="L358" s="118"/>
      <c r="M358" s="119"/>
      <c r="N358" s="55"/>
      <c r="O358" s="55"/>
      <c r="P358" s="173"/>
    </row>
    <row r="359" spans="2:16" x14ac:dyDescent="0.2">
      <c r="B359" s="56"/>
      <c r="C359" s="56"/>
      <c r="D359" s="56"/>
      <c r="E359" s="56"/>
      <c r="F359" s="66"/>
      <c r="G359" s="66"/>
      <c r="H359" s="66"/>
      <c r="J359" s="122"/>
      <c r="K359" s="117"/>
      <c r="L359" s="118"/>
      <c r="M359" s="119"/>
      <c r="N359" s="55"/>
      <c r="O359" s="55"/>
      <c r="P359" s="173"/>
    </row>
    <row r="360" spans="2:16" x14ac:dyDescent="0.2">
      <c r="B360" s="56"/>
      <c r="C360" s="56"/>
      <c r="D360" s="56"/>
      <c r="E360" s="56"/>
      <c r="F360" s="66"/>
      <c r="G360" s="66"/>
      <c r="H360" s="66"/>
      <c r="J360" s="122"/>
      <c r="K360" s="117"/>
      <c r="L360" s="118"/>
      <c r="M360" s="119"/>
      <c r="N360" s="55"/>
      <c r="O360" s="55"/>
      <c r="P360" s="173"/>
    </row>
    <row r="361" spans="2:16" x14ac:dyDescent="0.2">
      <c r="B361" s="56"/>
      <c r="C361" s="56"/>
      <c r="D361" s="56"/>
      <c r="E361" s="56"/>
      <c r="F361" s="66"/>
      <c r="G361" s="66"/>
      <c r="H361" s="66"/>
      <c r="J361" s="122"/>
      <c r="K361" s="117"/>
      <c r="L361" s="118"/>
      <c r="M361" s="119"/>
      <c r="N361" s="55"/>
      <c r="O361" s="55"/>
      <c r="P361" s="173"/>
    </row>
    <row r="362" spans="2:16" x14ac:dyDescent="0.2">
      <c r="B362" s="56"/>
      <c r="C362" s="56"/>
      <c r="D362" s="56"/>
      <c r="E362" s="56"/>
      <c r="F362" s="66"/>
      <c r="G362" s="66"/>
      <c r="H362" s="66"/>
      <c r="J362" s="122"/>
      <c r="K362" s="117"/>
      <c r="L362" s="118"/>
      <c r="M362" s="119"/>
      <c r="N362" s="55"/>
      <c r="O362" s="55"/>
      <c r="P362" s="173"/>
    </row>
    <row r="363" spans="2:16" x14ac:dyDescent="0.2">
      <c r="B363" s="56"/>
      <c r="C363" s="56"/>
      <c r="D363" s="56"/>
      <c r="E363" s="56"/>
      <c r="F363" s="66"/>
      <c r="G363" s="66"/>
      <c r="H363" s="66"/>
      <c r="J363" s="122"/>
      <c r="K363" s="117"/>
      <c r="L363" s="118"/>
      <c r="M363" s="119"/>
      <c r="N363" s="55"/>
      <c r="O363" s="55"/>
      <c r="P363" s="173"/>
    </row>
    <row r="364" spans="2:16" x14ac:dyDescent="0.2">
      <c r="B364" s="56"/>
      <c r="C364" s="56"/>
      <c r="D364" s="56"/>
      <c r="E364" s="56"/>
      <c r="F364" s="66"/>
      <c r="G364" s="66"/>
      <c r="H364" s="66"/>
      <c r="J364" s="122"/>
      <c r="K364" s="117"/>
      <c r="L364" s="118"/>
      <c r="M364" s="119"/>
      <c r="N364" s="55"/>
      <c r="O364" s="55"/>
      <c r="P364" s="173"/>
    </row>
    <row r="365" spans="2:16" x14ac:dyDescent="0.2">
      <c r="B365" s="56"/>
      <c r="C365" s="56"/>
      <c r="D365" s="56"/>
      <c r="E365" s="56"/>
      <c r="F365" s="66"/>
      <c r="G365" s="66"/>
      <c r="H365" s="66"/>
      <c r="J365" s="122"/>
      <c r="K365" s="117"/>
      <c r="L365" s="118"/>
      <c r="M365" s="119"/>
      <c r="N365" s="55"/>
      <c r="O365" s="55"/>
      <c r="P365" s="173"/>
    </row>
    <row r="366" spans="2:16" x14ac:dyDescent="0.2">
      <c r="B366" s="56"/>
      <c r="C366" s="56"/>
      <c r="D366" s="56"/>
      <c r="E366" s="56"/>
      <c r="F366" s="66"/>
      <c r="G366" s="66"/>
      <c r="H366" s="66"/>
      <c r="J366" s="122"/>
      <c r="K366" s="117"/>
      <c r="L366" s="118"/>
      <c r="M366" s="119"/>
      <c r="N366" s="55"/>
      <c r="O366" s="55"/>
      <c r="P366" s="173"/>
    </row>
    <row r="367" spans="2:16" x14ac:dyDescent="0.2">
      <c r="B367" s="56"/>
      <c r="C367" s="56"/>
      <c r="D367" s="56"/>
      <c r="E367" s="56"/>
      <c r="F367" s="66"/>
      <c r="G367" s="66"/>
      <c r="H367" s="66"/>
      <c r="J367" s="122"/>
      <c r="K367" s="117"/>
      <c r="L367" s="118"/>
      <c r="M367" s="119"/>
      <c r="N367" s="55"/>
      <c r="O367" s="55"/>
      <c r="P367" s="173"/>
    </row>
    <row r="368" spans="2:16" x14ac:dyDescent="0.2">
      <c r="B368" s="56"/>
      <c r="C368" s="56"/>
      <c r="D368" s="56"/>
      <c r="E368" s="56"/>
      <c r="F368" s="66"/>
      <c r="G368" s="66"/>
      <c r="H368" s="66"/>
      <c r="J368" s="122"/>
      <c r="K368" s="117"/>
      <c r="L368" s="118"/>
      <c r="M368" s="119"/>
      <c r="N368" s="55"/>
      <c r="O368" s="55"/>
      <c r="P368" s="173"/>
    </row>
    <row r="369" spans="2:16" x14ac:dyDescent="0.2">
      <c r="B369" s="56"/>
      <c r="C369" s="56"/>
      <c r="D369" s="56"/>
      <c r="E369" s="56"/>
      <c r="F369" s="66"/>
      <c r="G369" s="66"/>
      <c r="H369" s="66"/>
      <c r="J369" s="122"/>
      <c r="K369" s="117"/>
      <c r="L369" s="118"/>
      <c r="M369" s="119"/>
      <c r="N369" s="55"/>
      <c r="O369" s="55"/>
      <c r="P369" s="173"/>
    </row>
    <row r="370" spans="2:16" x14ac:dyDescent="0.2">
      <c r="B370" s="56"/>
      <c r="C370" s="56"/>
      <c r="D370" s="56"/>
      <c r="E370" s="56"/>
      <c r="F370" s="66"/>
      <c r="G370" s="66"/>
      <c r="H370" s="66"/>
      <c r="J370" s="122"/>
      <c r="K370" s="117"/>
      <c r="L370" s="118"/>
      <c r="M370" s="119"/>
      <c r="N370" s="55"/>
      <c r="O370" s="55"/>
      <c r="P370" s="173"/>
    </row>
    <row r="371" spans="2:16" x14ac:dyDescent="0.2">
      <c r="B371" s="56"/>
      <c r="C371" s="56"/>
      <c r="D371" s="56"/>
      <c r="E371" s="56"/>
      <c r="F371" s="66"/>
      <c r="G371" s="66"/>
      <c r="H371" s="66"/>
      <c r="J371" s="122"/>
      <c r="K371" s="117"/>
      <c r="L371" s="118"/>
      <c r="M371" s="119"/>
      <c r="N371" s="55"/>
      <c r="O371" s="55"/>
      <c r="P371" s="173"/>
    </row>
    <row r="372" spans="2:16" x14ac:dyDescent="0.2">
      <c r="B372" s="56"/>
      <c r="C372" s="56"/>
      <c r="D372" s="56"/>
      <c r="E372" s="56"/>
      <c r="F372" s="66"/>
      <c r="G372" s="66"/>
      <c r="H372" s="66"/>
      <c r="J372" s="122"/>
      <c r="K372" s="117"/>
      <c r="L372" s="118"/>
      <c r="M372" s="119"/>
      <c r="N372" s="55"/>
      <c r="O372" s="55"/>
      <c r="P372" s="173"/>
    </row>
    <row r="373" spans="2:16" x14ac:dyDescent="0.2">
      <c r="B373" s="56"/>
      <c r="C373" s="56"/>
      <c r="D373" s="56"/>
      <c r="E373" s="56"/>
      <c r="F373" s="66"/>
      <c r="G373" s="66"/>
      <c r="H373" s="66"/>
      <c r="J373" s="122"/>
      <c r="K373" s="117"/>
      <c r="L373" s="118"/>
      <c r="M373" s="119"/>
      <c r="N373" s="55"/>
      <c r="O373" s="55"/>
      <c r="P373" s="173"/>
    </row>
    <row r="374" spans="2:16" x14ac:dyDescent="0.2">
      <c r="B374" s="56"/>
      <c r="C374" s="56"/>
      <c r="D374" s="56"/>
      <c r="E374" s="56"/>
      <c r="F374" s="66"/>
      <c r="G374" s="66"/>
      <c r="H374" s="66"/>
      <c r="J374" s="122"/>
      <c r="K374" s="117"/>
      <c r="L374" s="118"/>
      <c r="M374" s="119"/>
      <c r="N374" s="55"/>
      <c r="O374" s="55"/>
      <c r="P374" s="173"/>
    </row>
    <row r="375" spans="2:16" x14ac:dyDescent="0.2">
      <c r="B375" s="56"/>
      <c r="C375" s="56"/>
      <c r="D375" s="56"/>
      <c r="E375" s="56"/>
      <c r="F375" s="66"/>
      <c r="G375" s="66"/>
      <c r="H375" s="66"/>
      <c r="J375" s="122"/>
      <c r="K375" s="117"/>
      <c r="L375" s="118"/>
      <c r="M375" s="119"/>
      <c r="N375" s="55"/>
      <c r="O375" s="55"/>
      <c r="P375" s="173"/>
    </row>
    <row r="376" spans="2:16" x14ac:dyDescent="0.2">
      <c r="B376" s="56"/>
      <c r="C376" s="56"/>
      <c r="D376" s="56"/>
      <c r="E376" s="56"/>
      <c r="F376" s="66"/>
      <c r="G376" s="66"/>
      <c r="H376" s="66"/>
      <c r="J376" s="122"/>
      <c r="K376" s="117"/>
      <c r="L376" s="118"/>
      <c r="M376" s="119"/>
      <c r="N376" s="55"/>
      <c r="O376" s="55"/>
      <c r="P376" s="173"/>
    </row>
    <row r="377" spans="2:16" x14ac:dyDescent="0.2">
      <c r="B377" s="56"/>
      <c r="C377" s="56"/>
      <c r="D377" s="56"/>
      <c r="E377" s="56"/>
      <c r="F377" s="66"/>
      <c r="G377" s="66"/>
      <c r="H377" s="66"/>
      <c r="J377" s="122"/>
      <c r="K377" s="117"/>
      <c r="L377" s="118"/>
      <c r="M377" s="119"/>
      <c r="N377" s="55"/>
      <c r="O377" s="55"/>
      <c r="P377" s="173"/>
    </row>
    <row r="378" spans="2:16" x14ac:dyDescent="0.2">
      <c r="B378" s="56"/>
      <c r="C378" s="56"/>
      <c r="D378" s="56"/>
      <c r="E378" s="56"/>
      <c r="F378" s="66"/>
      <c r="G378" s="66"/>
      <c r="H378" s="66"/>
      <c r="J378" s="122"/>
      <c r="K378" s="117"/>
      <c r="L378" s="118"/>
      <c r="M378" s="119"/>
      <c r="N378" s="55"/>
      <c r="O378" s="55"/>
      <c r="P378" s="173"/>
    </row>
    <row r="379" spans="2:16" x14ac:dyDescent="0.2">
      <c r="B379" s="56"/>
      <c r="C379" s="56"/>
      <c r="D379" s="56"/>
      <c r="E379" s="56"/>
      <c r="F379" s="66"/>
      <c r="G379" s="66"/>
      <c r="H379" s="66"/>
      <c r="J379" s="122"/>
      <c r="K379" s="117"/>
      <c r="L379" s="118"/>
      <c r="M379" s="119"/>
      <c r="N379" s="55"/>
      <c r="O379" s="55"/>
      <c r="P379" s="173"/>
    </row>
    <row r="380" spans="2:16" x14ac:dyDescent="0.2">
      <c r="B380" s="56"/>
      <c r="C380" s="56"/>
      <c r="D380" s="56"/>
      <c r="E380" s="56"/>
      <c r="F380" s="66"/>
      <c r="G380" s="66"/>
      <c r="H380" s="66"/>
      <c r="J380" s="122"/>
      <c r="K380" s="117"/>
      <c r="L380" s="118"/>
      <c r="M380" s="119"/>
      <c r="N380" s="55"/>
      <c r="O380" s="55"/>
      <c r="P380" s="173"/>
    </row>
    <row r="381" spans="2:16" x14ac:dyDescent="0.2">
      <c r="B381" s="56"/>
      <c r="C381" s="56"/>
      <c r="D381" s="56"/>
      <c r="E381" s="56"/>
      <c r="F381" s="66"/>
      <c r="G381" s="66"/>
      <c r="H381" s="66"/>
      <c r="J381" s="122"/>
      <c r="K381" s="117"/>
      <c r="L381" s="118"/>
      <c r="M381" s="119"/>
      <c r="N381" s="55"/>
      <c r="O381" s="55"/>
      <c r="P381" s="173"/>
    </row>
    <row r="382" spans="2:16" x14ac:dyDescent="0.2">
      <c r="B382" s="56"/>
      <c r="C382" s="56"/>
      <c r="D382" s="56"/>
      <c r="E382" s="56"/>
      <c r="F382" s="66"/>
      <c r="G382" s="66"/>
      <c r="H382" s="66"/>
      <c r="J382" s="122"/>
      <c r="K382" s="117"/>
      <c r="L382" s="118"/>
      <c r="M382" s="119"/>
      <c r="N382" s="55"/>
      <c r="O382" s="55"/>
      <c r="P382" s="173"/>
    </row>
    <row r="383" spans="2:16" x14ac:dyDescent="0.2">
      <c r="B383" s="56"/>
      <c r="C383" s="56"/>
      <c r="D383" s="56"/>
      <c r="E383" s="56"/>
      <c r="F383" s="66"/>
      <c r="G383" s="66"/>
      <c r="H383" s="66"/>
      <c r="J383" s="122"/>
      <c r="K383" s="117"/>
      <c r="L383" s="118"/>
      <c r="M383" s="119"/>
      <c r="N383" s="55"/>
      <c r="O383" s="55"/>
      <c r="P383" s="173"/>
    </row>
    <row r="384" spans="2:16" x14ac:dyDescent="0.2">
      <c r="B384" s="56"/>
      <c r="C384" s="56"/>
      <c r="D384" s="56"/>
      <c r="E384" s="56"/>
      <c r="F384" s="66"/>
      <c r="G384" s="66"/>
      <c r="H384" s="66"/>
      <c r="J384" s="122"/>
      <c r="K384" s="117"/>
      <c r="L384" s="118"/>
      <c r="M384" s="119"/>
      <c r="N384" s="55"/>
      <c r="O384" s="55"/>
      <c r="P384" s="173"/>
    </row>
    <row r="385" spans="2:16" x14ac:dyDescent="0.2">
      <c r="B385" s="56"/>
      <c r="C385" s="56"/>
      <c r="D385" s="56"/>
      <c r="E385" s="56"/>
      <c r="F385" s="66"/>
      <c r="G385" s="66"/>
      <c r="H385" s="66"/>
      <c r="J385" s="122"/>
      <c r="K385" s="117"/>
      <c r="L385" s="118"/>
      <c r="M385" s="119"/>
      <c r="N385" s="55"/>
      <c r="O385" s="55"/>
      <c r="P385" s="173"/>
    </row>
    <row r="386" spans="2:16" x14ac:dyDescent="0.2">
      <c r="B386" s="56"/>
      <c r="C386" s="56"/>
      <c r="D386" s="56"/>
      <c r="E386" s="56"/>
      <c r="F386" s="66"/>
      <c r="G386" s="66"/>
      <c r="H386" s="66"/>
      <c r="J386" s="122"/>
      <c r="K386" s="117"/>
      <c r="L386" s="118"/>
      <c r="M386" s="119"/>
      <c r="N386" s="55"/>
      <c r="O386" s="55"/>
      <c r="P386" s="173"/>
    </row>
    <row r="387" spans="2:16" x14ac:dyDescent="0.2">
      <c r="B387" s="56"/>
      <c r="C387" s="56"/>
      <c r="D387" s="56"/>
      <c r="E387" s="56"/>
      <c r="F387" s="66"/>
      <c r="G387" s="66"/>
      <c r="H387" s="66"/>
      <c r="J387" s="122"/>
      <c r="K387" s="117"/>
      <c r="L387" s="118"/>
      <c r="M387" s="119"/>
      <c r="N387" s="55"/>
      <c r="O387" s="55"/>
      <c r="P387" s="173"/>
    </row>
    <row r="388" spans="2:16" x14ac:dyDescent="0.2">
      <c r="B388" s="56"/>
      <c r="C388" s="56"/>
      <c r="D388" s="56"/>
      <c r="E388" s="56"/>
      <c r="F388" s="66"/>
      <c r="G388" s="66"/>
      <c r="H388" s="66"/>
      <c r="J388" s="122"/>
      <c r="K388" s="117"/>
      <c r="L388" s="118"/>
      <c r="M388" s="119"/>
      <c r="N388" s="55"/>
      <c r="O388" s="55"/>
      <c r="P388" s="173"/>
    </row>
    <row r="389" spans="2:16" x14ac:dyDescent="0.2">
      <c r="B389" s="56"/>
      <c r="C389" s="56"/>
      <c r="D389" s="56"/>
      <c r="E389" s="56"/>
      <c r="F389" s="66"/>
      <c r="G389" s="66"/>
      <c r="H389" s="66"/>
      <c r="J389" s="122"/>
      <c r="K389" s="117"/>
      <c r="L389" s="118"/>
      <c r="M389" s="119"/>
      <c r="N389" s="55"/>
      <c r="O389" s="55"/>
      <c r="P389" s="173"/>
    </row>
    <row r="390" spans="2:16" x14ac:dyDescent="0.2">
      <c r="B390" s="56"/>
      <c r="C390" s="56"/>
      <c r="D390" s="56"/>
      <c r="E390" s="56"/>
      <c r="F390" s="66"/>
      <c r="G390" s="66"/>
      <c r="H390" s="66"/>
      <c r="J390" s="122"/>
      <c r="K390" s="117"/>
      <c r="L390" s="118"/>
      <c r="M390" s="119"/>
      <c r="N390" s="55"/>
      <c r="O390" s="55"/>
      <c r="P390" s="173"/>
    </row>
    <row r="391" spans="2:16" x14ac:dyDescent="0.2">
      <c r="B391" s="56"/>
      <c r="C391" s="56"/>
      <c r="D391" s="56"/>
      <c r="E391" s="56"/>
      <c r="F391" s="66"/>
      <c r="G391" s="66"/>
      <c r="H391" s="66"/>
      <c r="J391" s="122"/>
      <c r="K391" s="117"/>
      <c r="L391" s="118"/>
      <c r="M391" s="119"/>
      <c r="N391" s="55"/>
      <c r="O391" s="55"/>
      <c r="P391" s="173"/>
    </row>
    <row r="392" spans="2:16" x14ac:dyDescent="0.2">
      <c r="B392" s="56"/>
      <c r="C392" s="56"/>
      <c r="D392" s="56"/>
      <c r="E392" s="56"/>
      <c r="F392" s="66"/>
      <c r="G392" s="66"/>
      <c r="H392" s="66"/>
      <c r="J392" s="122"/>
      <c r="K392" s="117"/>
      <c r="L392" s="118"/>
      <c r="M392" s="119"/>
      <c r="N392" s="55"/>
      <c r="O392" s="55"/>
      <c r="P392" s="173"/>
    </row>
    <row r="393" spans="2:16" x14ac:dyDescent="0.2">
      <c r="B393" s="56"/>
      <c r="C393" s="56"/>
      <c r="D393" s="56"/>
      <c r="E393" s="56"/>
      <c r="F393" s="66"/>
      <c r="G393" s="66"/>
      <c r="H393" s="66"/>
      <c r="J393" s="122"/>
      <c r="K393" s="117"/>
      <c r="L393" s="118"/>
      <c r="M393" s="119"/>
      <c r="N393" s="55"/>
      <c r="O393" s="55"/>
      <c r="P393" s="173"/>
    </row>
    <row r="394" spans="2:16" x14ac:dyDescent="0.2">
      <c r="B394" s="56"/>
      <c r="C394" s="56"/>
      <c r="D394" s="56"/>
      <c r="E394" s="56"/>
      <c r="F394" s="66"/>
      <c r="G394" s="66"/>
      <c r="H394" s="66"/>
      <c r="J394" s="122"/>
      <c r="K394" s="117"/>
      <c r="L394" s="118"/>
      <c r="M394" s="119"/>
      <c r="N394" s="55"/>
      <c r="O394" s="55"/>
      <c r="P394" s="173"/>
    </row>
    <row r="395" spans="2:16" x14ac:dyDescent="0.2">
      <c r="B395" s="56"/>
      <c r="C395" s="56"/>
      <c r="D395" s="56"/>
      <c r="E395" s="56"/>
      <c r="F395" s="66"/>
      <c r="G395" s="66"/>
      <c r="H395" s="66"/>
      <c r="J395" s="122"/>
      <c r="K395" s="117"/>
      <c r="L395" s="118"/>
      <c r="M395" s="119"/>
      <c r="N395" s="55"/>
      <c r="O395" s="55"/>
      <c r="P395" s="173"/>
    </row>
    <row r="396" spans="2:16" x14ac:dyDescent="0.2">
      <c r="B396" s="56"/>
      <c r="C396" s="56"/>
      <c r="D396" s="56"/>
      <c r="E396" s="56"/>
      <c r="F396" s="66"/>
      <c r="G396" s="66"/>
      <c r="H396" s="66"/>
      <c r="J396" s="122"/>
      <c r="K396" s="117"/>
      <c r="L396" s="118"/>
      <c r="M396" s="119"/>
      <c r="N396" s="55"/>
      <c r="O396" s="55"/>
      <c r="P396" s="173"/>
    </row>
    <row r="397" spans="2:16" x14ac:dyDescent="0.2">
      <c r="B397" s="56"/>
      <c r="C397" s="56"/>
      <c r="D397" s="56"/>
      <c r="E397" s="56"/>
      <c r="F397" s="66"/>
      <c r="G397" s="66"/>
      <c r="H397" s="66"/>
      <c r="J397" s="122"/>
      <c r="K397" s="117"/>
      <c r="L397" s="118"/>
      <c r="M397" s="119"/>
      <c r="N397" s="55"/>
      <c r="O397" s="55"/>
      <c r="P397" s="173"/>
    </row>
    <row r="398" spans="2:16" x14ac:dyDescent="0.2">
      <c r="B398" s="56"/>
      <c r="C398" s="56"/>
      <c r="D398" s="56"/>
      <c r="E398" s="56"/>
      <c r="F398" s="66"/>
      <c r="G398" s="66"/>
      <c r="H398" s="66"/>
      <c r="J398" s="122"/>
      <c r="K398" s="117"/>
      <c r="L398" s="118"/>
      <c r="M398" s="119"/>
      <c r="N398" s="55"/>
      <c r="O398" s="55"/>
      <c r="P398" s="173"/>
    </row>
    <row r="399" spans="2:16" x14ac:dyDescent="0.2">
      <c r="B399" s="56"/>
      <c r="C399" s="56"/>
      <c r="D399" s="56"/>
      <c r="E399" s="56"/>
      <c r="F399" s="66"/>
      <c r="G399" s="66"/>
      <c r="H399" s="66"/>
      <c r="J399" s="122"/>
      <c r="K399" s="117"/>
      <c r="L399" s="118"/>
      <c r="M399" s="119"/>
      <c r="N399" s="55"/>
      <c r="O399" s="55"/>
      <c r="P399" s="173"/>
    </row>
    <row r="400" spans="2:16" x14ac:dyDescent="0.2">
      <c r="B400" s="56"/>
      <c r="C400" s="56"/>
      <c r="D400" s="56"/>
      <c r="E400" s="56"/>
      <c r="F400" s="66"/>
      <c r="G400" s="66"/>
      <c r="H400" s="66"/>
      <c r="J400" s="122"/>
      <c r="K400" s="117"/>
      <c r="L400" s="118"/>
      <c r="M400" s="119"/>
      <c r="N400" s="55"/>
      <c r="O400" s="55"/>
      <c r="P400" s="173"/>
    </row>
    <row r="401" spans="2:16" x14ac:dyDescent="0.2">
      <c r="B401" s="56"/>
      <c r="C401" s="56"/>
      <c r="D401" s="56"/>
      <c r="E401" s="56"/>
      <c r="F401" s="66"/>
      <c r="G401" s="66"/>
      <c r="H401" s="66"/>
      <c r="J401" s="122"/>
      <c r="K401" s="117"/>
      <c r="L401" s="118"/>
      <c r="M401" s="119"/>
      <c r="N401" s="55"/>
      <c r="O401" s="55"/>
      <c r="P401" s="173"/>
    </row>
    <row r="402" spans="2:16" x14ac:dyDescent="0.2">
      <c r="B402" s="56"/>
      <c r="C402" s="56"/>
      <c r="D402" s="56"/>
      <c r="E402" s="56"/>
      <c r="F402" s="66"/>
      <c r="G402" s="66"/>
      <c r="H402" s="66"/>
      <c r="J402" s="122"/>
      <c r="K402" s="117"/>
      <c r="L402" s="118"/>
      <c r="M402" s="119"/>
      <c r="N402" s="55"/>
      <c r="O402" s="55"/>
      <c r="P402" s="173"/>
    </row>
    <row r="403" spans="2:16" x14ac:dyDescent="0.2">
      <c r="B403" s="56"/>
      <c r="C403" s="56"/>
      <c r="D403" s="56"/>
      <c r="E403" s="56"/>
      <c r="F403" s="66"/>
      <c r="G403" s="66"/>
      <c r="H403" s="66"/>
      <c r="J403" s="122"/>
      <c r="K403" s="117"/>
      <c r="L403" s="118"/>
      <c r="M403" s="119"/>
      <c r="N403" s="55"/>
      <c r="O403" s="55"/>
      <c r="P403" s="173"/>
    </row>
    <row r="404" spans="2:16" x14ac:dyDescent="0.2">
      <c r="B404" s="56"/>
      <c r="C404" s="56"/>
      <c r="D404" s="56"/>
      <c r="E404" s="56"/>
      <c r="F404" s="66"/>
      <c r="G404" s="66"/>
      <c r="H404" s="66"/>
      <c r="J404" s="122"/>
      <c r="K404" s="117"/>
      <c r="L404" s="118"/>
      <c r="M404" s="119"/>
      <c r="N404" s="55"/>
      <c r="O404" s="55"/>
      <c r="P404" s="173"/>
    </row>
    <row r="405" spans="2:16" x14ac:dyDescent="0.2">
      <c r="B405" s="56"/>
      <c r="C405" s="56"/>
      <c r="D405" s="56"/>
      <c r="E405" s="56"/>
      <c r="F405" s="66"/>
      <c r="G405" s="66"/>
      <c r="H405" s="66"/>
      <c r="J405" s="122"/>
      <c r="K405" s="117"/>
      <c r="L405" s="118"/>
      <c r="M405" s="119"/>
      <c r="N405" s="55"/>
      <c r="O405" s="55"/>
      <c r="P405" s="173"/>
    </row>
    <row r="406" spans="2:16" x14ac:dyDescent="0.2">
      <c r="B406" s="56"/>
      <c r="C406" s="56"/>
      <c r="D406" s="56"/>
      <c r="E406" s="56"/>
      <c r="F406" s="66"/>
      <c r="G406" s="66"/>
      <c r="H406" s="66"/>
      <c r="J406" s="122"/>
      <c r="K406" s="117"/>
      <c r="L406" s="118"/>
      <c r="M406" s="119"/>
      <c r="N406" s="55"/>
      <c r="O406" s="55"/>
      <c r="P406" s="173"/>
    </row>
    <row r="407" spans="2:16" x14ac:dyDescent="0.2">
      <c r="B407" s="56"/>
      <c r="C407" s="56"/>
      <c r="D407" s="56"/>
      <c r="E407" s="56"/>
      <c r="F407" s="66"/>
      <c r="G407" s="66"/>
      <c r="H407" s="66"/>
      <c r="J407" s="122"/>
      <c r="K407" s="117"/>
      <c r="L407" s="118"/>
      <c r="M407" s="119"/>
      <c r="N407" s="55"/>
      <c r="O407" s="55"/>
      <c r="P407" s="173"/>
    </row>
    <row r="408" spans="2:16" x14ac:dyDescent="0.2">
      <c r="B408" s="56"/>
      <c r="C408" s="56"/>
      <c r="D408" s="56"/>
      <c r="E408" s="56"/>
      <c r="F408" s="66"/>
      <c r="G408" s="66"/>
      <c r="H408" s="66"/>
      <c r="J408" s="122"/>
      <c r="K408" s="117"/>
      <c r="L408" s="118"/>
      <c r="M408" s="119"/>
      <c r="N408" s="55"/>
      <c r="O408" s="55"/>
      <c r="P408" s="173"/>
    </row>
    <row r="409" spans="2:16" x14ac:dyDescent="0.2">
      <c r="B409" s="56"/>
      <c r="C409" s="56"/>
      <c r="D409" s="56"/>
      <c r="E409" s="56"/>
      <c r="F409" s="66"/>
      <c r="G409" s="66"/>
      <c r="H409" s="66"/>
      <c r="J409" s="122"/>
      <c r="K409" s="117"/>
      <c r="L409" s="118"/>
      <c r="M409" s="119"/>
      <c r="N409" s="55"/>
      <c r="O409" s="55"/>
      <c r="P409" s="173"/>
    </row>
    <row r="410" spans="2:16" x14ac:dyDescent="0.2">
      <c r="B410" s="56"/>
      <c r="C410" s="56"/>
      <c r="D410" s="56"/>
      <c r="E410" s="56"/>
      <c r="F410" s="66"/>
      <c r="G410" s="66"/>
      <c r="H410" s="66"/>
      <c r="J410" s="122"/>
      <c r="K410" s="117"/>
      <c r="L410" s="118"/>
      <c r="M410" s="119"/>
      <c r="N410" s="55"/>
      <c r="O410" s="55"/>
      <c r="P410" s="173"/>
    </row>
    <row r="411" spans="2:16" x14ac:dyDescent="0.2">
      <c r="B411" s="56"/>
      <c r="C411" s="56"/>
      <c r="D411" s="56"/>
      <c r="E411" s="56"/>
      <c r="F411" s="66"/>
      <c r="G411" s="66"/>
      <c r="H411" s="66"/>
      <c r="J411" s="122"/>
      <c r="K411" s="117"/>
      <c r="L411" s="118"/>
      <c r="M411" s="119"/>
      <c r="N411" s="55"/>
      <c r="O411" s="55"/>
      <c r="P411" s="173"/>
    </row>
    <row r="412" spans="2:16" x14ac:dyDescent="0.2">
      <c r="B412" s="56"/>
      <c r="C412" s="56"/>
      <c r="D412" s="56"/>
      <c r="E412" s="56"/>
      <c r="F412" s="66"/>
      <c r="G412" s="66"/>
      <c r="H412" s="66"/>
      <c r="J412" s="122"/>
      <c r="K412" s="117"/>
      <c r="L412" s="118"/>
      <c r="M412" s="119"/>
      <c r="N412" s="55"/>
      <c r="O412" s="55"/>
      <c r="P412" s="173"/>
    </row>
    <row r="413" spans="2:16" x14ac:dyDescent="0.2">
      <c r="B413" s="56"/>
      <c r="C413" s="56"/>
      <c r="D413" s="56"/>
      <c r="E413" s="56"/>
      <c r="F413" s="66"/>
      <c r="G413" s="66"/>
      <c r="H413" s="66"/>
      <c r="J413" s="122"/>
      <c r="K413" s="117"/>
      <c r="L413" s="118"/>
      <c r="M413" s="119"/>
      <c r="N413" s="55"/>
      <c r="O413" s="55"/>
      <c r="P413" s="173"/>
    </row>
    <row r="414" spans="2:16" x14ac:dyDescent="0.2">
      <c r="B414" s="56"/>
      <c r="C414" s="56"/>
      <c r="D414" s="56"/>
      <c r="E414" s="56"/>
      <c r="F414" s="66"/>
      <c r="G414" s="66"/>
      <c r="H414" s="66"/>
      <c r="J414" s="122"/>
      <c r="K414" s="117"/>
      <c r="L414" s="118"/>
      <c r="M414" s="119"/>
      <c r="N414" s="55"/>
      <c r="O414" s="55"/>
      <c r="P414" s="173"/>
    </row>
    <row r="415" spans="2:16" x14ac:dyDescent="0.2">
      <c r="B415" s="56"/>
      <c r="C415" s="56"/>
      <c r="D415" s="56"/>
      <c r="E415" s="56"/>
      <c r="F415" s="66"/>
      <c r="G415" s="66"/>
      <c r="H415" s="66"/>
      <c r="J415" s="122"/>
      <c r="K415" s="117"/>
      <c r="L415" s="118"/>
      <c r="M415" s="119"/>
      <c r="N415" s="55"/>
      <c r="O415" s="55"/>
      <c r="P415" s="173"/>
    </row>
    <row r="416" spans="2:16" x14ac:dyDescent="0.2">
      <c r="B416" s="56"/>
      <c r="C416" s="56"/>
      <c r="D416" s="56"/>
      <c r="E416" s="56"/>
      <c r="F416" s="66"/>
      <c r="G416" s="66"/>
      <c r="H416" s="66"/>
      <c r="J416" s="122"/>
      <c r="K416" s="117"/>
      <c r="L416" s="118"/>
      <c r="M416" s="119"/>
      <c r="N416" s="55"/>
      <c r="O416" s="55"/>
      <c r="P416" s="173"/>
    </row>
    <row r="417" spans="2:16" x14ac:dyDescent="0.2">
      <c r="B417" s="56"/>
      <c r="C417" s="56"/>
      <c r="D417" s="56"/>
      <c r="E417" s="56"/>
      <c r="F417" s="66"/>
      <c r="G417" s="66"/>
      <c r="H417" s="66"/>
      <c r="J417" s="122"/>
      <c r="K417" s="117"/>
      <c r="L417" s="118"/>
      <c r="M417" s="119"/>
      <c r="N417" s="55"/>
      <c r="O417" s="55"/>
      <c r="P417" s="173"/>
    </row>
    <row r="418" spans="2:16" x14ac:dyDescent="0.2">
      <c r="B418" s="56"/>
      <c r="C418" s="56"/>
      <c r="D418" s="56"/>
      <c r="E418" s="56"/>
      <c r="F418" s="66"/>
      <c r="G418" s="66"/>
      <c r="H418" s="66"/>
      <c r="J418" s="122"/>
      <c r="K418" s="117"/>
      <c r="L418" s="118"/>
      <c r="M418" s="119"/>
      <c r="N418" s="55"/>
      <c r="O418" s="55"/>
      <c r="P418" s="173"/>
    </row>
    <row r="419" spans="2:16" x14ac:dyDescent="0.2">
      <c r="B419" s="56"/>
      <c r="C419" s="56"/>
      <c r="D419" s="56"/>
      <c r="E419" s="56"/>
      <c r="F419" s="66"/>
      <c r="G419" s="66"/>
      <c r="H419" s="66"/>
      <c r="J419" s="122"/>
      <c r="K419" s="117"/>
      <c r="L419" s="118"/>
      <c r="M419" s="119"/>
      <c r="N419" s="55"/>
      <c r="O419" s="55"/>
      <c r="P419" s="173"/>
    </row>
    <row r="420" spans="2:16" x14ac:dyDescent="0.2">
      <c r="B420" s="56"/>
      <c r="C420" s="56"/>
      <c r="D420" s="56"/>
      <c r="E420" s="56"/>
      <c r="F420" s="66"/>
      <c r="G420" s="66"/>
      <c r="H420" s="66"/>
      <c r="J420" s="122"/>
      <c r="K420" s="117"/>
      <c r="L420" s="118"/>
      <c r="M420" s="119"/>
      <c r="N420" s="55"/>
      <c r="O420" s="55"/>
      <c r="P420" s="173"/>
    </row>
    <row r="421" spans="2:16" x14ac:dyDescent="0.2">
      <c r="B421" s="56"/>
      <c r="C421" s="56"/>
      <c r="D421" s="56"/>
      <c r="E421" s="56"/>
      <c r="F421" s="66"/>
      <c r="G421" s="66"/>
      <c r="H421" s="66"/>
      <c r="J421" s="122"/>
      <c r="K421" s="117"/>
      <c r="L421" s="118"/>
      <c r="M421" s="119"/>
      <c r="N421" s="55"/>
      <c r="O421" s="55"/>
      <c r="P421" s="173"/>
    </row>
    <row r="422" spans="2:16" x14ac:dyDescent="0.2">
      <c r="B422" s="56"/>
      <c r="C422" s="56"/>
      <c r="D422" s="56"/>
      <c r="E422" s="56"/>
      <c r="F422" s="66"/>
      <c r="G422" s="66"/>
      <c r="H422" s="66"/>
      <c r="J422" s="122"/>
      <c r="K422" s="117"/>
      <c r="L422" s="118"/>
      <c r="M422" s="119"/>
      <c r="N422" s="55"/>
      <c r="O422" s="55"/>
      <c r="P422" s="173"/>
    </row>
    <row r="423" spans="2:16" x14ac:dyDescent="0.2">
      <c r="B423" s="56"/>
      <c r="C423" s="56"/>
      <c r="D423" s="56"/>
      <c r="E423" s="56"/>
      <c r="F423" s="66"/>
      <c r="G423" s="66"/>
      <c r="H423" s="66"/>
      <c r="J423" s="122"/>
      <c r="K423" s="117"/>
      <c r="L423" s="118"/>
      <c r="M423" s="119"/>
      <c r="N423" s="55"/>
      <c r="O423" s="55"/>
      <c r="P423" s="173"/>
    </row>
    <row r="424" spans="2:16" x14ac:dyDescent="0.2">
      <c r="B424" s="56"/>
      <c r="C424" s="56"/>
      <c r="D424" s="56"/>
      <c r="E424" s="56"/>
      <c r="F424" s="66"/>
      <c r="G424" s="66"/>
      <c r="H424" s="66"/>
      <c r="J424" s="122"/>
      <c r="K424" s="117"/>
      <c r="L424" s="118"/>
      <c r="M424" s="119"/>
      <c r="N424" s="55"/>
      <c r="O424" s="55"/>
      <c r="P424" s="173"/>
    </row>
    <row r="425" spans="2:16" x14ac:dyDescent="0.2">
      <c r="B425" s="56"/>
      <c r="C425" s="56"/>
      <c r="D425" s="56"/>
      <c r="E425" s="56"/>
      <c r="F425" s="66"/>
      <c r="G425" s="66"/>
      <c r="H425" s="66"/>
      <c r="J425" s="122"/>
      <c r="K425" s="117"/>
      <c r="L425" s="118"/>
      <c r="M425" s="119"/>
      <c r="N425" s="55"/>
      <c r="O425" s="55"/>
      <c r="P425" s="173"/>
    </row>
    <row r="426" spans="2:16" x14ac:dyDescent="0.2">
      <c r="B426" s="56"/>
      <c r="C426" s="56"/>
      <c r="D426" s="56"/>
      <c r="E426" s="56"/>
      <c r="F426" s="66"/>
      <c r="G426" s="66"/>
      <c r="H426" s="66"/>
      <c r="J426" s="122"/>
      <c r="K426" s="117"/>
      <c r="L426" s="118"/>
      <c r="M426" s="119"/>
      <c r="N426" s="55"/>
      <c r="O426" s="55"/>
      <c r="P426" s="173"/>
    </row>
    <row r="427" spans="2:16" x14ac:dyDescent="0.2">
      <c r="B427" s="56"/>
      <c r="C427" s="56"/>
      <c r="D427" s="56"/>
      <c r="E427" s="56"/>
      <c r="F427" s="66"/>
      <c r="G427" s="66"/>
      <c r="H427" s="66"/>
      <c r="J427" s="122"/>
      <c r="K427" s="117"/>
      <c r="L427" s="118"/>
      <c r="M427" s="119"/>
      <c r="N427" s="55"/>
      <c r="O427" s="55"/>
      <c r="P427" s="173"/>
    </row>
    <row r="428" spans="2:16" x14ac:dyDescent="0.2">
      <c r="B428" s="56"/>
      <c r="C428" s="56"/>
      <c r="D428" s="56"/>
      <c r="E428" s="56"/>
      <c r="F428" s="66"/>
      <c r="G428" s="66"/>
      <c r="H428" s="66"/>
      <c r="J428" s="122"/>
      <c r="K428" s="117"/>
      <c r="L428" s="118"/>
      <c r="M428" s="119"/>
      <c r="N428" s="55"/>
      <c r="O428" s="55"/>
      <c r="P428" s="173"/>
    </row>
    <row r="429" spans="2:16" x14ac:dyDescent="0.2">
      <c r="B429" s="56"/>
      <c r="C429" s="56"/>
      <c r="D429" s="56"/>
      <c r="E429" s="56"/>
      <c r="F429" s="66"/>
      <c r="G429" s="66"/>
      <c r="H429" s="66"/>
      <c r="J429" s="122"/>
      <c r="K429" s="117"/>
      <c r="L429" s="118"/>
      <c r="M429" s="119"/>
      <c r="N429" s="55"/>
      <c r="O429" s="55"/>
      <c r="P429" s="173"/>
    </row>
    <row r="430" spans="2:16" x14ac:dyDescent="0.2">
      <c r="B430" s="56"/>
      <c r="C430" s="56"/>
      <c r="D430" s="56"/>
      <c r="E430" s="56"/>
      <c r="F430" s="66"/>
      <c r="G430" s="66"/>
      <c r="H430" s="66"/>
      <c r="J430" s="122"/>
      <c r="K430" s="117"/>
      <c r="L430" s="118"/>
      <c r="M430" s="119"/>
      <c r="N430" s="55"/>
      <c r="O430" s="55"/>
      <c r="P430" s="173"/>
    </row>
    <row r="431" spans="2:16" x14ac:dyDescent="0.2">
      <c r="B431" s="56"/>
      <c r="C431" s="56"/>
      <c r="D431" s="56"/>
      <c r="E431" s="56"/>
      <c r="F431" s="66"/>
      <c r="G431" s="66"/>
      <c r="H431" s="66"/>
      <c r="J431" s="122"/>
      <c r="K431" s="117"/>
      <c r="L431" s="118"/>
      <c r="M431" s="119"/>
      <c r="N431" s="55"/>
      <c r="O431" s="55"/>
      <c r="P431" s="173"/>
    </row>
    <row r="432" spans="2:16" x14ac:dyDescent="0.2">
      <c r="B432" s="56"/>
      <c r="C432" s="56"/>
      <c r="D432" s="56"/>
      <c r="E432" s="56"/>
      <c r="F432" s="66"/>
      <c r="G432" s="66"/>
      <c r="H432" s="66"/>
      <c r="J432" s="122"/>
      <c r="K432" s="117"/>
      <c r="L432" s="118"/>
      <c r="M432" s="119"/>
      <c r="N432" s="55"/>
      <c r="O432" s="55"/>
      <c r="P432" s="173"/>
    </row>
    <row r="433" spans="2:16" x14ac:dyDescent="0.2">
      <c r="B433" s="56"/>
      <c r="C433" s="56"/>
      <c r="D433" s="56"/>
      <c r="E433" s="56"/>
      <c r="F433" s="66"/>
      <c r="G433" s="66"/>
      <c r="H433" s="66"/>
      <c r="J433" s="122"/>
      <c r="K433" s="117"/>
      <c r="L433" s="118"/>
      <c r="M433" s="119"/>
      <c r="N433" s="55"/>
      <c r="O433" s="55"/>
      <c r="P433" s="173"/>
    </row>
    <row r="434" spans="2:16" x14ac:dyDescent="0.2">
      <c r="B434" s="56"/>
      <c r="C434" s="56"/>
      <c r="D434" s="56"/>
      <c r="E434" s="56"/>
      <c r="F434" s="66"/>
      <c r="G434" s="66"/>
      <c r="H434" s="66"/>
      <c r="J434" s="122"/>
      <c r="K434" s="117"/>
      <c r="L434" s="118"/>
      <c r="M434" s="119"/>
      <c r="N434" s="55"/>
      <c r="O434" s="55"/>
      <c r="P434" s="173"/>
    </row>
    <row r="435" spans="2:16" x14ac:dyDescent="0.2">
      <c r="B435" s="56"/>
      <c r="C435" s="56"/>
      <c r="D435" s="56"/>
      <c r="E435" s="56"/>
      <c r="F435" s="66"/>
      <c r="G435" s="66"/>
      <c r="H435" s="66"/>
      <c r="J435" s="122"/>
      <c r="K435" s="117"/>
      <c r="L435" s="118"/>
      <c r="M435" s="119"/>
      <c r="N435" s="55"/>
      <c r="O435" s="55"/>
      <c r="P435" s="173"/>
    </row>
    <row r="436" spans="2:16" x14ac:dyDescent="0.2">
      <c r="B436" s="56"/>
      <c r="C436" s="56"/>
      <c r="D436" s="56"/>
      <c r="E436" s="56"/>
      <c r="F436" s="66"/>
      <c r="G436" s="66"/>
      <c r="H436" s="66"/>
      <c r="J436" s="122"/>
      <c r="K436" s="117"/>
      <c r="L436" s="118"/>
      <c r="M436" s="119"/>
      <c r="N436" s="55"/>
      <c r="O436" s="55"/>
      <c r="P436" s="173"/>
    </row>
    <row r="437" spans="2:16" x14ac:dyDescent="0.2">
      <c r="B437" s="56"/>
      <c r="C437" s="56"/>
      <c r="D437" s="56"/>
      <c r="E437" s="56"/>
      <c r="F437" s="66"/>
      <c r="G437" s="66"/>
      <c r="H437" s="66"/>
      <c r="J437" s="122"/>
      <c r="K437" s="117"/>
      <c r="L437" s="118"/>
      <c r="M437" s="119"/>
      <c r="N437" s="55"/>
      <c r="O437" s="55"/>
      <c r="P437" s="173"/>
    </row>
    <row r="438" spans="2:16" x14ac:dyDescent="0.2">
      <c r="B438" s="56"/>
      <c r="C438" s="56"/>
      <c r="D438" s="56"/>
      <c r="E438" s="56"/>
      <c r="F438" s="66"/>
      <c r="G438" s="66"/>
      <c r="H438" s="66"/>
      <c r="J438" s="122"/>
      <c r="K438" s="117"/>
      <c r="L438" s="118"/>
      <c r="M438" s="119"/>
      <c r="N438" s="55"/>
      <c r="O438" s="55"/>
      <c r="P438" s="173"/>
    </row>
    <row r="439" spans="2:16" x14ac:dyDescent="0.2">
      <c r="B439" s="56"/>
      <c r="C439" s="56"/>
      <c r="D439" s="56"/>
      <c r="E439" s="56"/>
      <c r="F439" s="66"/>
      <c r="G439" s="66"/>
      <c r="H439" s="66"/>
      <c r="J439" s="122"/>
      <c r="K439" s="117"/>
      <c r="L439" s="118"/>
      <c r="M439" s="119"/>
      <c r="N439" s="55"/>
      <c r="O439" s="55"/>
      <c r="P439" s="173"/>
    </row>
    <row r="440" spans="2:16" x14ac:dyDescent="0.2">
      <c r="B440" s="56"/>
      <c r="C440" s="56"/>
      <c r="D440" s="56"/>
      <c r="E440" s="56"/>
      <c r="F440" s="66"/>
      <c r="G440" s="66"/>
      <c r="H440" s="66"/>
      <c r="J440" s="122"/>
      <c r="K440" s="117"/>
      <c r="L440" s="118"/>
      <c r="M440" s="119"/>
      <c r="N440" s="55"/>
      <c r="O440" s="55"/>
      <c r="P440" s="173"/>
    </row>
    <row r="441" spans="2:16" x14ac:dyDescent="0.2">
      <c r="B441" s="56"/>
      <c r="C441" s="56"/>
      <c r="D441" s="56"/>
      <c r="E441" s="56"/>
      <c r="F441" s="66"/>
      <c r="G441" s="66"/>
      <c r="H441" s="66"/>
      <c r="J441" s="122"/>
      <c r="K441" s="117"/>
      <c r="L441" s="118"/>
      <c r="M441" s="119"/>
      <c r="N441" s="55"/>
      <c r="O441" s="55"/>
      <c r="P441" s="173"/>
    </row>
    <row r="442" spans="2:16" x14ac:dyDescent="0.2">
      <c r="B442" s="56"/>
      <c r="C442" s="56"/>
      <c r="D442" s="56"/>
      <c r="E442" s="56"/>
      <c r="F442" s="66"/>
      <c r="G442" s="66"/>
      <c r="H442" s="66"/>
      <c r="J442" s="122"/>
      <c r="K442" s="117"/>
      <c r="L442" s="118"/>
      <c r="M442" s="119"/>
      <c r="N442" s="55"/>
      <c r="O442" s="55"/>
      <c r="P442" s="173"/>
    </row>
    <row r="443" spans="2:16" x14ac:dyDescent="0.2">
      <c r="B443" s="56"/>
      <c r="C443" s="56"/>
      <c r="D443" s="56"/>
      <c r="E443" s="56"/>
      <c r="F443" s="66"/>
      <c r="G443" s="66"/>
      <c r="H443" s="66"/>
      <c r="J443" s="122"/>
      <c r="K443" s="117"/>
      <c r="L443" s="118"/>
      <c r="M443" s="119"/>
      <c r="N443" s="55"/>
      <c r="O443" s="55"/>
      <c r="P443" s="173"/>
    </row>
    <row r="444" spans="2:16" x14ac:dyDescent="0.2">
      <c r="B444" s="56"/>
      <c r="C444" s="56"/>
      <c r="D444" s="56"/>
      <c r="E444" s="56"/>
      <c r="F444" s="66"/>
      <c r="G444" s="66"/>
      <c r="H444" s="66"/>
      <c r="J444" s="122"/>
      <c r="K444" s="117"/>
      <c r="L444" s="118"/>
      <c r="M444" s="119"/>
      <c r="N444" s="55"/>
      <c r="O444" s="55"/>
      <c r="P444" s="173"/>
    </row>
    <row r="445" spans="2:16" x14ac:dyDescent="0.2">
      <c r="B445" s="56"/>
      <c r="C445" s="56"/>
      <c r="D445" s="56"/>
      <c r="E445" s="56"/>
      <c r="F445" s="66"/>
      <c r="G445" s="66"/>
      <c r="H445" s="66"/>
      <c r="J445" s="122"/>
      <c r="K445" s="117"/>
      <c r="L445" s="118"/>
      <c r="M445" s="119"/>
      <c r="N445" s="55"/>
      <c r="O445" s="55"/>
      <c r="P445" s="173"/>
    </row>
    <row r="446" spans="2:16" x14ac:dyDescent="0.2">
      <c r="B446" s="56"/>
      <c r="C446" s="56"/>
      <c r="D446" s="56"/>
      <c r="E446" s="56"/>
      <c r="F446" s="66"/>
      <c r="G446" s="66"/>
      <c r="H446" s="66"/>
      <c r="J446" s="122"/>
      <c r="K446" s="117"/>
      <c r="L446" s="118"/>
      <c r="M446" s="119"/>
      <c r="N446" s="55"/>
      <c r="O446" s="55"/>
      <c r="P446" s="173"/>
    </row>
    <row r="447" spans="2:16" x14ac:dyDescent="0.2">
      <c r="B447" s="56"/>
      <c r="C447" s="56"/>
      <c r="D447" s="56"/>
      <c r="E447" s="56"/>
      <c r="F447" s="66"/>
      <c r="G447" s="66"/>
      <c r="H447" s="66"/>
      <c r="J447" s="122"/>
      <c r="K447" s="117"/>
      <c r="L447" s="118"/>
      <c r="M447" s="119"/>
      <c r="N447" s="55"/>
      <c r="O447" s="55"/>
      <c r="P447" s="173"/>
    </row>
    <row r="448" spans="2:16" x14ac:dyDescent="0.2">
      <c r="B448" s="56"/>
      <c r="C448" s="56"/>
      <c r="D448" s="56"/>
      <c r="E448" s="56"/>
      <c r="F448" s="66"/>
      <c r="G448" s="66"/>
      <c r="H448" s="66"/>
      <c r="J448" s="122"/>
      <c r="K448" s="117"/>
      <c r="L448" s="118"/>
      <c r="M448" s="119"/>
      <c r="N448" s="55"/>
      <c r="O448" s="55"/>
      <c r="P448" s="173"/>
    </row>
    <row r="449" spans="2:16" x14ac:dyDescent="0.2">
      <c r="B449" s="56"/>
      <c r="C449" s="56"/>
      <c r="D449" s="56"/>
      <c r="E449" s="56"/>
      <c r="F449" s="66"/>
      <c r="G449" s="66"/>
      <c r="H449" s="66"/>
      <c r="J449" s="122"/>
      <c r="K449" s="117"/>
      <c r="L449" s="118"/>
      <c r="M449" s="119"/>
      <c r="N449" s="55"/>
      <c r="O449" s="55"/>
      <c r="P449" s="173"/>
    </row>
    <row r="450" spans="2:16" x14ac:dyDescent="0.2">
      <c r="B450" s="56"/>
      <c r="C450" s="56"/>
      <c r="D450" s="56"/>
      <c r="E450" s="56"/>
      <c r="F450" s="66"/>
      <c r="G450" s="66"/>
      <c r="H450" s="66"/>
      <c r="J450" s="122"/>
      <c r="K450" s="117"/>
      <c r="L450" s="118"/>
      <c r="M450" s="119"/>
      <c r="N450" s="55"/>
      <c r="O450" s="55"/>
      <c r="P450" s="173"/>
    </row>
    <row r="451" spans="2:16" x14ac:dyDescent="0.2">
      <c r="B451" s="56"/>
      <c r="C451" s="56"/>
      <c r="D451" s="56"/>
      <c r="E451" s="56"/>
      <c r="F451" s="66"/>
      <c r="G451" s="66"/>
      <c r="H451" s="66"/>
      <c r="J451" s="122"/>
      <c r="K451" s="117"/>
      <c r="L451" s="118"/>
      <c r="M451" s="119"/>
      <c r="N451" s="55"/>
      <c r="O451" s="55"/>
      <c r="P451" s="173"/>
    </row>
    <row r="452" spans="2:16" x14ac:dyDescent="0.2">
      <c r="B452" s="56"/>
      <c r="C452" s="56"/>
      <c r="D452" s="56"/>
      <c r="E452" s="56"/>
      <c r="F452" s="66"/>
      <c r="G452" s="66"/>
      <c r="H452" s="66"/>
      <c r="J452" s="122"/>
      <c r="K452" s="117"/>
      <c r="L452" s="118"/>
      <c r="M452" s="119"/>
      <c r="N452" s="55"/>
      <c r="O452" s="55"/>
      <c r="P452" s="173"/>
    </row>
    <row r="453" spans="2:16" x14ac:dyDescent="0.2">
      <c r="B453" s="56"/>
      <c r="C453" s="56"/>
      <c r="D453" s="56"/>
      <c r="E453" s="56"/>
      <c r="F453" s="66"/>
      <c r="G453" s="66"/>
      <c r="H453" s="66"/>
      <c r="J453" s="122"/>
      <c r="K453" s="117"/>
      <c r="L453" s="118"/>
      <c r="M453" s="119"/>
      <c r="N453" s="55"/>
      <c r="O453" s="55"/>
      <c r="P453" s="173"/>
    </row>
    <row r="454" spans="2:16" x14ac:dyDescent="0.2">
      <c r="B454" s="56"/>
      <c r="C454" s="56"/>
      <c r="D454" s="56"/>
      <c r="E454" s="56"/>
      <c r="F454" s="66"/>
      <c r="G454" s="66"/>
      <c r="H454" s="66"/>
      <c r="J454" s="122"/>
      <c r="K454" s="117"/>
      <c r="L454" s="118"/>
      <c r="M454" s="119"/>
      <c r="N454" s="55"/>
      <c r="O454" s="55"/>
      <c r="P454" s="173"/>
    </row>
    <row r="455" spans="2:16" x14ac:dyDescent="0.2">
      <c r="B455" s="56"/>
      <c r="C455" s="56"/>
      <c r="D455" s="56"/>
      <c r="E455" s="56"/>
      <c r="F455" s="66"/>
      <c r="G455" s="66"/>
      <c r="H455" s="66"/>
      <c r="J455" s="122"/>
      <c r="K455" s="117"/>
      <c r="L455" s="118"/>
      <c r="M455" s="119"/>
      <c r="N455" s="55"/>
      <c r="O455" s="55"/>
      <c r="P455" s="173"/>
    </row>
    <row r="456" spans="2:16" x14ac:dyDescent="0.2">
      <c r="B456" s="56"/>
      <c r="C456" s="56"/>
      <c r="D456" s="56"/>
      <c r="E456" s="56"/>
      <c r="F456" s="66"/>
      <c r="G456" s="66"/>
      <c r="H456" s="66"/>
      <c r="J456" s="122"/>
      <c r="K456" s="117"/>
      <c r="L456" s="118"/>
      <c r="M456" s="119"/>
      <c r="N456" s="55"/>
      <c r="O456" s="55"/>
      <c r="P456" s="173"/>
    </row>
    <row r="457" spans="2:16" x14ac:dyDescent="0.2">
      <c r="B457" s="56"/>
      <c r="C457" s="56"/>
      <c r="D457" s="56"/>
      <c r="E457" s="56"/>
      <c r="F457" s="66"/>
      <c r="G457" s="66"/>
      <c r="H457" s="66"/>
      <c r="J457" s="122"/>
      <c r="K457" s="117"/>
      <c r="L457" s="118"/>
      <c r="M457" s="119"/>
      <c r="N457" s="55"/>
      <c r="O457" s="55"/>
      <c r="P457" s="173"/>
    </row>
    <row r="458" spans="2:16" x14ac:dyDescent="0.2">
      <c r="B458" s="56"/>
      <c r="C458" s="56"/>
      <c r="D458" s="56"/>
      <c r="E458" s="56"/>
      <c r="F458" s="66"/>
      <c r="G458" s="66"/>
      <c r="H458" s="66"/>
      <c r="J458" s="122"/>
      <c r="K458" s="117"/>
      <c r="L458" s="118"/>
      <c r="M458" s="119"/>
      <c r="N458" s="55"/>
      <c r="O458" s="55"/>
      <c r="P458" s="173"/>
    </row>
    <row r="459" spans="2:16" x14ac:dyDescent="0.2">
      <c r="B459" s="56"/>
      <c r="C459" s="56"/>
      <c r="D459" s="56"/>
      <c r="E459" s="56"/>
      <c r="F459" s="66"/>
      <c r="G459" s="66"/>
      <c r="H459" s="66"/>
      <c r="J459" s="122"/>
      <c r="K459" s="117"/>
      <c r="L459" s="118"/>
      <c r="M459" s="119"/>
      <c r="N459" s="55"/>
      <c r="O459" s="55"/>
      <c r="P459" s="173"/>
    </row>
    <row r="460" spans="2:16" x14ac:dyDescent="0.2">
      <c r="B460" s="56"/>
      <c r="C460" s="56"/>
      <c r="D460" s="56"/>
      <c r="E460" s="56"/>
      <c r="F460" s="66"/>
      <c r="G460" s="66"/>
      <c r="H460" s="66"/>
      <c r="J460" s="122"/>
      <c r="K460" s="117"/>
      <c r="L460" s="118"/>
      <c r="M460" s="119"/>
      <c r="N460" s="55"/>
      <c r="O460" s="55"/>
      <c r="P460" s="173"/>
    </row>
    <row r="461" spans="2:16" x14ac:dyDescent="0.2">
      <c r="B461" s="56"/>
      <c r="C461" s="56"/>
      <c r="D461" s="56"/>
      <c r="E461" s="56"/>
      <c r="F461" s="66"/>
      <c r="G461" s="66"/>
      <c r="H461" s="66"/>
      <c r="J461" s="122"/>
      <c r="K461" s="117"/>
      <c r="L461" s="118"/>
      <c r="M461" s="119"/>
      <c r="N461" s="55"/>
      <c r="O461" s="55"/>
      <c r="P461" s="173"/>
    </row>
    <row r="462" spans="2:16" x14ac:dyDescent="0.2">
      <c r="B462" s="56"/>
      <c r="C462" s="56"/>
      <c r="D462" s="56"/>
      <c r="E462" s="56"/>
      <c r="F462" s="66"/>
      <c r="G462" s="66"/>
      <c r="H462" s="66"/>
      <c r="J462" s="122"/>
      <c r="K462" s="117"/>
      <c r="L462" s="118"/>
      <c r="M462" s="119"/>
      <c r="N462" s="55"/>
      <c r="O462" s="55"/>
      <c r="P462" s="173"/>
    </row>
    <row r="463" spans="2:16" x14ac:dyDescent="0.2">
      <c r="B463" s="56"/>
      <c r="C463" s="56"/>
      <c r="D463" s="56"/>
      <c r="E463" s="56"/>
      <c r="F463" s="66"/>
      <c r="G463" s="66"/>
      <c r="H463" s="66"/>
      <c r="J463" s="122"/>
      <c r="K463" s="117"/>
      <c r="L463" s="118"/>
      <c r="M463" s="119"/>
      <c r="N463" s="55"/>
      <c r="O463" s="55"/>
      <c r="P463" s="173"/>
    </row>
    <row r="464" spans="2:16" x14ac:dyDescent="0.2">
      <c r="B464" s="56"/>
      <c r="C464" s="56"/>
      <c r="D464" s="56"/>
      <c r="E464" s="56"/>
      <c r="F464" s="66"/>
      <c r="G464" s="66"/>
      <c r="H464" s="66"/>
      <c r="J464" s="122"/>
      <c r="K464" s="117"/>
      <c r="L464" s="118"/>
      <c r="M464" s="119"/>
      <c r="N464" s="55"/>
      <c r="O464" s="55"/>
      <c r="P464" s="173"/>
    </row>
    <row r="465" spans="2:16" x14ac:dyDescent="0.2">
      <c r="B465" s="56"/>
      <c r="C465" s="56"/>
      <c r="D465" s="56"/>
      <c r="E465" s="56"/>
      <c r="F465" s="66"/>
      <c r="G465" s="66"/>
      <c r="H465" s="66"/>
      <c r="J465" s="122"/>
      <c r="K465" s="117"/>
      <c r="L465" s="118"/>
      <c r="M465" s="119"/>
      <c r="N465" s="55"/>
      <c r="O465" s="55"/>
      <c r="P465" s="173"/>
    </row>
    <row r="466" spans="2:16" x14ac:dyDescent="0.2">
      <c r="B466" s="56"/>
      <c r="C466" s="56"/>
      <c r="D466" s="56"/>
      <c r="E466" s="56"/>
      <c r="F466" s="66"/>
      <c r="G466" s="66"/>
      <c r="H466" s="66"/>
      <c r="J466" s="122"/>
      <c r="K466" s="117"/>
      <c r="L466" s="118"/>
      <c r="M466" s="119"/>
      <c r="N466" s="55"/>
      <c r="O466" s="55"/>
      <c r="P466" s="173"/>
    </row>
    <row r="467" spans="2:16" x14ac:dyDescent="0.2">
      <c r="B467" s="56"/>
      <c r="C467" s="56"/>
      <c r="D467" s="56"/>
      <c r="E467" s="56"/>
      <c r="F467" s="66"/>
      <c r="G467" s="66"/>
      <c r="H467" s="66"/>
      <c r="J467" s="122"/>
      <c r="K467" s="117"/>
      <c r="L467" s="118"/>
      <c r="M467" s="119"/>
      <c r="N467" s="55"/>
      <c r="O467" s="55"/>
      <c r="P467" s="173"/>
    </row>
    <row r="468" spans="2:16" x14ac:dyDescent="0.2">
      <c r="B468" s="56"/>
      <c r="C468" s="56"/>
      <c r="D468" s="56"/>
      <c r="E468" s="56"/>
      <c r="F468" s="66"/>
      <c r="G468" s="66"/>
      <c r="H468" s="66"/>
      <c r="J468" s="122"/>
      <c r="K468" s="117"/>
      <c r="L468" s="118"/>
      <c r="M468" s="119"/>
      <c r="N468" s="55"/>
      <c r="O468" s="55"/>
      <c r="P468" s="173"/>
    </row>
    <row r="469" spans="2:16" x14ac:dyDescent="0.2">
      <c r="B469" s="56"/>
      <c r="C469" s="56"/>
      <c r="D469" s="56"/>
      <c r="E469" s="56"/>
      <c r="F469" s="66"/>
      <c r="G469" s="66"/>
      <c r="H469" s="66"/>
      <c r="J469" s="122"/>
      <c r="K469" s="117"/>
      <c r="L469" s="118"/>
      <c r="M469" s="119"/>
      <c r="N469" s="55"/>
      <c r="O469" s="55"/>
      <c r="P469" s="173"/>
    </row>
    <row r="470" spans="2:16" x14ac:dyDescent="0.2">
      <c r="B470" s="56"/>
      <c r="C470" s="56"/>
      <c r="D470" s="56"/>
      <c r="E470" s="56"/>
      <c r="F470" s="66"/>
      <c r="G470" s="66"/>
      <c r="H470" s="66"/>
      <c r="J470" s="122"/>
      <c r="K470" s="117"/>
      <c r="L470" s="118"/>
      <c r="M470" s="119"/>
      <c r="N470" s="55"/>
      <c r="O470" s="55"/>
      <c r="P470" s="173"/>
    </row>
    <row r="471" spans="2:16" x14ac:dyDescent="0.2">
      <c r="B471" s="56"/>
      <c r="C471" s="56"/>
      <c r="D471" s="56"/>
      <c r="E471" s="56"/>
      <c r="F471" s="66"/>
      <c r="G471" s="66"/>
      <c r="H471" s="66"/>
      <c r="J471" s="122"/>
      <c r="K471" s="117"/>
      <c r="L471" s="118"/>
      <c r="M471" s="119"/>
      <c r="N471" s="55"/>
      <c r="O471" s="55"/>
      <c r="P471" s="173"/>
    </row>
    <row r="472" spans="2:16" x14ac:dyDescent="0.2">
      <c r="B472" s="56"/>
      <c r="C472" s="56"/>
      <c r="D472" s="56"/>
      <c r="E472" s="56"/>
      <c r="F472" s="66"/>
      <c r="G472" s="66"/>
      <c r="H472" s="66"/>
      <c r="J472" s="122"/>
      <c r="K472" s="117"/>
      <c r="L472" s="118"/>
      <c r="M472" s="119"/>
      <c r="N472" s="55"/>
      <c r="O472" s="55"/>
      <c r="P472" s="173"/>
    </row>
    <row r="473" spans="2:16" x14ac:dyDescent="0.2">
      <c r="B473" s="56"/>
      <c r="C473" s="56"/>
      <c r="D473" s="56"/>
      <c r="E473" s="56"/>
      <c r="F473" s="66"/>
      <c r="G473" s="66"/>
      <c r="H473" s="66"/>
      <c r="J473" s="122"/>
      <c r="K473" s="117"/>
      <c r="L473" s="118"/>
      <c r="M473" s="119"/>
      <c r="N473" s="55"/>
      <c r="O473" s="55"/>
      <c r="P473" s="173"/>
    </row>
    <row r="474" spans="2:16" x14ac:dyDescent="0.2">
      <c r="B474" s="56"/>
      <c r="C474" s="56"/>
      <c r="D474" s="56"/>
      <c r="E474" s="56"/>
      <c r="F474" s="66"/>
      <c r="G474" s="66"/>
      <c r="H474" s="66"/>
      <c r="J474" s="122"/>
      <c r="K474" s="117"/>
      <c r="L474" s="118"/>
      <c r="M474" s="119"/>
      <c r="N474" s="55"/>
      <c r="O474" s="55"/>
      <c r="P474" s="173"/>
    </row>
    <row r="475" spans="2:16" x14ac:dyDescent="0.2">
      <c r="B475" s="56"/>
      <c r="C475" s="56"/>
      <c r="D475" s="56"/>
      <c r="E475" s="56"/>
      <c r="F475" s="66"/>
      <c r="G475" s="66"/>
      <c r="H475" s="66"/>
      <c r="J475" s="122"/>
      <c r="K475" s="117"/>
      <c r="L475" s="118"/>
      <c r="M475" s="119"/>
      <c r="N475" s="55"/>
      <c r="O475" s="55"/>
      <c r="P475" s="173"/>
    </row>
    <row r="476" spans="2:16" x14ac:dyDescent="0.2">
      <c r="B476" s="56"/>
      <c r="C476" s="56"/>
      <c r="D476" s="56"/>
      <c r="E476" s="56"/>
      <c r="F476" s="66"/>
      <c r="G476" s="66"/>
      <c r="H476" s="66"/>
      <c r="J476" s="122"/>
      <c r="K476" s="117"/>
      <c r="L476" s="118"/>
      <c r="M476" s="119"/>
      <c r="N476" s="55"/>
      <c r="O476" s="55"/>
      <c r="P476" s="173"/>
    </row>
    <row r="477" spans="2:16" x14ac:dyDescent="0.2">
      <c r="B477" s="56"/>
      <c r="C477" s="56"/>
      <c r="D477" s="56"/>
      <c r="E477" s="56"/>
      <c r="F477" s="66"/>
      <c r="G477" s="66"/>
      <c r="H477" s="66"/>
      <c r="J477" s="122"/>
      <c r="K477" s="117"/>
      <c r="L477" s="118"/>
      <c r="M477" s="119"/>
      <c r="N477" s="55"/>
      <c r="O477" s="55"/>
      <c r="P477" s="173"/>
    </row>
    <row r="478" spans="2:16" x14ac:dyDescent="0.2">
      <c r="B478" s="56"/>
      <c r="C478" s="56"/>
      <c r="D478" s="56"/>
      <c r="E478" s="56"/>
      <c r="F478" s="66"/>
      <c r="G478" s="66"/>
      <c r="H478" s="66"/>
      <c r="J478" s="122"/>
      <c r="K478" s="117"/>
      <c r="L478" s="118"/>
      <c r="M478" s="119"/>
      <c r="N478" s="55"/>
      <c r="O478" s="55"/>
      <c r="P478" s="173"/>
    </row>
    <row r="479" spans="2:16" x14ac:dyDescent="0.2">
      <c r="B479" s="56"/>
      <c r="C479" s="56"/>
      <c r="D479" s="56"/>
      <c r="E479" s="56"/>
      <c r="F479" s="66"/>
      <c r="G479" s="66"/>
      <c r="H479" s="66"/>
      <c r="J479" s="122"/>
      <c r="K479" s="117"/>
      <c r="L479" s="118"/>
      <c r="M479" s="119"/>
      <c r="N479" s="55"/>
      <c r="O479" s="55"/>
      <c r="P479" s="173"/>
    </row>
    <row r="480" spans="2:16" x14ac:dyDescent="0.2">
      <c r="B480" s="56"/>
      <c r="C480" s="56"/>
      <c r="D480" s="56"/>
      <c r="E480" s="56"/>
      <c r="F480" s="66"/>
      <c r="G480" s="66"/>
      <c r="H480" s="66"/>
      <c r="J480" s="122"/>
      <c r="K480" s="117"/>
      <c r="L480" s="118"/>
      <c r="M480" s="119"/>
      <c r="N480" s="55"/>
      <c r="O480" s="55"/>
      <c r="P480" s="173"/>
    </row>
    <row r="481" spans="2:16" x14ac:dyDescent="0.2">
      <c r="B481" s="56"/>
      <c r="C481" s="56"/>
      <c r="D481" s="56"/>
      <c r="E481" s="56"/>
      <c r="F481" s="66"/>
      <c r="G481" s="66"/>
      <c r="H481" s="66"/>
      <c r="J481" s="122"/>
      <c r="K481" s="117"/>
      <c r="L481" s="118"/>
      <c r="M481" s="119"/>
      <c r="N481" s="55"/>
      <c r="O481" s="55"/>
      <c r="P481" s="173"/>
    </row>
    <row r="482" spans="2:16" x14ac:dyDescent="0.2">
      <c r="B482" s="56"/>
      <c r="C482" s="56"/>
      <c r="D482" s="56"/>
      <c r="E482" s="56"/>
      <c r="F482" s="66"/>
      <c r="G482" s="66"/>
      <c r="H482" s="66"/>
      <c r="J482" s="122"/>
      <c r="K482" s="117"/>
      <c r="L482" s="118"/>
      <c r="M482" s="119"/>
      <c r="N482" s="55"/>
      <c r="O482" s="55"/>
      <c r="P482" s="173"/>
    </row>
    <row r="483" spans="2:16" x14ac:dyDescent="0.2">
      <c r="B483" s="56"/>
      <c r="C483" s="56"/>
      <c r="D483" s="56"/>
      <c r="E483" s="56"/>
      <c r="F483" s="66"/>
      <c r="G483" s="66"/>
      <c r="H483" s="66"/>
      <c r="J483" s="122"/>
      <c r="K483" s="117"/>
      <c r="L483" s="118"/>
      <c r="M483" s="119"/>
      <c r="N483" s="55"/>
      <c r="O483" s="55"/>
      <c r="P483" s="173"/>
    </row>
    <row r="484" spans="2:16" x14ac:dyDescent="0.2">
      <c r="B484" s="56"/>
      <c r="C484" s="56"/>
      <c r="D484" s="56"/>
      <c r="E484" s="56"/>
      <c r="F484" s="66"/>
      <c r="G484" s="66"/>
      <c r="H484" s="66"/>
      <c r="J484" s="122"/>
      <c r="K484" s="117"/>
      <c r="L484" s="118"/>
      <c r="M484" s="119"/>
      <c r="N484" s="55"/>
      <c r="O484" s="55"/>
      <c r="P484" s="173"/>
    </row>
    <row r="485" spans="2:16" x14ac:dyDescent="0.2">
      <c r="B485" s="56"/>
      <c r="C485" s="56"/>
      <c r="D485" s="56"/>
      <c r="E485" s="56"/>
      <c r="F485" s="66"/>
      <c r="G485" s="66"/>
      <c r="H485" s="66"/>
      <c r="J485" s="122"/>
      <c r="K485" s="117"/>
      <c r="L485" s="118"/>
      <c r="M485" s="119"/>
      <c r="N485" s="55"/>
      <c r="O485" s="55"/>
      <c r="P485" s="173"/>
    </row>
    <row r="486" spans="2:16" x14ac:dyDescent="0.2">
      <c r="B486" s="56"/>
      <c r="C486" s="56"/>
      <c r="D486" s="56"/>
      <c r="E486" s="56"/>
      <c r="F486" s="66"/>
      <c r="G486" s="66"/>
      <c r="H486" s="66"/>
      <c r="J486" s="122"/>
      <c r="K486" s="117"/>
      <c r="L486" s="118"/>
      <c r="M486" s="119"/>
      <c r="N486" s="55"/>
      <c r="O486" s="55"/>
      <c r="P486" s="173"/>
    </row>
    <row r="487" spans="2:16" x14ac:dyDescent="0.2">
      <c r="B487" s="56"/>
      <c r="C487" s="56"/>
      <c r="D487" s="56"/>
      <c r="E487" s="56"/>
      <c r="F487" s="66"/>
      <c r="G487" s="66"/>
      <c r="H487" s="66"/>
      <c r="J487" s="122"/>
      <c r="K487" s="117"/>
      <c r="L487" s="118"/>
      <c r="M487" s="119"/>
      <c r="N487" s="55"/>
      <c r="O487" s="55"/>
      <c r="P487" s="173"/>
    </row>
    <row r="488" spans="2:16" x14ac:dyDescent="0.2">
      <c r="B488" s="56"/>
      <c r="C488" s="56"/>
      <c r="D488" s="56"/>
      <c r="E488" s="56"/>
      <c r="F488" s="66"/>
      <c r="G488" s="66"/>
      <c r="H488" s="66"/>
      <c r="J488" s="122"/>
      <c r="K488" s="117"/>
      <c r="L488" s="118"/>
      <c r="M488" s="119"/>
      <c r="N488" s="55"/>
      <c r="O488" s="55"/>
      <c r="P488" s="173"/>
    </row>
    <row r="489" spans="2:16" x14ac:dyDescent="0.2">
      <c r="B489" s="56"/>
      <c r="C489" s="56"/>
      <c r="D489" s="56"/>
      <c r="E489" s="56"/>
      <c r="F489" s="66"/>
      <c r="G489" s="66"/>
      <c r="H489" s="66"/>
      <c r="J489" s="122"/>
      <c r="K489" s="117"/>
      <c r="L489" s="118"/>
      <c r="M489" s="119"/>
      <c r="N489" s="55"/>
      <c r="O489" s="55"/>
      <c r="P489" s="173"/>
    </row>
    <row r="490" spans="2:16" x14ac:dyDescent="0.2">
      <c r="B490" s="56"/>
      <c r="C490" s="56"/>
      <c r="D490" s="56"/>
      <c r="E490" s="56"/>
      <c r="F490" s="66"/>
      <c r="G490" s="66"/>
      <c r="H490" s="66"/>
      <c r="J490" s="122"/>
      <c r="K490" s="117"/>
      <c r="L490" s="118"/>
      <c r="M490" s="119"/>
      <c r="N490" s="55"/>
      <c r="O490" s="55"/>
      <c r="P490" s="173"/>
    </row>
    <row r="491" spans="2:16" x14ac:dyDescent="0.2">
      <c r="B491" s="56"/>
      <c r="C491" s="56"/>
      <c r="D491" s="56"/>
      <c r="E491" s="56"/>
      <c r="F491" s="66"/>
      <c r="G491" s="66"/>
      <c r="H491" s="66"/>
      <c r="J491" s="122"/>
      <c r="K491" s="117"/>
      <c r="L491" s="118"/>
      <c r="M491" s="119"/>
      <c r="N491" s="55"/>
      <c r="O491" s="55"/>
      <c r="P491" s="173"/>
    </row>
    <row r="492" spans="2:16" x14ac:dyDescent="0.2">
      <c r="B492" s="56"/>
      <c r="C492" s="56"/>
      <c r="D492" s="56"/>
      <c r="E492" s="56"/>
      <c r="F492" s="66"/>
      <c r="G492" s="66"/>
      <c r="H492" s="66"/>
      <c r="J492" s="122"/>
      <c r="K492" s="117"/>
      <c r="L492" s="118"/>
      <c r="M492" s="119"/>
      <c r="N492" s="55"/>
      <c r="O492" s="55"/>
      <c r="P492" s="173"/>
    </row>
    <row r="493" spans="2:16" x14ac:dyDescent="0.2">
      <c r="B493" s="56"/>
      <c r="C493" s="56"/>
      <c r="D493" s="56"/>
      <c r="E493" s="56"/>
      <c r="F493" s="66"/>
      <c r="G493" s="66"/>
      <c r="H493" s="66"/>
      <c r="J493" s="122"/>
      <c r="K493" s="117"/>
      <c r="L493" s="118"/>
      <c r="M493" s="119"/>
      <c r="N493" s="55"/>
      <c r="O493" s="55"/>
      <c r="P493" s="173"/>
    </row>
    <row r="494" spans="2:16" x14ac:dyDescent="0.2">
      <c r="B494" s="56"/>
      <c r="C494" s="56"/>
      <c r="D494" s="56"/>
      <c r="E494" s="56"/>
      <c r="F494" s="66"/>
      <c r="G494" s="66"/>
      <c r="H494" s="66"/>
      <c r="J494" s="122"/>
      <c r="K494" s="117"/>
      <c r="L494" s="118"/>
      <c r="M494" s="119"/>
      <c r="N494" s="55"/>
      <c r="O494" s="55"/>
      <c r="P494" s="173"/>
    </row>
    <row r="495" spans="2:16" x14ac:dyDescent="0.2">
      <c r="B495" s="56"/>
      <c r="C495" s="56"/>
      <c r="D495" s="56"/>
      <c r="E495" s="56"/>
      <c r="F495" s="66"/>
      <c r="G495" s="66"/>
      <c r="H495" s="66"/>
      <c r="J495" s="122"/>
      <c r="K495" s="117"/>
      <c r="L495" s="118"/>
      <c r="M495" s="119"/>
      <c r="N495" s="55"/>
      <c r="O495" s="55"/>
      <c r="P495" s="173"/>
    </row>
    <row r="496" spans="2:16" x14ac:dyDescent="0.2">
      <c r="B496" s="56"/>
      <c r="C496" s="56"/>
      <c r="D496" s="56"/>
      <c r="E496" s="56"/>
      <c r="F496" s="66"/>
      <c r="G496" s="66"/>
      <c r="H496" s="66"/>
      <c r="J496" s="122"/>
      <c r="K496" s="117"/>
      <c r="L496" s="118"/>
      <c r="M496" s="119"/>
      <c r="N496" s="55"/>
      <c r="O496" s="55"/>
      <c r="P496" s="173"/>
    </row>
    <row r="497" spans="2:16" x14ac:dyDescent="0.2">
      <c r="B497" s="56"/>
      <c r="C497" s="56"/>
      <c r="D497" s="56"/>
      <c r="E497" s="56"/>
      <c r="F497" s="66"/>
      <c r="G497" s="66"/>
      <c r="H497" s="66"/>
      <c r="J497" s="122"/>
      <c r="K497" s="117"/>
      <c r="L497" s="118"/>
      <c r="M497" s="119"/>
      <c r="N497" s="55"/>
      <c r="O497" s="55"/>
      <c r="P497" s="173"/>
    </row>
    <row r="498" spans="2:16" x14ac:dyDescent="0.2">
      <c r="B498" s="56"/>
      <c r="C498" s="56"/>
      <c r="D498" s="56"/>
      <c r="E498" s="56"/>
      <c r="F498" s="66"/>
      <c r="G498" s="66"/>
      <c r="H498" s="66"/>
      <c r="J498" s="122"/>
      <c r="K498" s="117"/>
      <c r="L498" s="118"/>
      <c r="M498" s="119"/>
      <c r="N498" s="55"/>
      <c r="O498" s="55"/>
      <c r="P498" s="173"/>
    </row>
    <row r="499" spans="2:16" x14ac:dyDescent="0.2">
      <c r="B499" s="56"/>
      <c r="C499" s="56"/>
      <c r="D499" s="56"/>
      <c r="E499" s="56"/>
      <c r="F499" s="66"/>
      <c r="G499" s="66"/>
      <c r="H499" s="66"/>
      <c r="J499" s="122"/>
      <c r="K499" s="117"/>
      <c r="L499" s="118"/>
      <c r="M499" s="119"/>
      <c r="N499" s="55"/>
      <c r="O499" s="55"/>
      <c r="P499" s="173"/>
    </row>
    <row r="500" spans="2:16" x14ac:dyDescent="0.2">
      <c r="B500" s="56"/>
      <c r="C500" s="56"/>
      <c r="D500" s="56"/>
      <c r="E500" s="56"/>
      <c r="F500" s="66"/>
      <c r="G500" s="66"/>
      <c r="H500" s="66"/>
      <c r="J500" s="122"/>
      <c r="K500" s="117"/>
      <c r="L500" s="118"/>
      <c r="M500" s="119"/>
      <c r="N500" s="55"/>
      <c r="O500" s="55"/>
      <c r="P500" s="173"/>
    </row>
    <row r="501" spans="2:16" x14ac:dyDescent="0.2">
      <c r="B501" s="56"/>
      <c r="C501" s="56"/>
      <c r="D501" s="56"/>
      <c r="E501" s="56"/>
      <c r="F501" s="66"/>
      <c r="G501" s="66"/>
      <c r="H501" s="66"/>
      <c r="J501" s="122"/>
      <c r="K501" s="117"/>
      <c r="L501" s="118"/>
      <c r="M501" s="119"/>
      <c r="N501" s="55"/>
      <c r="O501" s="55"/>
      <c r="P501" s="173"/>
    </row>
    <row r="502" spans="2:16" x14ac:dyDescent="0.2">
      <c r="B502" s="56"/>
      <c r="C502" s="56"/>
      <c r="D502" s="56"/>
      <c r="E502" s="56"/>
      <c r="F502" s="66"/>
      <c r="G502" s="66"/>
      <c r="H502" s="66"/>
      <c r="J502" s="122"/>
      <c r="K502" s="117"/>
      <c r="L502" s="118"/>
      <c r="M502" s="119"/>
      <c r="N502" s="55"/>
      <c r="O502" s="55"/>
      <c r="P502" s="173"/>
    </row>
    <row r="503" spans="2:16" x14ac:dyDescent="0.2">
      <c r="B503" s="56"/>
      <c r="C503" s="56"/>
      <c r="D503" s="56"/>
      <c r="E503" s="56"/>
      <c r="F503" s="66"/>
      <c r="G503" s="66"/>
      <c r="H503" s="66"/>
      <c r="J503" s="122"/>
      <c r="K503" s="117"/>
      <c r="L503" s="118"/>
      <c r="M503" s="119"/>
      <c r="N503" s="55"/>
      <c r="O503" s="55"/>
      <c r="P503" s="173"/>
    </row>
    <row r="504" spans="2:16" x14ac:dyDescent="0.2">
      <c r="B504" s="56"/>
      <c r="C504" s="56"/>
      <c r="D504" s="56"/>
      <c r="E504" s="56"/>
      <c r="F504" s="66"/>
      <c r="G504" s="66"/>
      <c r="H504" s="66"/>
      <c r="J504" s="122"/>
      <c r="K504" s="117"/>
      <c r="L504" s="118"/>
      <c r="M504" s="119"/>
      <c r="N504" s="55"/>
      <c r="O504" s="55"/>
      <c r="P504" s="173"/>
    </row>
    <row r="505" spans="2:16" x14ac:dyDescent="0.2">
      <c r="B505" s="56"/>
      <c r="C505" s="56"/>
      <c r="D505" s="56"/>
      <c r="E505" s="56"/>
      <c r="F505" s="66"/>
      <c r="G505" s="66"/>
      <c r="H505" s="66"/>
      <c r="J505" s="122"/>
      <c r="K505" s="117"/>
      <c r="L505" s="118"/>
      <c r="M505" s="119"/>
      <c r="N505" s="55"/>
      <c r="O505" s="55"/>
      <c r="P505" s="173"/>
    </row>
    <row r="506" spans="2:16" x14ac:dyDescent="0.2">
      <c r="B506" s="56"/>
      <c r="C506" s="56"/>
      <c r="D506" s="56"/>
      <c r="E506" s="56"/>
      <c r="F506" s="66"/>
      <c r="G506" s="66"/>
      <c r="H506" s="66"/>
      <c r="J506" s="122"/>
      <c r="K506" s="117"/>
      <c r="L506" s="118"/>
      <c r="M506" s="119"/>
      <c r="N506" s="55"/>
      <c r="O506" s="55"/>
      <c r="P506" s="173"/>
    </row>
    <row r="507" spans="2:16" x14ac:dyDescent="0.2">
      <c r="B507" s="56"/>
      <c r="C507" s="56"/>
      <c r="D507" s="56"/>
      <c r="E507" s="56"/>
      <c r="F507" s="66"/>
      <c r="G507" s="66"/>
      <c r="H507" s="66"/>
      <c r="J507" s="122"/>
      <c r="K507" s="117"/>
      <c r="L507" s="118"/>
      <c r="M507" s="119"/>
      <c r="N507" s="55"/>
      <c r="O507" s="55"/>
      <c r="P507" s="173"/>
    </row>
    <row r="508" spans="2:16" x14ac:dyDescent="0.2">
      <c r="B508" s="56"/>
      <c r="C508" s="56"/>
      <c r="D508" s="56"/>
      <c r="E508" s="56"/>
      <c r="F508" s="66"/>
      <c r="G508" s="66"/>
      <c r="H508" s="66"/>
      <c r="J508" s="122"/>
      <c r="K508" s="117"/>
      <c r="L508" s="118"/>
      <c r="M508" s="119"/>
      <c r="N508" s="55"/>
      <c r="O508" s="55"/>
      <c r="P508" s="173"/>
    </row>
    <row r="509" spans="2:16" x14ac:dyDescent="0.2">
      <c r="B509" s="56"/>
      <c r="C509" s="56"/>
      <c r="D509" s="56"/>
      <c r="E509" s="56"/>
      <c r="F509" s="66"/>
      <c r="G509" s="66"/>
      <c r="H509" s="66"/>
      <c r="J509" s="122"/>
      <c r="K509" s="117"/>
      <c r="L509" s="118"/>
      <c r="M509" s="119"/>
      <c r="N509" s="55"/>
      <c r="O509" s="55"/>
      <c r="P509" s="173"/>
    </row>
    <row r="510" spans="2:16" x14ac:dyDescent="0.2">
      <c r="B510" s="56"/>
      <c r="C510" s="56"/>
      <c r="D510" s="56"/>
      <c r="E510" s="56"/>
      <c r="F510" s="66"/>
      <c r="G510" s="66"/>
      <c r="H510" s="66"/>
      <c r="J510" s="122"/>
      <c r="K510" s="117"/>
      <c r="L510" s="118"/>
      <c r="M510" s="119"/>
      <c r="N510" s="55"/>
      <c r="O510" s="55"/>
      <c r="P510" s="173"/>
    </row>
    <row r="511" spans="2:16" x14ac:dyDescent="0.2">
      <c r="B511" s="56"/>
      <c r="C511" s="56"/>
      <c r="D511" s="56"/>
      <c r="E511" s="56"/>
      <c r="F511" s="66"/>
      <c r="G511" s="66"/>
      <c r="H511" s="66"/>
      <c r="J511" s="122"/>
      <c r="K511" s="117"/>
      <c r="L511" s="118"/>
      <c r="M511" s="119"/>
      <c r="N511" s="55"/>
      <c r="O511" s="55"/>
      <c r="P511" s="173"/>
    </row>
    <row r="512" spans="2:16" x14ac:dyDescent="0.2">
      <c r="B512" s="56"/>
      <c r="C512" s="56"/>
      <c r="D512" s="56"/>
      <c r="E512" s="56"/>
      <c r="F512" s="66"/>
      <c r="G512" s="66"/>
      <c r="H512" s="66"/>
      <c r="J512" s="122"/>
      <c r="K512" s="117"/>
      <c r="L512" s="118"/>
      <c r="M512" s="119"/>
      <c r="N512" s="55"/>
      <c r="O512" s="55"/>
      <c r="P512" s="173"/>
    </row>
    <row r="513" spans="2:16" x14ac:dyDescent="0.2">
      <c r="B513" s="56"/>
      <c r="C513" s="56"/>
      <c r="D513" s="56"/>
      <c r="E513" s="56"/>
      <c r="F513" s="66"/>
      <c r="G513" s="66"/>
      <c r="H513" s="66"/>
      <c r="J513" s="122"/>
      <c r="K513" s="117"/>
      <c r="L513" s="118"/>
      <c r="M513" s="119"/>
      <c r="N513" s="55"/>
      <c r="O513" s="55"/>
      <c r="P513" s="173"/>
    </row>
    <row r="514" spans="2:16" x14ac:dyDescent="0.2">
      <c r="B514" s="56"/>
      <c r="C514" s="56"/>
      <c r="D514" s="56"/>
      <c r="E514" s="56"/>
      <c r="F514" s="66"/>
      <c r="G514" s="66"/>
      <c r="H514" s="66"/>
      <c r="J514" s="122"/>
      <c r="K514" s="117"/>
      <c r="L514" s="118"/>
      <c r="M514" s="119"/>
      <c r="N514" s="55"/>
      <c r="O514" s="55"/>
      <c r="P514" s="173"/>
    </row>
    <row r="515" spans="2:16" x14ac:dyDescent="0.2">
      <c r="B515" s="56"/>
      <c r="C515" s="56"/>
      <c r="D515" s="56"/>
      <c r="E515" s="56"/>
      <c r="F515" s="66"/>
      <c r="G515" s="66"/>
      <c r="H515" s="66"/>
      <c r="J515" s="122"/>
      <c r="K515" s="117"/>
      <c r="L515" s="118"/>
      <c r="M515" s="119"/>
      <c r="N515" s="55"/>
      <c r="O515" s="55"/>
      <c r="P515" s="173"/>
    </row>
    <row r="516" spans="2:16" x14ac:dyDescent="0.2">
      <c r="B516" s="56"/>
      <c r="C516" s="56"/>
      <c r="D516" s="56"/>
      <c r="E516" s="56"/>
      <c r="F516" s="66"/>
      <c r="G516" s="66"/>
      <c r="H516" s="66"/>
      <c r="J516" s="122"/>
      <c r="K516" s="117"/>
      <c r="L516" s="118"/>
      <c r="M516" s="119"/>
      <c r="N516" s="55"/>
      <c r="O516" s="55"/>
      <c r="P516" s="173"/>
    </row>
    <row r="517" spans="2:16" x14ac:dyDescent="0.2">
      <c r="B517" s="56"/>
      <c r="C517" s="56"/>
      <c r="D517" s="56"/>
      <c r="E517" s="56"/>
      <c r="F517" s="66"/>
      <c r="G517" s="66"/>
      <c r="H517" s="66"/>
      <c r="J517" s="122"/>
      <c r="K517" s="117"/>
      <c r="L517" s="118"/>
      <c r="M517" s="119"/>
      <c r="N517" s="55"/>
      <c r="O517" s="55"/>
      <c r="P517" s="173"/>
    </row>
    <row r="518" spans="2:16" x14ac:dyDescent="0.2">
      <c r="B518" s="56"/>
      <c r="C518" s="56"/>
      <c r="D518" s="56"/>
      <c r="E518" s="56"/>
      <c r="F518" s="66"/>
      <c r="G518" s="66"/>
      <c r="H518" s="66"/>
      <c r="J518" s="122"/>
      <c r="K518" s="117"/>
      <c r="L518" s="118"/>
      <c r="M518" s="119"/>
      <c r="N518" s="55"/>
      <c r="O518" s="55"/>
      <c r="P518" s="173"/>
    </row>
    <row r="519" spans="2:16" x14ac:dyDescent="0.2">
      <c r="B519" s="56"/>
      <c r="C519" s="56"/>
      <c r="D519" s="56"/>
      <c r="E519" s="56"/>
      <c r="F519" s="66"/>
      <c r="G519" s="66"/>
      <c r="H519" s="66"/>
      <c r="J519" s="122"/>
      <c r="K519" s="117"/>
      <c r="L519" s="118"/>
      <c r="M519" s="119"/>
      <c r="N519" s="55"/>
      <c r="O519" s="55"/>
      <c r="P519" s="173"/>
    </row>
    <row r="520" spans="2:16" x14ac:dyDescent="0.2">
      <c r="B520" s="56"/>
      <c r="C520" s="56"/>
      <c r="D520" s="56"/>
      <c r="E520" s="56"/>
      <c r="F520" s="66"/>
      <c r="G520" s="66"/>
      <c r="H520" s="66"/>
      <c r="J520" s="122"/>
      <c r="K520" s="117"/>
      <c r="L520" s="118"/>
      <c r="M520" s="119"/>
      <c r="N520" s="55"/>
      <c r="O520" s="55"/>
      <c r="P520" s="173"/>
    </row>
    <row r="521" spans="2:16" x14ac:dyDescent="0.2">
      <c r="B521" s="56"/>
      <c r="C521" s="56"/>
      <c r="D521" s="56"/>
      <c r="E521" s="56"/>
      <c r="F521" s="66"/>
      <c r="G521" s="66"/>
      <c r="H521" s="66"/>
      <c r="J521" s="122"/>
      <c r="K521" s="117"/>
      <c r="L521" s="118"/>
      <c r="M521" s="119"/>
      <c r="N521" s="55"/>
      <c r="O521" s="55"/>
      <c r="P521" s="173"/>
    </row>
    <row r="522" spans="2:16" x14ac:dyDescent="0.2">
      <c r="B522" s="56"/>
      <c r="C522" s="56"/>
      <c r="D522" s="56"/>
      <c r="E522" s="56"/>
      <c r="F522" s="66"/>
      <c r="G522" s="66"/>
      <c r="H522" s="66"/>
      <c r="J522" s="122"/>
      <c r="K522" s="117"/>
      <c r="L522" s="118"/>
      <c r="M522" s="119"/>
      <c r="N522" s="55"/>
      <c r="O522" s="55"/>
      <c r="P522" s="173"/>
    </row>
    <row r="523" spans="2:16" x14ac:dyDescent="0.2">
      <c r="B523" s="56"/>
      <c r="C523" s="56"/>
      <c r="D523" s="56"/>
      <c r="E523" s="56"/>
      <c r="F523" s="66"/>
      <c r="G523" s="66"/>
      <c r="H523" s="66"/>
      <c r="J523" s="122"/>
      <c r="K523" s="117"/>
      <c r="L523" s="118"/>
      <c r="M523" s="119"/>
      <c r="N523" s="55"/>
      <c r="O523" s="55"/>
      <c r="P523" s="173"/>
    </row>
    <row r="524" spans="2:16" x14ac:dyDescent="0.2">
      <c r="B524" s="56"/>
      <c r="C524" s="56"/>
      <c r="D524" s="56"/>
      <c r="E524" s="56"/>
      <c r="F524" s="66"/>
      <c r="G524" s="66"/>
      <c r="H524" s="66"/>
      <c r="J524" s="122"/>
      <c r="K524" s="117"/>
      <c r="L524" s="118"/>
      <c r="M524" s="119"/>
      <c r="N524" s="55"/>
      <c r="O524" s="55"/>
      <c r="P524" s="173"/>
    </row>
    <row r="525" spans="2:16" x14ac:dyDescent="0.2">
      <c r="B525" s="56"/>
      <c r="C525" s="56"/>
      <c r="D525" s="56"/>
      <c r="E525" s="56"/>
      <c r="F525" s="66"/>
      <c r="G525" s="66"/>
      <c r="H525" s="66"/>
      <c r="J525" s="122"/>
      <c r="K525" s="117"/>
      <c r="L525" s="118"/>
      <c r="M525" s="119"/>
      <c r="N525" s="55"/>
      <c r="O525" s="55"/>
      <c r="P525" s="173"/>
    </row>
    <row r="526" spans="2:16" x14ac:dyDescent="0.2">
      <c r="B526" s="56"/>
      <c r="C526" s="56"/>
      <c r="D526" s="56"/>
      <c r="E526" s="56"/>
      <c r="F526" s="66"/>
      <c r="G526" s="66"/>
      <c r="H526" s="66"/>
      <c r="J526" s="122"/>
      <c r="K526" s="117"/>
      <c r="L526" s="118"/>
      <c r="M526" s="119"/>
      <c r="N526" s="55"/>
      <c r="O526" s="55"/>
      <c r="P526" s="173"/>
    </row>
    <row r="527" spans="2:16" x14ac:dyDescent="0.2">
      <c r="B527" s="56"/>
      <c r="C527" s="56"/>
      <c r="D527" s="56"/>
      <c r="E527" s="56"/>
      <c r="F527" s="66"/>
      <c r="G527" s="66"/>
      <c r="H527" s="66"/>
      <c r="J527" s="122"/>
      <c r="K527" s="117"/>
      <c r="L527" s="118"/>
      <c r="M527" s="119"/>
      <c r="N527" s="55"/>
      <c r="O527" s="55"/>
      <c r="P527" s="173"/>
    </row>
    <row r="528" spans="2:16" x14ac:dyDescent="0.2">
      <c r="B528" s="56"/>
      <c r="C528" s="56"/>
      <c r="D528" s="56"/>
      <c r="E528" s="56"/>
      <c r="F528" s="66"/>
      <c r="G528" s="66"/>
      <c r="H528" s="66"/>
      <c r="J528" s="122"/>
      <c r="K528" s="117"/>
      <c r="L528" s="118"/>
      <c r="M528" s="119"/>
      <c r="N528" s="55"/>
      <c r="O528" s="55"/>
      <c r="P528" s="173"/>
    </row>
    <row r="529" spans="2:16" x14ac:dyDescent="0.2">
      <c r="B529" s="56"/>
      <c r="C529" s="56"/>
      <c r="D529" s="56"/>
      <c r="E529" s="56"/>
      <c r="F529" s="66"/>
      <c r="G529" s="66"/>
      <c r="H529" s="66"/>
      <c r="J529" s="122"/>
      <c r="K529" s="117"/>
      <c r="L529" s="118"/>
      <c r="M529" s="119"/>
      <c r="N529" s="55"/>
      <c r="O529" s="55"/>
      <c r="P529" s="173"/>
    </row>
    <row r="530" spans="2:16" x14ac:dyDescent="0.2">
      <c r="B530" s="56"/>
      <c r="C530" s="56"/>
      <c r="D530" s="56"/>
      <c r="E530" s="56"/>
      <c r="F530" s="66"/>
      <c r="G530" s="66"/>
      <c r="H530" s="66"/>
      <c r="J530" s="122"/>
      <c r="K530" s="117"/>
      <c r="L530" s="118"/>
      <c r="M530" s="119"/>
      <c r="N530" s="55"/>
      <c r="O530" s="55"/>
      <c r="P530" s="173"/>
    </row>
    <row r="531" spans="2:16" x14ac:dyDescent="0.2">
      <c r="B531" s="56"/>
      <c r="C531" s="56"/>
      <c r="D531" s="56"/>
      <c r="E531" s="56"/>
      <c r="F531" s="66"/>
      <c r="G531" s="66"/>
      <c r="H531" s="66"/>
      <c r="J531" s="122"/>
      <c r="K531" s="117"/>
      <c r="L531" s="118"/>
      <c r="M531" s="119"/>
      <c r="N531" s="55"/>
      <c r="O531" s="55"/>
      <c r="P531" s="173"/>
    </row>
    <row r="532" spans="2:16" x14ac:dyDescent="0.2">
      <c r="B532" s="56"/>
      <c r="C532" s="56"/>
      <c r="D532" s="56"/>
      <c r="E532" s="56"/>
      <c r="F532" s="66"/>
      <c r="G532" s="66"/>
      <c r="H532" s="66"/>
      <c r="J532" s="122"/>
      <c r="K532" s="117"/>
      <c r="L532" s="118"/>
      <c r="M532" s="119"/>
      <c r="N532" s="55"/>
      <c r="O532" s="55"/>
      <c r="P532" s="173"/>
    </row>
    <row r="533" spans="2:16" x14ac:dyDescent="0.2">
      <c r="B533" s="56"/>
      <c r="C533" s="56"/>
      <c r="D533" s="56"/>
      <c r="E533" s="56"/>
      <c r="F533" s="66"/>
      <c r="G533" s="66"/>
      <c r="H533" s="66"/>
      <c r="J533" s="122"/>
      <c r="K533" s="117"/>
      <c r="L533" s="118"/>
      <c r="M533" s="119"/>
      <c r="N533" s="55"/>
      <c r="O533" s="55"/>
      <c r="P533" s="173"/>
    </row>
    <row r="534" spans="2:16" x14ac:dyDescent="0.2">
      <c r="B534" s="56"/>
      <c r="C534" s="56"/>
      <c r="D534" s="56"/>
      <c r="E534" s="56"/>
      <c r="F534" s="66"/>
      <c r="G534" s="66"/>
      <c r="H534" s="66"/>
      <c r="J534" s="122"/>
      <c r="K534" s="117"/>
      <c r="L534" s="118"/>
      <c r="M534" s="119"/>
      <c r="N534" s="55"/>
      <c r="O534" s="55"/>
      <c r="P534" s="173"/>
    </row>
    <row r="535" spans="2:16" x14ac:dyDescent="0.2">
      <c r="B535" s="56"/>
      <c r="C535" s="56"/>
      <c r="D535" s="56"/>
      <c r="E535" s="56"/>
      <c r="F535" s="66"/>
      <c r="G535" s="66"/>
      <c r="H535" s="66"/>
      <c r="J535" s="122"/>
      <c r="K535" s="117"/>
      <c r="L535" s="118"/>
      <c r="M535" s="119"/>
      <c r="N535" s="55"/>
      <c r="O535" s="55"/>
      <c r="P535" s="173"/>
    </row>
    <row r="536" spans="2:16" x14ac:dyDescent="0.2">
      <c r="B536" s="56"/>
      <c r="C536" s="56"/>
      <c r="D536" s="56"/>
      <c r="E536" s="56"/>
      <c r="F536" s="66"/>
      <c r="G536" s="66"/>
      <c r="H536" s="66"/>
      <c r="J536" s="122"/>
      <c r="K536" s="117"/>
      <c r="L536" s="118"/>
      <c r="M536" s="119"/>
      <c r="N536" s="55"/>
      <c r="O536" s="55"/>
      <c r="P536" s="173"/>
    </row>
    <row r="537" spans="2:16" x14ac:dyDescent="0.2">
      <c r="B537" s="56"/>
      <c r="C537" s="56"/>
      <c r="D537" s="56"/>
      <c r="E537" s="56"/>
      <c r="F537" s="66"/>
      <c r="G537" s="66"/>
      <c r="H537" s="66"/>
      <c r="J537" s="122"/>
      <c r="K537" s="117"/>
      <c r="L537" s="118"/>
      <c r="M537" s="119"/>
      <c r="N537" s="55"/>
      <c r="O537" s="55"/>
      <c r="P537" s="173"/>
    </row>
    <row r="538" spans="2:16" x14ac:dyDescent="0.2">
      <c r="B538" s="56"/>
      <c r="C538" s="56"/>
      <c r="D538" s="56"/>
      <c r="E538" s="56"/>
      <c r="F538" s="66"/>
      <c r="G538" s="66"/>
      <c r="H538" s="66"/>
      <c r="J538" s="122"/>
      <c r="K538" s="117"/>
      <c r="L538" s="118"/>
      <c r="M538" s="119"/>
      <c r="N538" s="55"/>
      <c r="O538" s="55"/>
      <c r="P538" s="173"/>
    </row>
    <row r="539" spans="2:16" x14ac:dyDescent="0.2">
      <c r="B539" s="56"/>
      <c r="C539" s="56"/>
      <c r="D539" s="56"/>
      <c r="E539" s="56"/>
      <c r="F539" s="66"/>
      <c r="G539" s="66"/>
      <c r="H539" s="66"/>
      <c r="J539" s="122"/>
      <c r="K539" s="117"/>
      <c r="L539" s="118"/>
      <c r="M539" s="119"/>
      <c r="N539" s="55"/>
      <c r="O539" s="55"/>
      <c r="P539" s="173"/>
    </row>
    <row r="540" spans="2:16" x14ac:dyDescent="0.2">
      <c r="B540" s="56"/>
      <c r="C540" s="56"/>
      <c r="D540" s="56"/>
      <c r="E540" s="56"/>
      <c r="F540" s="66"/>
      <c r="G540" s="66"/>
      <c r="H540" s="66"/>
      <c r="J540" s="122"/>
      <c r="K540" s="117"/>
      <c r="L540" s="118"/>
      <c r="M540" s="119"/>
      <c r="N540" s="55"/>
      <c r="O540" s="55"/>
      <c r="P540" s="173"/>
    </row>
    <row r="541" spans="2:16" x14ac:dyDescent="0.2">
      <c r="B541" s="56"/>
      <c r="C541" s="56"/>
      <c r="D541" s="56"/>
      <c r="E541" s="56"/>
      <c r="F541" s="66"/>
      <c r="G541" s="66"/>
      <c r="H541" s="66"/>
      <c r="J541" s="122"/>
      <c r="K541" s="117"/>
      <c r="L541" s="118"/>
      <c r="M541" s="119"/>
      <c r="N541" s="55"/>
      <c r="O541" s="55"/>
      <c r="P541" s="173"/>
    </row>
    <row r="542" spans="2:16" x14ac:dyDescent="0.2">
      <c r="B542" s="56"/>
      <c r="C542" s="56"/>
      <c r="D542" s="56"/>
      <c r="E542" s="56"/>
      <c r="F542" s="66"/>
      <c r="G542" s="66"/>
      <c r="H542" s="66"/>
      <c r="J542" s="122"/>
      <c r="K542" s="117"/>
      <c r="L542" s="118"/>
      <c r="M542" s="119"/>
      <c r="N542" s="55"/>
      <c r="O542" s="55"/>
      <c r="P542" s="173"/>
    </row>
    <row r="543" spans="2:16" x14ac:dyDescent="0.2">
      <c r="B543" s="56"/>
      <c r="C543" s="56"/>
      <c r="D543" s="56"/>
      <c r="E543" s="56"/>
      <c r="F543" s="66"/>
      <c r="G543" s="66"/>
      <c r="H543" s="66"/>
      <c r="J543" s="122"/>
      <c r="K543" s="117"/>
      <c r="L543" s="118"/>
      <c r="M543" s="119"/>
      <c r="N543" s="55"/>
      <c r="O543" s="55"/>
      <c r="P543" s="173"/>
    </row>
    <row r="544" spans="2:16" x14ac:dyDescent="0.2">
      <c r="B544" s="56"/>
      <c r="C544" s="56"/>
      <c r="D544" s="56"/>
      <c r="E544" s="56"/>
      <c r="F544" s="66"/>
      <c r="G544" s="66"/>
      <c r="H544" s="66"/>
      <c r="J544" s="122"/>
      <c r="K544" s="117"/>
      <c r="L544" s="118"/>
      <c r="M544" s="119"/>
      <c r="N544" s="55"/>
      <c r="O544" s="55"/>
      <c r="P544" s="173"/>
    </row>
    <row r="545" spans="2:16" x14ac:dyDescent="0.2">
      <c r="B545" s="56"/>
      <c r="C545" s="56"/>
      <c r="D545" s="56"/>
      <c r="E545" s="56"/>
      <c r="F545" s="66"/>
      <c r="G545" s="66"/>
      <c r="H545" s="66"/>
      <c r="J545" s="122"/>
      <c r="K545" s="117"/>
      <c r="L545" s="118"/>
      <c r="M545" s="119"/>
      <c r="N545" s="55"/>
      <c r="O545" s="55"/>
      <c r="P545" s="173"/>
    </row>
    <row r="546" spans="2:16" x14ac:dyDescent="0.2">
      <c r="B546" s="56"/>
      <c r="C546" s="56"/>
      <c r="D546" s="56"/>
      <c r="E546" s="56"/>
      <c r="F546" s="66"/>
      <c r="G546" s="66"/>
      <c r="H546" s="66"/>
      <c r="J546" s="122"/>
      <c r="K546" s="117"/>
      <c r="L546" s="118"/>
      <c r="M546" s="119"/>
      <c r="N546" s="55"/>
      <c r="O546" s="55"/>
      <c r="P546" s="173"/>
    </row>
    <row r="547" spans="2:16" x14ac:dyDescent="0.2">
      <c r="B547" s="56"/>
      <c r="C547" s="56"/>
      <c r="D547" s="56"/>
      <c r="E547" s="56"/>
      <c r="F547" s="66"/>
      <c r="G547" s="66"/>
      <c r="H547" s="66"/>
      <c r="J547" s="122"/>
      <c r="K547" s="117"/>
      <c r="L547" s="118"/>
      <c r="M547" s="119"/>
      <c r="N547" s="55"/>
      <c r="O547" s="55"/>
      <c r="P547" s="173"/>
    </row>
    <row r="548" spans="2:16" x14ac:dyDescent="0.2">
      <c r="B548" s="56"/>
      <c r="C548" s="56"/>
      <c r="D548" s="56"/>
      <c r="E548" s="56"/>
      <c r="F548" s="66"/>
      <c r="G548" s="66"/>
      <c r="H548" s="66"/>
      <c r="J548" s="122"/>
      <c r="K548" s="117"/>
      <c r="L548" s="118"/>
      <c r="M548" s="119"/>
      <c r="N548" s="55"/>
      <c r="O548" s="55"/>
      <c r="P548" s="173"/>
    </row>
    <row r="549" spans="2:16" x14ac:dyDescent="0.2">
      <c r="B549" s="56"/>
      <c r="C549" s="56"/>
      <c r="D549" s="56"/>
      <c r="E549" s="56"/>
      <c r="F549" s="66"/>
      <c r="G549" s="66"/>
      <c r="H549" s="66"/>
      <c r="J549" s="122"/>
      <c r="K549" s="117"/>
      <c r="L549" s="118"/>
      <c r="M549" s="119"/>
      <c r="N549" s="55"/>
      <c r="O549" s="55"/>
      <c r="P549" s="173"/>
    </row>
    <row r="550" spans="2:16" x14ac:dyDescent="0.2">
      <c r="B550" s="56"/>
      <c r="C550" s="56"/>
      <c r="D550" s="56"/>
      <c r="E550" s="56"/>
      <c r="F550" s="66"/>
      <c r="G550" s="66"/>
      <c r="H550" s="66"/>
      <c r="J550" s="122"/>
      <c r="K550" s="117"/>
      <c r="L550" s="118"/>
      <c r="M550" s="119"/>
      <c r="N550" s="55"/>
      <c r="O550" s="55"/>
      <c r="P550" s="173"/>
    </row>
    <row r="551" spans="2:16" x14ac:dyDescent="0.2">
      <c r="B551" s="56"/>
      <c r="C551" s="56"/>
      <c r="D551" s="56"/>
      <c r="E551" s="56"/>
      <c r="F551" s="66"/>
      <c r="G551" s="66"/>
      <c r="H551" s="66"/>
      <c r="J551" s="122"/>
      <c r="K551" s="117"/>
      <c r="L551" s="118"/>
      <c r="M551" s="119"/>
      <c r="N551" s="55"/>
      <c r="O551" s="55"/>
      <c r="P551" s="173"/>
    </row>
    <row r="552" spans="2:16" x14ac:dyDescent="0.2">
      <c r="B552" s="56"/>
      <c r="C552" s="56"/>
      <c r="D552" s="56"/>
      <c r="E552" s="56"/>
      <c r="F552" s="66"/>
      <c r="G552" s="66"/>
      <c r="H552" s="66"/>
      <c r="J552" s="122"/>
      <c r="K552" s="117"/>
      <c r="L552" s="118"/>
      <c r="M552" s="119"/>
      <c r="N552" s="55"/>
      <c r="O552" s="55"/>
      <c r="P552" s="173"/>
    </row>
    <row r="553" spans="2:16" x14ac:dyDescent="0.2">
      <c r="B553" s="56"/>
      <c r="C553" s="56"/>
      <c r="D553" s="56"/>
      <c r="E553" s="56"/>
      <c r="F553" s="66"/>
      <c r="G553" s="66"/>
      <c r="H553" s="66"/>
      <c r="J553" s="122"/>
      <c r="K553" s="117"/>
      <c r="L553" s="118"/>
      <c r="M553" s="119"/>
      <c r="N553" s="55"/>
      <c r="O553" s="55"/>
      <c r="P553" s="173"/>
    </row>
    <row r="554" spans="2:16" x14ac:dyDescent="0.2">
      <c r="B554" s="56"/>
      <c r="C554" s="56"/>
      <c r="D554" s="56"/>
      <c r="E554" s="56"/>
      <c r="F554" s="66"/>
      <c r="G554" s="66"/>
      <c r="H554" s="66"/>
      <c r="J554" s="122"/>
      <c r="K554" s="117"/>
      <c r="L554" s="118"/>
      <c r="M554" s="119"/>
      <c r="N554" s="55"/>
      <c r="O554" s="55"/>
      <c r="P554" s="173"/>
    </row>
    <row r="555" spans="2:16" x14ac:dyDescent="0.2">
      <c r="B555" s="56"/>
      <c r="C555" s="56"/>
      <c r="D555" s="56"/>
      <c r="E555" s="56"/>
      <c r="F555" s="66"/>
      <c r="G555" s="66"/>
      <c r="H555" s="66"/>
      <c r="J555" s="122"/>
      <c r="K555" s="117"/>
      <c r="L555" s="118"/>
      <c r="M555" s="119"/>
      <c r="N555" s="55"/>
      <c r="O555" s="55"/>
      <c r="P555" s="173"/>
    </row>
    <row r="556" spans="2:16" x14ac:dyDescent="0.2">
      <c r="B556" s="56"/>
      <c r="C556" s="56"/>
      <c r="D556" s="56"/>
      <c r="E556" s="56"/>
      <c r="F556" s="66"/>
      <c r="G556" s="66"/>
      <c r="H556" s="66"/>
      <c r="J556" s="122"/>
      <c r="K556" s="117"/>
      <c r="L556" s="118"/>
      <c r="M556" s="119"/>
      <c r="N556" s="55"/>
      <c r="O556" s="55"/>
      <c r="P556" s="173"/>
    </row>
    <row r="557" spans="2:16" x14ac:dyDescent="0.2">
      <c r="B557" s="56"/>
      <c r="C557" s="56"/>
      <c r="D557" s="56"/>
      <c r="E557" s="56"/>
      <c r="F557" s="66"/>
      <c r="G557" s="66"/>
      <c r="H557" s="66"/>
      <c r="J557" s="122"/>
      <c r="K557" s="117"/>
      <c r="L557" s="118"/>
      <c r="M557" s="119"/>
      <c r="N557" s="55"/>
      <c r="O557" s="55"/>
      <c r="P557" s="173"/>
    </row>
    <row r="558" spans="2:16" x14ac:dyDescent="0.2">
      <c r="B558" s="56"/>
      <c r="C558" s="56"/>
      <c r="D558" s="56"/>
      <c r="E558" s="56"/>
      <c r="F558" s="66"/>
      <c r="G558" s="66"/>
      <c r="H558" s="66"/>
      <c r="J558" s="122"/>
      <c r="K558" s="117"/>
      <c r="L558" s="118"/>
      <c r="M558" s="119"/>
      <c r="N558" s="55"/>
      <c r="O558" s="55"/>
      <c r="P558" s="173"/>
    </row>
    <row r="559" spans="2:16" x14ac:dyDescent="0.2">
      <c r="B559" s="56"/>
      <c r="C559" s="56"/>
      <c r="D559" s="56"/>
      <c r="E559" s="56"/>
      <c r="F559" s="66"/>
      <c r="G559" s="66"/>
      <c r="H559" s="66"/>
      <c r="J559" s="122"/>
      <c r="K559" s="117"/>
      <c r="L559" s="118"/>
      <c r="M559" s="119"/>
      <c r="N559" s="55"/>
      <c r="O559" s="55"/>
      <c r="P559" s="173"/>
    </row>
    <row r="560" spans="2:16" x14ac:dyDescent="0.2">
      <c r="B560" s="56"/>
      <c r="C560" s="56"/>
      <c r="D560" s="56"/>
      <c r="E560" s="56"/>
      <c r="F560" s="66"/>
      <c r="G560" s="66"/>
      <c r="H560" s="66"/>
      <c r="J560" s="122"/>
      <c r="K560" s="117"/>
      <c r="L560" s="118"/>
      <c r="M560" s="119"/>
      <c r="N560" s="55"/>
      <c r="O560" s="55"/>
      <c r="P560" s="173"/>
    </row>
    <row r="561" spans="2:16" x14ac:dyDescent="0.2">
      <c r="B561" s="56"/>
      <c r="C561" s="56"/>
      <c r="D561" s="56"/>
      <c r="E561" s="56"/>
      <c r="F561" s="66"/>
      <c r="G561" s="66"/>
      <c r="H561" s="66"/>
      <c r="J561" s="122"/>
      <c r="K561" s="117"/>
      <c r="L561" s="118"/>
      <c r="M561" s="119"/>
      <c r="N561" s="55"/>
      <c r="O561" s="55"/>
      <c r="P561" s="173"/>
    </row>
    <row r="562" spans="2:16" x14ac:dyDescent="0.2">
      <c r="B562" s="56"/>
      <c r="C562" s="56"/>
      <c r="D562" s="56"/>
      <c r="E562" s="56"/>
      <c r="F562" s="66"/>
      <c r="G562" s="66"/>
      <c r="H562" s="66"/>
      <c r="J562" s="122"/>
      <c r="K562" s="117"/>
      <c r="L562" s="118"/>
      <c r="M562" s="119"/>
      <c r="N562" s="55"/>
      <c r="O562" s="55"/>
      <c r="P562" s="173"/>
    </row>
    <row r="563" spans="2:16" x14ac:dyDescent="0.2">
      <c r="B563" s="56"/>
      <c r="C563" s="56"/>
      <c r="D563" s="56"/>
      <c r="E563" s="56"/>
      <c r="F563" s="66"/>
      <c r="G563" s="66"/>
      <c r="H563" s="66"/>
      <c r="J563" s="122"/>
      <c r="K563" s="117"/>
      <c r="L563" s="118"/>
      <c r="M563" s="119"/>
      <c r="N563" s="55"/>
      <c r="O563" s="55"/>
      <c r="P563" s="173"/>
    </row>
    <row r="564" spans="2:16" x14ac:dyDescent="0.2">
      <c r="B564" s="56"/>
      <c r="C564" s="56"/>
      <c r="D564" s="56"/>
      <c r="E564" s="56"/>
      <c r="F564" s="66"/>
      <c r="G564" s="66"/>
      <c r="H564" s="66"/>
      <c r="J564" s="122"/>
      <c r="K564" s="117"/>
      <c r="L564" s="118"/>
      <c r="M564" s="119"/>
      <c r="N564" s="55"/>
      <c r="O564" s="55"/>
      <c r="P564" s="173"/>
    </row>
    <row r="565" spans="2:16" x14ac:dyDescent="0.2">
      <c r="B565" s="56"/>
      <c r="C565" s="56"/>
      <c r="D565" s="56"/>
      <c r="E565" s="56"/>
      <c r="F565" s="66"/>
      <c r="G565" s="66"/>
      <c r="H565" s="66"/>
      <c r="J565" s="122"/>
      <c r="K565" s="117"/>
      <c r="L565" s="118"/>
      <c r="M565" s="119"/>
      <c r="N565" s="55"/>
      <c r="O565" s="55"/>
      <c r="P565" s="173"/>
    </row>
    <row r="566" spans="2:16" x14ac:dyDescent="0.2">
      <c r="B566" s="56"/>
      <c r="C566" s="56"/>
      <c r="D566" s="56"/>
      <c r="E566" s="56"/>
      <c r="F566" s="66"/>
      <c r="G566" s="66"/>
      <c r="H566" s="66"/>
      <c r="J566" s="122"/>
      <c r="K566" s="117"/>
      <c r="L566" s="118"/>
      <c r="M566" s="119"/>
      <c r="N566" s="55"/>
      <c r="O566" s="55"/>
      <c r="P566" s="173"/>
    </row>
    <row r="567" spans="2:16" x14ac:dyDescent="0.2">
      <c r="B567" s="56"/>
      <c r="C567" s="56"/>
      <c r="D567" s="56"/>
      <c r="E567" s="56"/>
      <c r="F567" s="66"/>
      <c r="G567" s="66"/>
      <c r="H567" s="66"/>
      <c r="J567" s="122"/>
      <c r="K567" s="117"/>
      <c r="L567" s="118"/>
      <c r="M567" s="119"/>
      <c r="N567" s="55"/>
      <c r="O567" s="55"/>
      <c r="P567" s="173"/>
    </row>
    <row r="568" spans="2:16" x14ac:dyDescent="0.2">
      <c r="B568" s="56"/>
      <c r="C568" s="56"/>
      <c r="D568" s="56"/>
      <c r="E568" s="56"/>
      <c r="F568" s="66"/>
      <c r="G568" s="66"/>
      <c r="H568" s="66"/>
      <c r="J568" s="122"/>
      <c r="K568" s="117"/>
      <c r="L568" s="118"/>
      <c r="M568" s="119"/>
      <c r="N568" s="55"/>
      <c r="O568" s="55"/>
      <c r="P568" s="173"/>
    </row>
    <row r="569" spans="2:16" x14ac:dyDescent="0.2">
      <c r="B569" s="56"/>
      <c r="C569" s="56"/>
      <c r="D569" s="56"/>
      <c r="E569" s="56"/>
      <c r="F569" s="66"/>
      <c r="G569" s="66"/>
      <c r="H569" s="66"/>
      <c r="J569" s="122"/>
      <c r="K569" s="117"/>
      <c r="L569" s="118"/>
      <c r="M569" s="119"/>
      <c r="N569" s="55"/>
      <c r="O569" s="55"/>
      <c r="P569" s="173"/>
    </row>
    <row r="570" spans="2:16" x14ac:dyDescent="0.2">
      <c r="B570" s="56"/>
      <c r="C570" s="56"/>
      <c r="D570" s="56"/>
      <c r="E570" s="56"/>
      <c r="F570" s="66"/>
      <c r="G570" s="66"/>
      <c r="H570" s="66"/>
      <c r="J570" s="122"/>
      <c r="K570" s="117"/>
      <c r="L570" s="118"/>
      <c r="M570" s="119"/>
      <c r="N570" s="55"/>
      <c r="O570" s="55"/>
      <c r="P570" s="173"/>
    </row>
    <row r="571" spans="2:16" x14ac:dyDescent="0.2">
      <c r="B571" s="56"/>
      <c r="C571" s="56"/>
      <c r="D571" s="56"/>
      <c r="E571" s="56"/>
      <c r="F571" s="66"/>
      <c r="G571" s="66"/>
      <c r="H571" s="66"/>
      <c r="J571" s="122"/>
      <c r="K571" s="117"/>
      <c r="L571" s="118"/>
      <c r="M571" s="119"/>
      <c r="N571" s="55"/>
      <c r="O571" s="55"/>
      <c r="P571" s="173"/>
    </row>
    <row r="572" spans="2:16" x14ac:dyDescent="0.2">
      <c r="B572" s="56"/>
      <c r="C572" s="56"/>
      <c r="D572" s="56"/>
      <c r="E572" s="56"/>
      <c r="F572" s="66"/>
      <c r="G572" s="66"/>
      <c r="H572" s="66"/>
      <c r="J572" s="122"/>
      <c r="K572" s="117"/>
      <c r="L572" s="118"/>
      <c r="M572" s="119"/>
      <c r="N572" s="55"/>
      <c r="O572" s="55"/>
      <c r="P572" s="173"/>
    </row>
    <row r="573" spans="2:16" x14ac:dyDescent="0.2">
      <c r="B573" s="56"/>
      <c r="C573" s="56"/>
      <c r="D573" s="56"/>
      <c r="E573" s="56"/>
      <c r="F573" s="66"/>
      <c r="G573" s="66"/>
      <c r="H573" s="66"/>
      <c r="J573" s="122"/>
      <c r="K573" s="117"/>
      <c r="L573" s="118"/>
      <c r="M573" s="119"/>
      <c r="N573" s="55"/>
      <c r="O573" s="55"/>
      <c r="P573" s="173"/>
    </row>
    <row r="574" spans="2:16" x14ac:dyDescent="0.2">
      <c r="B574" s="56"/>
      <c r="C574" s="56"/>
      <c r="D574" s="56"/>
      <c r="E574" s="56"/>
      <c r="F574" s="66"/>
      <c r="G574" s="66"/>
      <c r="H574" s="66"/>
      <c r="J574" s="122"/>
      <c r="K574" s="117"/>
      <c r="L574" s="118"/>
      <c r="M574" s="119"/>
      <c r="N574" s="55"/>
      <c r="O574" s="55"/>
      <c r="P574" s="173"/>
    </row>
    <row r="575" spans="2:16" x14ac:dyDescent="0.2">
      <c r="B575" s="56"/>
      <c r="C575" s="56"/>
      <c r="D575" s="56"/>
      <c r="E575" s="56"/>
      <c r="F575" s="66"/>
      <c r="G575" s="66"/>
      <c r="H575" s="66"/>
      <c r="J575" s="122"/>
      <c r="K575" s="117"/>
      <c r="L575" s="118"/>
      <c r="M575" s="119"/>
      <c r="N575" s="55"/>
      <c r="O575" s="55"/>
      <c r="P575" s="173"/>
    </row>
    <row r="576" spans="2:16" x14ac:dyDescent="0.2">
      <c r="B576" s="56"/>
      <c r="C576" s="56"/>
      <c r="D576" s="56"/>
      <c r="E576" s="56"/>
      <c r="F576" s="66"/>
      <c r="G576" s="66"/>
      <c r="H576" s="66"/>
      <c r="J576" s="122"/>
      <c r="K576" s="117"/>
      <c r="L576" s="118"/>
      <c r="M576" s="119"/>
      <c r="N576" s="55"/>
      <c r="O576" s="55"/>
      <c r="P576" s="173"/>
    </row>
    <row r="577" spans="2:16" x14ac:dyDescent="0.2">
      <c r="B577" s="56"/>
      <c r="C577" s="56"/>
      <c r="D577" s="56"/>
      <c r="E577" s="56"/>
      <c r="F577" s="66"/>
      <c r="G577" s="66"/>
      <c r="H577" s="66"/>
      <c r="J577" s="122"/>
      <c r="K577" s="117"/>
      <c r="L577" s="118"/>
      <c r="M577" s="119"/>
      <c r="N577" s="55"/>
      <c r="O577" s="55"/>
      <c r="P577" s="173"/>
    </row>
    <row r="578" spans="2:16" x14ac:dyDescent="0.2">
      <c r="B578" s="56"/>
      <c r="C578" s="56"/>
      <c r="D578" s="56"/>
      <c r="E578" s="56"/>
      <c r="F578" s="66"/>
      <c r="G578" s="66"/>
      <c r="H578" s="66"/>
      <c r="J578" s="122"/>
      <c r="K578" s="117"/>
      <c r="L578" s="118"/>
      <c r="M578" s="119"/>
      <c r="N578" s="55"/>
      <c r="O578" s="55"/>
      <c r="P578" s="173"/>
    </row>
    <row r="579" spans="2:16" x14ac:dyDescent="0.2">
      <c r="B579" s="56"/>
      <c r="C579" s="56"/>
      <c r="D579" s="56"/>
      <c r="E579" s="56"/>
      <c r="F579" s="66"/>
      <c r="G579" s="66"/>
      <c r="H579" s="66"/>
      <c r="J579" s="122"/>
      <c r="K579" s="117"/>
      <c r="L579" s="118"/>
      <c r="M579" s="119"/>
      <c r="N579" s="55"/>
      <c r="O579" s="55"/>
      <c r="P579" s="173"/>
    </row>
    <row r="580" spans="2:16" x14ac:dyDescent="0.2">
      <c r="B580" s="56"/>
      <c r="C580" s="56"/>
      <c r="D580" s="56"/>
      <c r="E580" s="56"/>
      <c r="F580" s="66"/>
      <c r="G580" s="66"/>
      <c r="H580" s="66"/>
      <c r="J580" s="122"/>
      <c r="K580" s="117"/>
      <c r="L580" s="118"/>
      <c r="M580" s="119"/>
      <c r="N580" s="55"/>
      <c r="O580" s="55"/>
      <c r="P580" s="173"/>
    </row>
    <row r="581" spans="2:16" x14ac:dyDescent="0.2">
      <c r="B581" s="56"/>
      <c r="C581" s="56"/>
      <c r="D581" s="56"/>
      <c r="E581" s="56"/>
      <c r="F581" s="66"/>
      <c r="G581" s="66"/>
      <c r="H581" s="66"/>
      <c r="J581" s="122"/>
      <c r="K581" s="117"/>
      <c r="L581" s="118"/>
      <c r="M581" s="119"/>
      <c r="N581" s="55"/>
      <c r="O581" s="55"/>
      <c r="P581" s="173"/>
    </row>
    <row r="582" spans="2:16" x14ac:dyDescent="0.2">
      <c r="B582" s="56"/>
      <c r="C582" s="56"/>
      <c r="D582" s="56"/>
      <c r="E582" s="56"/>
      <c r="F582" s="66"/>
      <c r="G582" s="66"/>
      <c r="H582" s="66"/>
      <c r="J582" s="122"/>
      <c r="K582" s="117"/>
      <c r="L582" s="118"/>
      <c r="M582" s="119"/>
      <c r="N582" s="55"/>
      <c r="O582" s="55"/>
      <c r="P582" s="173"/>
    </row>
    <row r="583" spans="2:16" x14ac:dyDescent="0.2">
      <c r="B583" s="56"/>
      <c r="C583" s="56"/>
      <c r="D583" s="56"/>
      <c r="E583" s="56"/>
      <c r="F583" s="66"/>
      <c r="G583" s="66"/>
      <c r="H583" s="66"/>
      <c r="J583" s="122"/>
      <c r="K583" s="117"/>
      <c r="L583" s="118"/>
      <c r="M583" s="119"/>
      <c r="N583" s="55"/>
      <c r="O583" s="55"/>
      <c r="P583" s="173"/>
    </row>
    <row r="584" spans="2:16" x14ac:dyDescent="0.2">
      <c r="B584" s="56"/>
      <c r="C584" s="56"/>
      <c r="D584" s="56"/>
      <c r="E584" s="56"/>
      <c r="F584" s="66"/>
      <c r="G584" s="66"/>
      <c r="H584" s="66"/>
      <c r="J584" s="122"/>
      <c r="K584" s="117"/>
      <c r="L584" s="118"/>
      <c r="M584" s="119"/>
      <c r="N584" s="55"/>
      <c r="O584" s="55"/>
      <c r="P584" s="173"/>
    </row>
    <row r="585" spans="2:16" x14ac:dyDescent="0.2">
      <c r="B585" s="56"/>
      <c r="C585" s="56"/>
      <c r="D585" s="56"/>
      <c r="E585" s="56"/>
      <c r="F585" s="66"/>
      <c r="G585" s="66"/>
      <c r="H585" s="66"/>
      <c r="J585" s="122"/>
      <c r="K585" s="117"/>
      <c r="L585" s="118"/>
      <c r="M585" s="119"/>
      <c r="N585" s="55"/>
      <c r="O585" s="55"/>
      <c r="P585" s="173"/>
    </row>
    <row r="586" spans="2:16" x14ac:dyDescent="0.2">
      <c r="B586" s="56"/>
      <c r="C586" s="56"/>
      <c r="D586" s="56"/>
      <c r="E586" s="56"/>
      <c r="F586" s="66"/>
      <c r="G586" s="66"/>
      <c r="H586" s="66"/>
      <c r="J586" s="122"/>
      <c r="K586" s="117"/>
      <c r="L586" s="118"/>
      <c r="M586" s="119"/>
      <c r="N586" s="55"/>
      <c r="O586" s="55"/>
      <c r="P586" s="173"/>
    </row>
    <row r="587" spans="2:16" x14ac:dyDescent="0.2">
      <c r="B587" s="56"/>
      <c r="C587" s="56"/>
      <c r="D587" s="56"/>
      <c r="E587" s="56"/>
      <c r="F587" s="66"/>
      <c r="G587" s="66"/>
      <c r="H587" s="66"/>
      <c r="J587" s="122"/>
      <c r="K587" s="117"/>
      <c r="L587" s="118"/>
      <c r="M587" s="119"/>
      <c r="N587" s="55"/>
      <c r="O587" s="55"/>
      <c r="P587" s="173"/>
    </row>
    <row r="588" spans="2:16" x14ac:dyDescent="0.2">
      <c r="B588" s="56"/>
      <c r="C588" s="56"/>
      <c r="D588" s="56"/>
      <c r="E588" s="56"/>
      <c r="F588" s="66"/>
      <c r="G588" s="66"/>
      <c r="H588" s="66"/>
      <c r="J588" s="122"/>
      <c r="K588" s="117"/>
      <c r="L588" s="118"/>
      <c r="M588" s="119"/>
      <c r="N588" s="55"/>
      <c r="O588" s="55"/>
      <c r="P588" s="173"/>
    </row>
    <row r="589" spans="2:16" x14ac:dyDescent="0.2">
      <c r="B589" s="56"/>
      <c r="C589" s="56"/>
      <c r="D589" s="56"/>
      <c r="E589" s="56"/>
      <c r="F589" s="66"/>
      <c r="G589" s="66"/>
      <c r="H589" s="66"/>
      <c r="J589" s="122"/>
      <c r="K589" s="117"/>
      <c r="L589" s="118"/>
      <c r="M589" s="119"/>
      <c r="N589" s="55"/>
      <c r="O589" s="55"/>
      <c r="P589" s="173"/>
    </row>
    <row r="590" spans="2:16" x14ac:dyDescent="0.2">
      <c r="B590" s="56"/>
      <c r="C590" s="56"/>
      <c r="D590" s="56"/>
      <c r="E590" s="56"/>
      <c r="F590" s="66"/>
      <c r="G590" s="66"/>
      <c r="H590" s="66"/>
      <c r="J590" s="122"/>
      <c r="K590" s="117"/>
      <c r="L590" s="118"/>
      <c r="M590" s="119"/>
      <c r="N590" s="55"/>
      <c r="O590" s="55"/>
      <c r="P590" s="173"/>
    </row>
    <row r="591" spans="2:16" x14ac:dyDescent="0.2">
      <c r="B591" s="56"/>
      <c r="C591" s="56"/>
      <c r="D591" s="56"/>
      <c r="E591" s="56"/>
      <c r="F591" s="66"/>
      <c r="G591" s="66"/>
      <c r="H591" s="66"/>
      <c r="J591" s="122"/>
      <c r="K591" s="117"/>
      <c r="L591" s="118"/>
      <c r="M591" s="119"/>
      <c r="N591" s="55"/>
      <c r="O591" s="55"/>
      <c r="P591" s="173"/>
    </row>
    <row r="592" spans="2:16" x14ac:dyDescent="0.2">
      <c r="B592" s="56"/>
      <c r="C592" s="56"/>
      <c r="D592" s="56"/>
      <c r="E592" s="56"/>
      <c r="F592" s="66"/>
      <c r="G592" s="66"/>
      <c r="H592" s="66"/>
      <c r="J592" s="122"/>
      <c r="K592" s="117"/>
      <c r="L592" s="118"/>
      <c r="M592" s="119"/>
      <c r="N592" s="55"/>
      <c r="O592" s="55"/>
      <c r="P592" s="173"/>
    </row>
    <row r="593" spans="2:16" x14ac:dyDescent="0.2">
      <c r="B593" s="56"/>
      <c r="C593" s="56"/>
      <c r="D593" s="56"/>
      <c r="E593" s="56"/>
      <c r="F593" s="66"/>
      <c r="G593" s="66"/>
      <c r="H593" s="66"/>
      <c r="J593" s="122"/>
      <c r="K593" s="117"/>
      <c r="L593" s="118"/>
      <c r="M593" s="119"/>
      <c r="N593" s="55"/>
      <c r="O593" s="55"/>
      <c r="P593" s="173"/>
    </row>
    <row r="594" spans="2:16" x14ac:dyDescent="0.2">
      <c r="B594" s="56"/>
      <c r="C594" s="56"/>
      <c r="D594" s="56"/>
      <c r="E594" s="56"/>
      <c r="F594" s="66"/>
      <c r="G594" s="66"/>
      <c r="H594" s="66"/>
      <c r="J594" s="122"/>
      <c r="K594" s="117"/>
      <c r="L594" s="118"/>
      <c r="M594" s="119"/>
      <c r="N594" s="55"/>
      <c r="O594" s="55"/>
      <c r="P594" s="173"/>
    </row>
    <row r="595" spans="2:16" x14ac:dyDescent="0.2">
      <c r="B595" s="56"/>
      <c r="C595" s="56"/>
      <c r="D595" s="56"/>
      <c r="E595" s="56"/>
      <c r="F595" s="66"/>
      <c r="G595" s="66"/>
      <c r="H595" s="66"/>
      <c r="J595" s="122"/>
      <c r="K595" s="117"/>
      <c r="L595" s="118"/>
      <c r="M595" s="119"/>
      <c r="N595" s="55"/>
      <c r="O595" s="55"/>
      <c r="P595" s="173"/>
    </row>
    <row r="596" spans="2:16" x14ac:dyDescent="0.2">
      <c r="B596" s="56"/>
      <c r="C596" s="56"/>
      <c r="D596" s="56"/>
      <c r="E596" s="56"/>
      <c r="F596" s="66"/>
      <c r="G596" s="66"/>
      <c r="H596" s="66"/>
      <c r="J596" s="122"/>
      <c r="K596" s="117"/>
      <c r="L596" s="118"/>
      <c r="M596" s="119"/>
      <c r="N596" s="55"/>
      <c r="O596" s="55"/>
      <c r="P596" s="173"/>
    </row>
    <row r="597" spans="2:16" x14ac:dyDescent="0.2">
      <c r="B597" s="56"/>
      <c r="C597" s="56"/>
      <c r="D597" s="56"/>
      <c r="E597" s="56"/>
      <c r="F597" s="66"/>
      <c r="G597" s="66"/>
      <c r="H597" s="66"/>
      <c r="J597" s="122"/>
      <c r="K597" s="117"/>
      <c r="L597" s="118"/>
      <c r="M597" s="119"/>
      <c r="N597" s="55"/>
      <c r="O597" s="55"/>
      <c r="P597" s="173"/>
    </row>
    <row r="598" spans="2:16" x14ac:dyDescent="0.2">
      <c r="B598" s="56"/>
      <c r="C598" s="56"/>
      <c r="D598" s="56"/>
      <c r="E598" s="56"/>
      <c r="F598" s="66"/>
      <c r="G598" s="66"/>
      <c r="H598" s="66"/>
      <c r="J598" s="122"/>
      <c r="K598" s="117"/>
      <c r="L598" s="118"/>
      <c r="M598" s="119"/>
      <c r="N598" s="55"/>
      <c r="O598" s="55"/>
      <c r="P598" s="173"/>
    </row>
    <row r="599" spans="2:16" x14ac:dyDescent="0.2">
      <c r="B599" s="56"/>
      <c r="C599" s="56"/>
      <c r="D599" s="56"/>
      <c r="E599" s="56"/>
      <c r="F599" s="66"/>
      <c r="G599" s="66"/>
      <c r="H599" s="66"/>
      <c r="J599" s="122"/>
      <c r="K599" s="117"/>
      <c r="L599" s="118"/>
      <c r="M599" s="119"/>
      <c r="N599" s="55"/>
      <c r="O599" s="55"/>
      <c r="P599" s="173"/>
    </row>
    <row r="600" spans="2:16" x14ac:dyDescent="0.2">
      <c r="B600" s="56"/>
      <c r="C600" s="56"/>
      <c r="D600" s="56"/>
      <c r="E600" s="56"/>
      <c r="F600" s="66"/>
      <c r="G600" s="66"/>
      <c r="H600" s="66"/>
      <c r="J600" s="122"/>
      <c r="K600" s="117"/>
      <c r="L600" s="118"/>
      <c r="M600" s="119"/>
      <c r="N600" s="55"/>
      <c r="O600" s="55"/>
      <c r="P600" s="173"/>
    </row>
    <row r="601" spans="2:16" x14ac:dyDescent="0.2">
      <c r="B601" s="56"/>
      <c r="C601" s="56"/>
      <c r="D601" s="56"/>
      <c r="E601" s="56"/>
      <c r="F601" s="66"/>
      <c r="G601" s="66"/>
      <c r="H601" s="66"/>
      <c r="J601" s="122"/>
      <c r="K601" s="117"/>
      <c r="L601" s="118"/>
      <c r="M601" s="119"/>
      <c r="N601" s="55"/>
      <c r="O601" s="55"/>
      <c r="P601" s="173"/>
    </row>
    <row r="602" spans="2:16" x14ac:dyDescent="0.2">
      <c r="B602" s="56"/>
      <c r="C602" s="56"/>
      <c r="D602" s="56"/>
      <c r="E602" s="56"/>
      <c r="F602" s="66"/>
      <c r="G602" s="66"/>
      <c r="H602" s="66"/>
      <c r="J602" s="122"/>
      <c r="K602" s="117"/>
      <c r="L602" s="118"/>
      <c r="M602" s="119"/>
      <c r="N602" s="55"/>
      <c r="O602" s="55"/>
      <c r="P602" s="173"/>
    </row>
    <row r="603" spans="2:16" x14ac:dyDescent="0.2">
      <c r="B603" s="56"/>
      <c r="C603" s="56"/>
      <c r="D603" s="56"/>
      <c r="E603" s="56"/>
      <c r="F603" s="66"/>
      <c r="G603" s="66"/>
      <c r="H603" s="66"/>
      <c r="J603" s="122"/>
      <c r="K603" s="117"/>
      <c r="L603" s="118"/>
      <c r="M603" s="119"/>
      <c r="N603" s="55"/>
      <c r="O603" s="55"/>
      <c r="P603" s="173"/>
    </row>
    <row r="604" spans="2:16" x14ac:dyDescent="0.2">
      <c r="B604" s="56"/>
      <c r="C604" s="56"/>
      <c r="D604" s="56"/>
      <c r="E604" s="56"/>
      <c r="F604" s="66"/>
      <c r="G604" s="66"/>
      <c r="H604" s="66"/>
      <c r="J604" s="122"/>
      <c r="K604" s="117"/>
      <c r="L604" s="118"/>
      <c r="M604" s="119"/>
      <c r="N604" s="55"/>
      <c r="O604" s="55"/>
      <c r="P604" s="173"/>
    </row>
    <row r="605" spans="2:16" x14ac:dyDescent="0.2">
      <c r="B605" s="56"/>
      <c r="C605" s="56"/>
      <c r="D605" s="56"/>
      <c r="E605" s="56"/>
      <c r="F605" s="66"/>
      <c r="G605" s="66"/>
      <c r="H605" s="66"/>
      <c r="J605" s="122"/>
      <c r="K605" s="117"/>
      <c r="L605" s="118"/>
      <c r="M605" s="119"/>
      <c r="N605" s="55"/>
      <c r="O605" s="55"/>
      <c r="P605" s="173"/>
    </row>
    <row r="606" spans="2:16" x14ac:dyDescent="0.2">
      <c r="B606" s="56"/>
      <c r="C606" s="56"/>
      <c r="D606" s="56"/>
      <c r="E606" s="56"/>
      <c r="F606" s="66"/>
      <c r="G606" s="66"/>
      <c r="H606" s="66"/>
      <c r="J606" s="122"/>
      <c r="K606" s="117"/>
      <c r="L606" s="118"/>
      <c r="M606" s="119"/>
      <c r="N606" s="55"/>
      <c r="O606" s="55"/>
      <c r="P606" s="173"/>
    </row>
    <row r="607" spans="2:16" x14ac:dyDescent="0.2">
      <c r="B607" s="56"/>
      <c r="C607" s="56"/>
      <c r="D607" s="56"/>
      <c r="E607" s="56"/>
      <c r="F607" s="66"/>
      <c r="G607" s="66"/>
      <c r="H607" s="66"/>
      <c r="J607" s="122"/>
      <c r="K607" s="117"/>
      <c r="L607" s="118"/>
      <c r="M607" s="119"/>
      <c r="N607" s="55"/>
      <c r="O607" s="55"/>
      <c r="P607" s="173"/>
    </row>
    <row r="608" spans="2:16" x14ac:dyDescent="0.2">
      <c r="B608" s="56"/>
      <c r="C608" s="56"/>
      <c r="D608" s="56"/>
      <c r="E608" s="56"/>
      <c r="F608" s="66"/>
      <c r="G608" s="66"/>
      <c r="H608" s="66"/>
      <c r="J608" s="122"/>
      <c r="K608" s="117"/>
      <c r="L608" s="118"/>
      <c r="M608" s="119"/>
      <c r="N608" s="55"/>
      <c r="O608" s="55"/>
      <c r="P608" s="173"/>
    </row>
    <row r="609" spans="2:16" x14ac:dyDescent="0.2">
      <c r="B609" s="56"/>
      <c r="C609" s="56"/>
      <c r="D609" s="56"/>
      <c r="E609" s="56"/>
      <c r="F609" s="66"/>
      <c r="G609" s="66"/>
      <c r="H609" s="66"/>
      <c r="J609" s="122"/>
      <c r="K609" s="117"/>
      <c r="L609" s="118"/>
      <c r="M609" s="119"/>
      <c r="N609" s="55"/>
      <c r="O609" s="55"/>
      <c r="P609" s="173"/>
    </row>
    <row r="610" spans="2:16" x14ac:dyDescent="0.2">
      <c r="B610" s="56"/>
      <c r="C610" s="56"/>
      <c r="D610" s="56"/>
      <c r="E610" s="56"/>
      <c r="F610" s="66"/>
      <c r="G610" s="66"/>
      <c r="H610" s="66"/>
      <c r="J610" s="122"/>
      <c r="K610" s="117"/>
      <c r="L610" s="118"/>
      <c r="M610" s="119"/>
      <c r="N610" s="55"/>
      <c r="O610" s="55"/>
      <c r="P610" s="173"/>
    </row>
    <row r="611" spans="2:16" x14ac:dyDescent="0.2">
      <c r="B611" s="56"/>
      <c r="C611" s="56"/>
      <c r="D611" s="56"/>
      <c r="E611" s="56"/>
      <c r="F611" s="66"/>
      <c r="G611" s="66"/>
      <c r="H611" s="66"/>
      <c r="J611" s="122"/>
      <c r="K611" s="117"/>
      <c r="L611" s="118"/>
      <c r="M611" s="119"/>
      <c r="N611" s="55"/>
      <c r="O611" s="55"/>
      <c r="P611" s="173"/>
    </row>
    <row r="612" spans="2:16" x14ac:dyDescent="0.2">
      <c r="B612" s="56"/>
      <c r="C612" s="56"/>
      <c r="D612" s="56"/>
      <c r="E612" s="56"/>
      <c r="F612" s="66"/>
      <c r="G612" s="66"/>
      <c r="H612" s="66"/>
      <c r="J612" s="122"/>
      <c r="K612" s="117"/>
      <c r="L612" s="118"/>
      <c r="M612" s="119"/>
      <c r="N612" s="55"/>
      <c r="O612" s="55"/>
      <c r="P612" s="173"/>
    </row>
    <row r="613" spans="2:16" x14ac:dyDescent="0.2">
      <c r="B613" s="56"/>
      <c r="C613" s="56"/>
      <c r="D613" s="56"/>
      <c r="E613" s="56"/>
      <c r="F613" s="66"/>
      <c r="G613" s="66"/>
      <c r="H613" s="66"/>
      <c r="J613" s="122"/>
      <c r="K613" s="117"/>
      <c r="L613" s="118"/>
      <c r="M613" s="119"/>
      <c r="N613" s="55"/>
      <c r="O613" s="55"/>
      <c r="P613" s="173"/>
    </row>
    <row r="614" spans="2:16" x14ac:dyDescent="0.2">
      <c r="B614" s="56"/>
      <c r="C614" s="56"/>
      <c r="D614" s="56"/>
      <c r="E614" s="56"/>
      <c r="F614" s="66"/>
      <c r="G614" s="66"/>
      <c r="H614" s="66"/>
      <c r="J614" s="122"/>
      <c r="K614" s="117"/>
      <c r="L614" s="118"/>
      <c r="M614" s="119"/>
      <c r="N614" s="55"/>
      <c r="O614" s="55"/>
      <c r="P614" s="173"/>
    </row>
    <row r="615" spans="2:16" x14ac:dyDescent="0.2">
      <c r="B615" s="56"/>
      <c r="C615" s="56"/>
      <c r="D615" s="56"/>
      <c r="E615" s="56"/>
      <c r="F615" s="66"/>
      <c r="G615" s="66"/>
      <c r="H615" s="66"/>
      <c r="J615" s="122"/>
      <c r="K615" s="117"/>
      <c r="L615" s="118"/>
      <c r="M615" s="119"/>
      <c r="N615" s="55"/>
      <c r="O615" s="55"/>
      <c r="P615" s="173"/>
    </row>
    <row r="616" spans="2:16" x14ac:dyDescent="0.2">
      <c r="B616" s="56"/>
      <c r="C616" s="56"/>
      <c r="D616" s="56"/>
      <c r="E616" s="56"/>
      <c r="F616" s="66"/>
      <c r="G616" s="66"/>
      <c r="H616" s="66"/>
      <c r="J616" s="122"/>
      <c r="K616" s="117"/>
      <c r="L616" s="118"/>
      <c r="M616" s="119"/>
      <c r="N616" s="55"/>
      <c r="O616" s="55"/>
      <c r="P616" s="173"/>
    </row>
    <row r="617" spans="2:16" x14ac:dyDescent="0.2">
      <c r="B617" s="56"/>
      <c r="C617" s="56"/>
      <c r="D617" s="56"/>
      <c r="E617" s="56"/>
      <c r="F617" s="66"/>
      <c r="G617" s="66"/>
      <c r="H617" s="66"/>
      <c r="J617" s="122"/>
      <c r="K617" s="117"/>
      <c r="L617" s="118"/>
      <c r="M617" s="119"/>
      <c r="N617" s="55"/>
      <c r="O617" s="55"/>
      <c r="P617" s="173"/>
    </row>
    <row r="618" spans="2:16" x14ac:dyDescent="0.2">
      <c r="B618" s="56"/>
      <c r="C618" s="56"/>
      <c r="D618" s="56"/>
      <c r="E618" s="56"/>
      <c r="F618" s="66"/>
      <c r="G618" s="66"/>
      <c r="H618" s="66"/>
      <c r="J618" s="122"/>
      <c r="K618" s="117"/>
      <c r="L618" s="118"/>
      <c r="M618" s="119"/>
      <c r="N618" s="55"/>
      <c r="O618" s="55"/>
      <c r="P618" s="173"/>
    </row>
    <row r="619" spans="2:16" x14ac:dyDescent="0.2">
      <c r="B619" s="56"/>
      <c r="C619" s="56"/>
      <c r="D619" s="56"/>
      <c r="E619" s="56"/>
      <c r="F619" s="66"/>
      <c r="G619" s="66"/>
      <c r="H619" s="66"/>
      <c r="J619" s="122"/>
      <c r="K619" s="117"/>
      <c r="L619" s="118"/>
      <c r="M619" s="119"/>
      <c r="N619" s="55"/>
      <c r="O619" s="55"/>
      <c r="P619" s="173"/>
    </row>
    <row r="620" spans="2:16" x14ac:dyDescent="0.2">
      <c r="B620" s="56"/>
      <c r="C620" s="56"/>
      <c r="D620" s="56"/>
      <c r="E620" s="56"/>
      <c r="F620" s="66"/>
      <c r="G620" s="66"/>
      <c r="H620" s="66"/>
      <c r="J620" s="122"/>
      <c r="K620" s="117"/>
      <c r="L620" s="118"/>
      <c r="M620" s="119"/>
      <c r="N620" s="55"/>
      <c r="O620" s="55"/>
      <c r="P620" s="173"/>
    </row>
    <row r="621" spans="2:16" x14ac:dyDescent="0.2">
      <c r="B621" s="56"/>
      <c r="C621" s="56"/>
      <c r="D621" s="56"/>
      <c r="E621" s="56"/>
      <c r="F621" s="66"/>
      <c r="G621" s="66"/>
      <c r="H621" s="66"/>
      <c r="J621" s="122"/>
      <c r="K621" s="117"/>
      <c r="L621" s="118"/>
      <c r="M621" s="119"/>
      <c r="N621" s="55"/>
      <c r="O621" s="55"/>
      <c r="P621" s="173"/>
    </row>
    <row r="622" spans="2:16" x14ac:dyDescent="0.2">
      <c r="B622" s="56"/>
      <c r="C622" s="56"/>
      <c r="D622" s="56"/>
      <c r="E622" s="56"/>
      <c r="F622" s="66"/>
      <c r="G622" s="66"/>
      <c r="H622" s="66"/>
      <c r="J622" s="122"/>
      <c r="K622" s="117"/>
      <c r="L622" s="118"/>
      <c r="M622" s="119"/>
      <c r="N622" s="55"/>
      <c r="O622" s="55"/>
      <c r="P622" s="173"/>
    </row>
    <row r="623" spans="2:16" x14ac:dyDescent="0.2">
      <c r="B623" s="56"/>
      <c r="C623" s="56"/>
      <c r="D623" s="56"/>
      <c r="E623" s="56"/>
      <c r="F623" s="66"/>
      <c r="G623" s="66"/>
      <c r="H623" s="66"/>
      <c r="J623" s="122"/>
      <c r="K623" s="117"/>
      <c r="L623" s="118"/>
      <c r="M623" s="119"/>
      <c r="N623" s="55"/>
      <c r="O623" s="55"/>
      <c r="P623" s="173"/>
    </row>
    <row r="624" spans="2:16" x14ac:dyDescent="0.2">
      <c r="B624" s="56"/>
      <c r="C624" s="56"/>
      <c r="D624" s="56"/>
      <c r="E624" s="56"/>
      <c r="F624" s="66"/>
      <c r="G624" s="66"/>
      <c r="H624" s="66"/>
      <c r="J624" s="122"/>
      <c r="K624" s="117"/>
      <c r="L624" s="118"/>
      <c r="M624" s="119"/>
      <c r="N624" s="55"/>
      <c r="O624" s="55"/>
      <c r="P624" s="173"/>
    </row>
    <row r="625" spans="2:16" x14ac:dyDescent="0.2">
      <c r="B625" s="56"/>
      <c r="C625" s="56"/>
      <c r="D625" s="56"/>
      <c r="E625" s="56"/>
      <c r="F625" s="66"/>
      <c r="G625" s="66"/>
      <c r="H625" s="66"/>
      <c r="J625" s="122"/>
      <c r="K625" s="117"/>
      <c r="L625" s="118"/>
      <c r="M625" s="119"/>
      <c r="N625" s="55"/>
      <c r="O625" s="55"/>
      <c r="P625" s="173"/>
    </row>
    <row r="626" spans="2:16" x14ac:dyDescent="0.2">
      <c r="B626" s="56"/>
      <c r="C626" s="56"/>
      <c r="D626" s="56"/>
      <c r="E626" s="56"/>
      <c r="F626" s="66"/>
      <c r="G626" s="66"/>
      <c r="H626" s="66"/>
      <c r="J626" s="122"/>
      <c r="K626" s="117"/>
      <c r="L626" s="118"/>
      <c r="M626" s="119"/>
      <c r="N626" s="55"/>
      <c r="O626" s="55"/>
      <c r="P626" s="173"/>
    </row>
    <row r="627" spans="2:16" x14ac:dyDescent="0.2">
      <c r="B627" s="56"/>
      <c r="C627" s="56"/>
      <c r="D627" s="56"/>
      <c r="E627" s="56"/>
      <c r="F627" s="66"/>
      <c r="G627" s="66"/>
      <c r="H627" s="66"/>
      <c r="J627" s="122"/>
      <c r="K627" s="117"/>
      <c r="L627" s="118"/>
      <c r="M627" s="119"/>
      <c r="N627" s="55"/>
      <c r="O627" s="55"/>
      <c r="P627" s="173"/>
    </row>
    <row r="628" spans="2:16" x14ac:dyDescent="0.2">
      <c r="B628" s="56"/>
      <c r="C628" s="56"/>
      <c r="D628" s="56"/>
      <c r="E628" s="56"/>
      <c r="F628" s="66"/>
      <c r="G628" s="66"/>
      <c r="H628" s="66"/>
      <c r="J628" s="122"/>
      <c r="K628" s="117"/>
      <c r="L628" s="118"/>
      <c r="M628" s="119"/>
      <c r="N628" s="55"/>
      <c r="O628" s="55"/>
      <c r="P628" s="173"/>
    </row>
    <row r="629" spans="2:16" x14ac:dyDescent="0.2">
      <c r="B629" s="56"/>
      <c r="C629" s="56"/>
      <c r="D629" s="56"/>
      <c r="E629" s="56"/>
      <c r="F629" s="66"/>
      <c r="G629" s="66"/>
      <c r="H629" s="66"/>
      <c r="J629" s="122"/>
      <c r="K629" s="117"/>
      <c r="L629" s="118"/>
      <c r="M629" s="119"/>
      <c r="N629" s="55"/>
      <c r="O629" s="55"/>
      <c r="P629" s="173"/>
    </row>
    <row r="630" spans="2:16" x14ac:dyDescent="0.2">
      <c r="B630" s="56"/>
      <c r="C630" s="56"/>
      <c r="D630" s="56"/>
      <c r="E630" s="56"/>
      <c r="F630" s="66"/>
      <c r="G630" s="66"/>
      <c r="H630" s="66"/>
      <c r="J630" s="122"/>
      <c r="K630" s="117"/>
      <c r="L630" s="118"/>
      <c r="M630" s="119"/>
      <c r="N630" s="55"/>
      <c r="O630" s="55"/>
      <c r="P630" s="173"/>
    </row>
    <row r="631" spans="2:16" x14ac:dyDescent="0.2">
      <c r="B631" s="56"/>
      <c r="C631" s="56"/>
      <c r="D631" s="56"/>
      <c r="E631" s="56"/>
      <c r="F631" s="66"/>
      <c r="G631" s="66"/>
      <c r="H631" s="66"/>
      <c r="J631" s="122"/>
      <c r="K631" s="117"/>
      <c r="L631" s="118"/>
      <c r="M631" s="119"/>
      <c r="N631" s="55"/>
      <c r="O631" s="55"/>
      <c r="P631" s="173"/>
    </row>
    <row r="632" spans="2:16" x14ac:dyDescent="0.2">
      <c r="B632" s="56"/>
      <c r="C632" s="56"/>
      <c r="D632" s="56"/>
      <c r="E632" s="56"/>
      <c r="F632" s="66"/>
      <c r="G632" s="66"/>
      <c r="H632" s="66"/>
      <c r="J632" s="122"/>
      <c r="K632" s="117"/>
      <c r="L632" s="118"/>
      <c r="M632" s="119"/>
      <c r="N632" s="55"/>
      <c r="O632" s="55"/>
      <c r="P632" s="173"/>
    </row>
    <row r="633" spans="2:16" x14ac:dyDescent="0.2">
      <c r="B633" s="56"/>
      <c r="C633" s="56"/>
      <c r="D633" s="56"/>
      <c r="E633" s="56"/>
      <c r="F633" s="66"/>
      <c r="G633" s="66"/>
      <c r="H633" s="66"/>
      <c r="J633" s="122"/>
      <c r="K633" s="117"/>
      <c r="L633" s="118"/>
      <c r="M633" s="119"/>
      <c r="N633" s="55"/>
      <c r="O633" s="55"/>
      <c r="P633" s="173"/>
    </row>
    <row r="634" spans="2:16" x14ac:dyDescent="0.2">
      <c r="B634" s="56"/>
      <c r="C634" s="56"/>
      <c r="D634" s="56"/>
      <c r="E634" s="56"/>
      <c r="F634" s="66"/>
      <c r="G634" s="66"/>
      <c r="H634" s="66"/>
      <c r="J634" s="122"/>
      <c r="K634" s="117"/>
      <c r="L634" s="118"/>
      <c r="M634" s="119"/>
      <c r="N634" s="55"/>
      <c r="O634" s="55"/>
      <c r="P634" s="173"/>
    </row>
    <row r="635" spans="2:16" x14ac:dyDescent="0.2">
      <c r="B635" s="56"/>
      <c r="C635" s="56"/>
      <c r="D635" s="56"/>
      <c r="E635" s="56"/>
      <c r="F635" s="66"/>
      <c r="G635" s="66"/>
      <c r="H635" s="66"/>
      <c r="J635" s="122"/>
      <c r="K635" s="117"/>
      <c r="L635" s="118"/>
      <c r="M635" s="119"/>
      <c r="N635" s="55"/>
      <c r="O635" s="55"/>
      <c r="P635" s="173"/>
    </row>
    <row r="636" spans="2:16" x14ac:dyDescent="0.2">
      <c r="B636" s="56"/>
      <c r="C636" s="56"/>
      <c r="D636" s="56"/>
      <c r="E636" s="56"/>
      <c r="F636" s="66"/>
      <c r="G636" s="66"/>
      <c r="H636" s="66"/>
      <c r="J636" s="122"/>
      <c r="K636" s="117"/>
      <c r="L636" s="118"/>
      <c r="M636" s="119"/>
      <c r="N636" s="55"/>
      <c r="O636" s="55"/>
      <c r="P636" s="173"/>
    </row>
    <row r="637" spans="2:16" x14ac:dyDescent="0.2">
      <c r="B637" s="56"/>
      <c r="C637" s="56"/>
      <c r="D637" s="56"/>
      <c r="E637" s="56"/>
      <c r="F637" s="66"/>
      <c r="G637" s="66"/>
      <c r="H637" s="66"/>
      <c r="J637" s="122"/>
      <c r="K637" s="117"/>
      <c r="L637" s="118"/>
      <c r="M637" s="119"/>
      <c r="N637" s="55"/>
      <c r="O637" s="55"/>
      <c r="P637" s="173"/>
    </row>
    <row r="638" spans="2:16" x14ac:dyDescent="0.2">
      <c r="B638" s="56"/>
      <c r="C638" s="56"/>
      <c r="D638" s="56"/>
      <c r="E638" s="56"/>
      <c r="F638" s="66"/>
      <c r="G638" s="66"/>
      <c r="H638" s="66"/>
      <c r="J638" s="122"/>
      <c r="K638" s="117"/>
      <c r="L638" s="118"/>
      <c r="M638" s="119"/>
      <c r="N638" s="55"/>
      <c r="O638" s="55"/>
      <c r="P638" s="173"/>
    </row>
    <row r="639" spans="2:16" x14ac:dyDescent="0.2">
      <c r="B639" s="56"/>
      <c r="C639" s="56"/>
      <c r="D639" s="56"/>
      <c r="E639" s="56"/>
      <c r="F639" s="66"/>
      <c r="G639" s="66"/>
      <c r="H639" s="66"/>
      <c r="J639" s="122"/>
      <c r="K639" s="117"/>
      <c r="L639" s="118"/>
      <c r="M639" s="119"/>
      <c r="N639" s="55"/>
      <c r="O639" s="55"/>
      <c r="P639" s="173"/>
    </row>
    <row r="640" spans="2:16" x14ac:dyDescent="0.2">
      <c r="B640" s="56"/>
      <c r="C640" s="56"/>
      <c r="D640" s="56"/>
      <c r="E640" s="56"/>
      <c r="F640" s="66"/>
      <c r="G640" s="66"/>
      <c r="H640" s="66"/>
      <c r="J640" s="122"/>
      <c r="K640" s="117"/>
      <c r="L640" s="118"/>
      <c r="M640" s="119"/>
      <c r="N640" s="55"/>
      <c r="O640" s="55"/>
      <c r="P640" s="173"/>
    </row>
    <row r="641" spans="2:16" x14ac:dyDescent="0.2">
      <c r="B641" s="56"/>
      <c r="C641" s="56"/>
      <c r="D641" s="56"/>
      <c r="E641" s="56"/>
      <c r="F641" s="66"/>
      <c r="G641" s="66"/>
      <c r="H641" s="66"/>
      <c r="J641" s="122"/>
      <c r="K641" s="117"/>
      <c r="L641" s="118"/>
      <c r="M641" s="119"/>
      <c r="N641" s="55"/>
      <c r="O641" s="55"/>
      <c r="P641" s="173"/>
    </row>
    <row r="642" spans="2:16" x14ac:dyDescent="0.2">
      <c r="B642" s="56"/>
      <c r="C642" s="56"/>
      <c r="D642" s="56"/>
      <c r="E642" s="56"/>
      <c r="F642" s="66"/>
      <c r="G642" s="66"/>
      <c r="H642" s="66"/>
      <c r="J642" s="122"/>
      <c r="K642" s="117"/>
      <c r="L642" s="118"/>
      <c r="M642" s="119"/>
      <c r="N642" s="55"/>
      <c r="O642" s="55"/>
      <c r="P642" s="173"/>
    </row>
    <row r="643" spans="2:16" x14ac:dyDescent="0.2">
      <c r="B643" s="56"/>
      <c r="C643" s="56"/>
      <c r="D643" s="56"/>
      <c r="E643" s="56"/>
      <c r="F643" s="66"/>
      <c r="G643" s="66"/>
      <c r="H643" s="66"/>
      <c r="J643" s="122"/>
      <c r="K643" s="117"/>
      <c r="L643" s="118"/>
      <c r="M643" s="119"/>
      <c r="N643" s="55"/>
      <c r="O643" s="55"/>
      <c r="P643" s="173"/>
    </row>
    <row r="644" spans="2:16" x14ac:dyDescent="0.2">
      <c r="B644" s="56"/>
      <c r="C644" s="56"/>
      <c r="D644" s="56"/>
      <c r="E644" s="56"/>
      <c r="F644" s="66"/>
      <c r="G644" s="66"/>
      <c r="H644" s="66"/>
      <c r="J644" s="122"/>
      <c r="K644" s="117"/>
      <c r="L644" s="118"/>
      <c r="M644" s="119"/>
      <c r="N644" s="55"/>
      <c r="O644" s="55"/>
      <c r="P644" s="173"/>
    </row>
    <row r="645" spans="2:16" x14ac:dyDescent="0.2">
      <c r="B645" s="56"/>
      <c r="C645" s="56"/>
      <c r="D645" s="56"/>
      <c r="E645" s="56"/>
      <c r="F645" s="66"/>
      <c r="G645" s="66"/>
      <c r="H645" s="66"/>
      <c r="J645" s="122"/>
      <c r="K645" s="117"/>
      <c r="L645" s="118"/>
      <c r="M645" s="119"/>
      <c r="N645" s="55"/>
      <c r="O645" s="55"/>
      <c r="P645" s="173"/>
    </row>
    <row r="646" spans="2:16" x14ac:dyDescent="0.2">
      <c r="B646" s="56"/>
      <c r="C646" s="56"/>
      <c r="D646" s="56"/>
      <c r="E646" s="56"/>
      <c r="F646" s="66"/>
      <c r="G646" s="66"/>
      <c r="H646" s="66"/>
      <c r="J646" s="122"/>
      <c r="K646" s="117"/>
      <c r="L646" s="118"/>
      <c r="M646" s="119"/>
      <c r="N646" s="55"/>
      <c r="O646" s="55"/>
      <c r="P646" s="173"/>
    </row>
    <row r="647" spans="2:16" x14ac:dyDescent="0.2">
      <c r="B647" s="56"/>
      <c r="C647" s="56"/>
      <c r="D647" s="56"/>
      <c r="E647" s="56"/>
      <c r="F647" s="66"/>
      <c r="G647" s="66"/>
      <c r="H647" s="66"/>
      <c r="J647" s="122"/>
      <c r="K647" s="117"/>
      <c r="L647" s="118"/>
      <c r="M647" s="119"/>
      <c r="N647" s="55"/>
      <c r="O647" s="55"/>
      <c r="P647" s="173"/>
    </row>
    <row r="648" spans="2:16" x14ac:dyDescent="0.2">
      <c r="B648" s="56"/>
      <c r="C648" s="56"/>
      <c r="D648" s="56"/>
      <c r="E648" s="56"/>
      <c r="F648" s="66"/>
      <c r="G648" s="66"/>
      <c r="H648" s="66"/>
      <c r="J648" s="122"/>
      <c r="K648" s="117"/>
      <c r="L648" s="118"/>
      <c r="M648" s="119"/>
      <c r="N648" s="55"/>
      <c r="O648" s="55"/>
      <c r="P648" s="173"/>
    </row>
    <row r="649" spans="2:16" x14ac:dyDescent="0.2">
      <c r="B649" s="56"/>
      <c r="C649" s="56"/>
      <c r="D649" s="56"/>
      <c r="E649" s="56"/>
      <c r="F649" s="66"/>
      <c r="G649" s="66"/>
      <c r="H649" s="66"/>
      <c r="J649" s="122"/>
      <c r="K649" s="117"/>
      <c r="L649" s="118"/>
      <c r="M649" s="119"/>
      <c r="N649" s="55"/>
      <c r="O649" s="55"/>
      <c r="P649" s="173"/>
    </row>
    <row r="650" spans="2:16" x14ac:dyDescent="0.2">
      <c r="B650" s="56"/>
      <c r="C650" s="56"/>
      <c r="D650" s="56"/>
      <c r="E650" s="56"/>
      <c r="F650" s="66"/>
      <c r="G650" s="66"/>
      <c r="H650" s="66"/>
      <c r="J650" s="122"/>
      <c r="K650" s="117"/>
      <c r="L650" s="118"/>
      <c r="M650" s="119"/>
      <c r="N650" s="55"/>
      <c r="O650" s="55"/>
      <c r="P650" s="173"/>
    </row>
    <row r="651" spans="2:16" x14ac:dyDescent="0.2">
      <c r="B651" s="56"/>
      <c r="C651" s="56"/>
      <c r="D651" s="56"/>
      <c r="E651" s="56"/>
      <c r="F651" s="66"/>
      <c r="G651" s="66"/>
      <c r="H651" s="66"/>
      <c r="J651" s="122"/>
      <c r="K651" s="117"/>
      <c r="L651" s="118"/>
      <c r="M651" s="119"/>
      <c r="N651" s="55"/>
      <c r="O651" s="55"/>
      <c r="P651" s="173"/>
    </row>
    <row r="652" spans="2:16" x14ac:dyDescent="0.2">
      <c r="B652" s="56"/>
      <c r="C652" s="56"/>
      <c r="D652" s="56"/>
      <c r="E652" s="56"/>
      <c r="F652" s="66"/>
      <c r="G652" s="66"/>
      <c r="H652" s="66"/>
      <c r="J652" s="122"/>
      <c r="K652" s="117"/>
      <c r="L652" s="118"/>
      <c r="M652" s="119"/>
      <c r="N652" s="55"/>
      <c r="O652" s="55"/>
      <c r="P652" s="173"/>
    </row>
    <row r="653" spans="2:16" x14ac:dyDescent="0.2">
      <c r="B653" s="56"/>
      <c r="C653" s="56"/>
      <c r="D653" s="56"/>
      <c r="E653" s="56"/>
      <c r="F653" s="66"/>
      <c r="G653" s="66"/>
      <c r="H653" s="66"/>
      <c r="J653" s="122"/>
      <c r="K653" s="117"/>
      <c r="L653" s="118"/>
      <c r="M653" s="119"/>
      <c r="N653" s="55"/>
      <c r="O653" s="55"/>
      <c r="P653" s="173"/>
    </row>
    <row r="654" spans="2:16" x14ac:dyDescent="0.2">
      <c r="B654" s="56"/>
      <c r="C654" s="56"/>
      <c r="D654" s="56"/>
      <c r="E654" s="56"/>
      <c r="F654" s="66"/>
      <c r="G654" s="66"/>
      <c r="H654" s="66"/>
      <c r="J654" s="122"/>
      <c r="K654" s="117"/>
      <c r="L654" s="118"/>
      <c r="M654" s="119"/>
      <c r="N654" s="55"/>
      <c r="O654" s="55"/>
      <c r="P654" s="173"/>
    </row>
    <row r="655" spans="2:16" x14ac:dyDescent="0.2">
      <c r="B655" s="56"/>
      <c r="C655" s="56"/>
      <c r="D655" s="56"/>
      <c r="E655" s="56"/>
      <c r="F655" s="66"/>
      <c r="G655" s="66"/>
      <c r="H655" s="66"/>
      <c r="J655" s="122"/>
      <c r="K655" s="117"/>
      <c r="L655" s="118"/>
      <c r="M655" s="119"/>
      <c r="N655" s="55"/>
      <c r="O655" s="55"/>
      <c r="P655" s="173"/>
    </row>
    <row r="656" spans="2:16" x14ac:dyDescent="0.2">
      <c r="B656" s="56"/>
      <c r="C656" s="56"/>
      <c r="D656" s="56"/>
      <c r="E656" s="56"/>
      <c r="F656" s="66"/>
      <c r="G656" s="66"/>
      <c r="H656" s="66"/>
      <c r="J656" s="122"/>
      <c r="K656" s="117"/>
      <c r="L656" s="118"/>
      <c r="M656" s="119"/>
      <c r="N656" s="55"/>
      <c r="O656" s="55"/>
      <c r="P656" s="173"/>
    </row>
    <row r="657" spans="2:16" x14ac:dyDescent="0.2">
      <c r="B657" s="56"/>
      <c r="C657" s="56"/>
      <c r="D657" s="56"/>
      <c r="E657" s="56"/>
      <c r="F657" s="66"/>
      <c r="G657" s="66"/>
      <c r="H657" s="66"/>
      <c r="J657" s="122"/>
      <c r="K657" s="117"/>
      <c r="L657" s="118"/>
      <c r="M657" s="119"/>
      <c r="N657" s="55"/>
      <c r="O657" s="55"/>
      <c r="P657" s="173"/>
    </row>
    <row r="658" spans="2:16" x14ac:dyDescent="0.2">
      <c r="B658" s="56"/>
      <c r="C658" s="56"/>
      <c r="D658" s="56"/>
      <c r="E658" s="56"/>
      <c r="F658" s="66"/>
      <c r="G658" s="66"/>
      <c r="H658" s="66"/>
      <c r="J658" s="122"/>
      <c r="K658" s="117"/>
      <c r="L658" s="118"/>
      <c r="M658" s="119"/>
      <c r="N658" s="55"/>
      <c r="O658" s="55"/>
      <c r="P658" s="173"/>
    </row>
    <row r="659" spans="2:16" x14ac:dyDescent="0.2">
      <c r="B659" s="56"/>
      <c r="C659" s="56"/>
      <c r="D659" s="56"/>
      <c r="E659" s="56"/>
      <c r="F659" s="66"/>
      <c r="G659" s="66"/>
      <c r="H659" s="66"/>
      <c r="J659" s="122"/>
      <c r="K659" s="117"/>
      <c r="L659" s="118"/>
      <c r="M659" s="119"/>
      <c r="N659" s="55"/>
      <c r="O659" s="55"/>
      <c r="P659" s="173"/>
    </row>
    <row r="660" spans="2:16" x14ac:dyDescent="0.2">
      <c r="B660" s="56"/>
      <c r="C660" s="56"/>
      <c r="D660" s="56"/>
      <c r="E660" s="56"/>
      <c r="F660" s="66"/>
      <c r="G660" s="66"/>
      <c r="H660" s="66"/>
      <c r="J660" s="122"/>
      <c r="K660" s="117"/>
      <c r="L660" s="118"/>
      <c r="M660" s="119"/>
      <c r="N660" s="55"/>
      <c r="O660" s="55"/>
      <c r="P660" s="173"/>
    </row>
    <row r="661" spans="2:16" x14ac:dyDescent="0.2">
      <c r="B661" s="56"/>
      <c r="C661" s="56"/>
      <c r="D661" s="56"/>
      <c r="E661" s="56"/>
      <c r="F661" s="66"/>
      <c r="G661" s="66"/>
      <c r="H661" s="66"/>
      <c r="J661" s="122"/>
      <c r="K661" s="117"/>
      <c r="L661" s="118"/>
      <c r="M661" s="119"/>
      <c r="N661" s="55"/>
      <c r="O661" s="55"/>
      <c r="P661" s="173"/>
    </row>
    <row r="662" spans="2:16" x14ac:dyDescent="0.2">
      <c r="B662" s="56"/>
      <c r="C662" s="56"/>
      <c r="D662" s="56"/>
      <c r="E662" s="56"/>
      <c r="F662" s="66"/>
      <c r="G662" s="66"/>
      <c r="H662" s="66"/>
      <c r="J662" s="122"/>
      <c r="K662" s="117"/>
      <c r="L662" s="118"/>
      <c r="M662" s="119"/>
      <c r="N662" s="55"/>
      <c r="O662" s="55"/>
      <c r="P662" s="173"/>
    </row>
    <row r="663" spans="2:16" x14ac:dyDescent="0.2">
      <c r="B663" s="56"/>
      <c r="C663" s="56"/>
      <c r="D663" s="56"/>
      <c r="E663" s="56"/>
      <c r="F663" s="66"/>
      <c r="G663" s="66"/>
      <c r="H663" s="66"/>
      <c r="J663" s="122"/>
      <c r="K663" s="117"/>
      <c r="L663" s="118"/>
      <c r="M663" s="119"/>
      <c r="N663" s="55"/>
      <c r="O663" s="55"/>
      <c r="P663" s="173"/>
    </row>
    <row r="664" spans="2:16" x14ac:dyDescent="0.2">
      <c r="B664" s="56"/>
      <c r="C664" s="56"/>
      <c r="D664" s="56"/>
      <c r="E664" s="56"/>
      <c r="F664" s="66"/>
      <c r="G664" s="66"/>
      <c r="H664" s="66"/>
      <c r="J664" s="122"/>
      <c r="K664" s="117"/>
      <c r="L664" s="118"/>
      <c r="M664" s="119"/>
      <c r="N664" s="55"/>
      <c r="O664" s="55"/>
      <c r="P664" s="173"/>
    </row>
    <row r="665" spans="2:16" x14ac:dyDescent="0.2">
      <c r="B665" s="56"/>
      <c r="C665" s="56"/>
      <c r="D665" s="56"/>
      <c r="E665" s="56"/>
      <c r="F665" s="66"/>
      <c r="G665" s="66"/>
      <c r="H665" s="66"/>
      <c r="J665" s="122"/>
      <c r="K665" s="117"/>
      <c r="L665" s="118"/>
      <c r="M665" s="119"/>
      <c r="N665" s="55"/>
      <c r="O665" s="55"/>
      <c r="P665" s="173"/>
    </row>
    <row r="666" spans="2:16" x14ac:dyDescent="0.2">
      <c r="B666" s="56"/>
      <c r="C666" s="56"/>
      <c r="D666" s="56"/>
      <c r="E666" s="56"/>
      <c r="F666" s="66"/>
      <c r="G666" s="66"/>
      <c r="H666" s="66"/>
      <c r="J666" s="122"/>
      <c r="K666" s="117"/>
      <c r="L666" s="118"/>
      <c r="M666" s="119"/>
      <c r="N666" s="55"/>
      <c r="O666" s="55"/>
      <c r="P666" s="173"/>
    </row>
    <row r="667" spans="2:16" x14ac:dyDescent="0.2">
      <c r="B667" s="56"/>
      <c r="C667" s="56"/>
      <c r="D667" s="56"/>
      <c r="E667" s="56"/>
      <c r="F667" s="66"/>
      <c r="G667" s="66"/>
      <c r="H667" s="66"/>
      <c r="J667" s="122"/>
      <c r="K667" s="117"/>
      <c r="L667" s="118"/>
      <c r="M667" s="119"/>
      <c r="N667" s="55"/>
      <c r="O667" s="55"/>
      <c r="P667" s="173"/>
    </row>
    <row r="668" spans="2:16" x14ac:dyDescent="0.2">
      <c r="B668" s="56"/>
      <c r="C668" s="56"/>
      <c r="D668" s="56"/>
      <c r="E668" s="56"/>
      <c r="F668" s="66"/>
      <c r="G668" s="66"/>
      <c r="H668" s="66"/>
      <c r="J668" s="122"/>
      <c r="K668" s="117"/>
      <c r="L668" s="118"/>
      <c r="M668" s="119"/>
      <c r="N668" s="55"/>
      <c r="O668" s="55"/>
      <c r="P668" s="173"/>
    </row>
    <row r="669" spans="2:16" x14ac:dyDescent="0.2">
      <c r="B669" s="56"/>
      <c r="C669" s="56"/>
      <c r="D669" s="56"/>
      <c r="E669" s="56"/>
      <c r="F669" s="66"/>
      <c r="G669" s="66"/>
      <c r="H669" s="66"/>
      <c r="J669" s="122"/>
      <c r="K669" s="117"/>
      <c r="L669" s="118"/>
      <c r="M669" s="119"/>
      <c r="N669" s="55"/>
      <c r="O669" s="55"/>
      <c r="P669" s="173"/>
    </row>
    <row r="670" spans="2:16" x14ac:dyDescent="0.2">
      <c r="B670" s="56"/>
      <c r="C670" s="56"/>
      <c r="D670" s="56"/>
      <c r="E670" s="56"/>
      <c r="F670" s="66"/>
      <c r="G670" s="66"/>
      <c r="H670" s="66"/>
      <c r="J670" s="122"/>
      <c r="K670" s="117"/>
      <c r="L670" s="118"/>
      <c r="M670" s="119"/>
      <c r="N670" s="55"/>
      <c r="O670" s="55"/>
      <c r="P670" s="173"/>
    </row>
    <row r="671" spans="2:16" x14ac:dyDescent="0.2">
      <c r="B671" s="56"/>
      <c r="C671" s="56"/>
      <c r="D671" s="56"/>
      <c r="E671" s="56"/>
      <c r="F671" s="66"/>
      <c r="G671" s="66"/>
      <c r="H671" s="66"/>
      <c r="J671" s="122"/>
      <c r="K671" s="117"/>
      <c r="L671" s="118"/>
      <c r="M671" s="119"/>
      <c r="N671" s="55"/>
      <c r="O671" s="55"/>
      <c r="P671" s="173"/>
    </row>
    <row r="672" spans="2:16" x14ac:dyDescent="0.2">
      <c r="B672" s="56"/>
      <c r="C672" s="56"/>
      <c r="D672" s="56"/>
      <c r="E672" s="56"/>
      <c r="F672" s="66"/>
      <c r="G672" s="66"/>
      <c r="H672" s="66"/>
      <c r="J672" s="122"/>
      <c r="K672" s="117"/>
      <c r="L672" s="118"/>
      <c r="M672" s="119"/>
      <c r="N672" s="55"/>
      <c r="O672" s="55"/>
      <c r="P672" s="173"/>
    </row>
    <row r="673" spans="2:16" x14ac:dyDescent="0.2">
      <c r="B673" s="56"/>
      <c r="C673" s="56"/>
      <c r="D673" s="56"/>
      <c r="E673" s="56"/>
      <c r="F673" s="66"/>
      <c r="G673" s="66"/>
      <c r="H673" s="66"/>
      <c r="J673" s="122"/>
      <c r="K673" s="117"/>
      <c r="L673" s="118"/>
      <c r="M673" s="119"/>
      <c r="N673" s="55"/>
      <c r="O673" s="55"/>
      <c r="P673" s="173"/>
    </row>
    <row r="674" spans="2:16" x14ac:dyDescent="0.2">
      <c r="B674" s="56"/>
      <c r="C674" s="56"/>
      <c r="D674" s="56"/>
      <c r="E674" s="56"/>
      <c r="F674" s="66"/>
      <c r="G674" s="66"/>
      <c r="H674" s="66"/>
      <c r="J674" s="122"/>
      <c r="K674" s="117"/>
      <c r="L674" s="118"/>
      <c r="M674" s="119"/>
      <c r="N674" s="55"/>
      <c r="O674" s="55"/>
      <c r="P674" s="173"/>
    </row>
    <row r="675" spans="2:16" x14ac:dyDescent="0.2">
      <c r="B675" s="56"/>
      <c r="C675" s="56"/>
      <c r="D675" s="56"/>
      <c r="E675" s="56"/>
      <c r="F675" s="66"/>
      <c r="G675" s="66"/>
      <c r="H675" s="66"/>
      <c r="J675" s="122"/>
      <c r="K675" s="117"/>
      <c r="L675" s="118"/>
      <c r="M675" s="119"/>
      <c r="N675" s="55"/>
      <c r="O675" s="55"/>
      <c r="P675" s="173"/>
    </row>
    <row r="676" spans="2:16" x14ac:dyDescent="0.2">
      <c r="B676" s="56"/>
      <c r="C676" s="56"/>
      <c r="D676" s="56"/>
      <c r="E676" s="56"/>
      <c r="F676" s="66"/>
      <c r="G676" s="66"/>
      <c r="H676" s="66"/>
      <c r="J676" s="122"/>
      <c r="K676" s="117"/>
      <c r="L676" s="118"/>
      <c r="M676" s="119"/>
      <c r="N676" s="55"/>
      <c r="O676" s="55"/>
      <c r="P676" s="173"/>
    </row>
    <row r="677" spans="2:16" x14ac:dyDescent="0.2">
      <c r="B677" s="56"/>
      <c r="C677" s="56"/>
      <c r="D677" s="56"/>
      <c r="E677" s="56"/>
      <c r="F677" s="66"/>
      <c r="G677" s="66"/>
      <c r="H677" s="66"/>
      <c r="J677" s="122"/>
      <c r="K677" s="117"/>
      <c r="L677" s="118"/>
      <c r="M677" s="119"/>
      <c r="N677" s="55"/>
      <c r="O677" s="55"/>
      <c r="P677" s="173"/>
    </row>
    <row r="678" spans="2:16" x14ac:dyDescent="0.2">
      <c r="B678" s="56"/>
      <c r="C678" s="56"/>
      <c r="D678" s="56"/>
      <c r="E678" s="56"/>
      <c r="F678" s="66"/>
      <c r="G678" s="66"/>
      <c r="H678" s="66"/>
      <c r="J678" s="122"/>
      <c r="K678" s="117"/>
      <c r="L678" s="118"/>
      <c r="M678" s="119"/>
      <c r="N678" s="55"/>
      <c r="O678" s="55"/>
      <c r="P678" s="173"/>
    </row>
    <row r="679" spans="2:16" x14ac:dyDescent="0.2">
      <c r="B679" s="56"/>
      <c r="C679" s="56"/>
      <c r="D679" s="56"/>
      <c r="E679" s="56"/>
      <c r="F679" s="66"/>
      <c r="G679" s="66"/>
      <c r="H679" s="66"/>
      <c r="J679" s="122"/>
      <c r="K679" s="117"/>
      <c r="L679" s="118"/>
      <c r="M679" s="119"/>
      <c r="N679" s="55"/>
      <c r="O679" s="55"/>
      <c r="P679" s="173"/>
    </row>
    <row r="680" spans="2:16" x14ac:dyDescent="0.2">
      <c r="B680" s="56"/>
      <c r="C680" s="56"/>
      <c r="D680" s="56"/>
      <c r="E680" s="56"/>
      <c r="F680" s="66"/>
      <c r="G680" s="66"/>
      <c r="H680" s="66"/>
      <c r="J680" s="122"/>
      <c r="K680" s="117"/>
      <c r="L680" s="118"/>
      <c r="M680" s="119"/>
      <c r="N680" s="55"/>
      <c r="O680" s="55"/>
      <c r="P680" s="173"/>
    </row>
    <row r="681" spans="2:16" x14ac:dyDescent="0.2">
      <c r="B681" s="56"/>
      <c r="C681" s="56"/>
      <c r="D681" s="56"/>
      <c r="E681" s="56"/>
      <c r="F681" s="66"/>
      <c r="G681" s="66"/>
      <c r="H681" s="66"/>
      <c r="J681" s="122"/>
      <c r="K681" s="117"/>
      <c r="L681" s="118"/>
      <c r="M681" s="119"/>
      <c r="N681" s="55"/>
      <c r="O681" s="55"/>
      <c r="P681" s="173"/>
    </row>
    <row r="682" spans="2:16" x14ac:dyDescent="0.2">
      <c r="B682" s="56"/>
      <c r="C682" s="56"/>
      <c r="D682" s="56"/>
      <c r="E682" s="56"/>
      <c r="F682" s="66"/>
      <c r="G682" s="66"/>
      <c r="H682" s="66"/>
      <c r="J682" s="122"/>
      <c r="K682" s="117"/>
      <c r="L682" s="118"/>
      <c r="M682" s="119"/>
      <c r="N682" s="55"/>
      <c r="O682" s="55"/>
      <c r="P682" s="173"/>
    </row>
    <row r="683" spans="2:16" x14ac:dyDescent="0.2">
      <c r="B683" s="56"/>
      <c r="C683" s="56"/>
      <c r="D683" s="56"/>
      <c r="E683" s="56"/>
      <c r="F683" s="66"/>
      <c r="G683" s="66"/>
      <c r="H683" s="66"/>
      <c r="J683" s="122"/>
      <c r="K683" s="117"/>
      <c r="L683" s="118"/>
      <c r="M683" s="119"/>
      <c r="N683" s="55"/>
      <c r="O683" s="55"/>
      <c r="P683" s="173"/>
    </row>
    <row r="684" spans="2:16" x14ac:dyDescent="0.2">
      <c r="B684" s="56"/>
      <c r="C684" s="56"/>
      <c r="D684" s="56"/>
      <c r="E684" s="56"/>
      <c r="F684" s="66"/>
      <c r="G684" s="66"/>
      <c r="H684" s="66"/>
      <c r="J684" s="122"/>
      <c r="K684" s="117"/>
      <c r="L684" s="118"/>
      <c r="M684" s="119"/>
      <c r="N684" s="55"/>
      <c r="O684" s="55"/>
      <c r="P684" s="173"/>
    </row>
    <row r="685" spans="2:16" x14ac:dyDescent="0.2">
      <c r="B685" s="56"/>
      <c r="C685" s="56"/>
      <c r="D685" s="56"/>
      <c r="E685" s="56"/>
      <c r="F685" s="66"/>
      <c r="G685" s="66"/>
      <c r="H685" s="66"/>
      <c r="J685" s="122"/>
      <c r="K685" s="117"/>
      <c r="L685" s="118"/>
      <c r="M685" s="119"/>
      <c r="N685" s="55"/>
      <c r="O685" s="55"/>
      <c r="P685" s="173"/>
    </row>
    <row r="686" spans="2:16" x14ac:dyDescent="0.2">
      <c r="B686" s="56"/>
      <c r="C686" s="56"/>
      <c r="D686" s="56"/>
      <c r="E686" s="56"/>
      <c r="F686" s="66"/>
      <c r="G686" s="66"/>
      <c r="H686" s="66"/>
      <c r="J686" s="122"/>
      <c r="K686" s="117"/>
      <c r="L686" s="118"/>
      <c r="M686" s="119"/>
      <c r="N686" s="55"/>
      <c r="O686" s="55"/>
      <c r="P686" s="173"/>
    </row>
    <row r="687" spans="2:16" x14ac:dyDescent="0.2">
      <c r="B687" s="56"/>
      <c r="C687" s="56"/>
      <c r="D687" s="56"/>
      <c r="E687" s="56"/>
      <c r="F687" s="66"/>
      <c r="G687" s="66"/>
      <c r="H687" s="66"/>
      <c r="J687" s="122"/>
      <c r="K687" s="117"/>
      <c r="L687" s="118"/>
      <c r="M687" s="119"/>
      <c r="N687" s="55"/>
      <c r="O687" s="55"/>
      <c r="P687" s="173"/>
    </row>
    <row r="688" spans="2:16" x14ac:dyDescent="0.2">
      <c r="B688" s="56"/>
      <c r="C688" s="56"/>
      <c r="D688" s="56"/>
      <c r="E688" s="56"/>
      <c r="F688" s="66"/>
      <c r="G688" s="66"/>
      <c r="H688" s="66"/>
      <c r="J688" s="122"/>
      <c r="K688" s="117"/>
      <c r="L688" s="118"/>
      <c r="M688" s="119"/>
      <c r="N688" s="55"/>
      <c r="O688" s="55"/>
      <c r="P688" s="173"/>
    </row>
    <row r="689" spans="2:16" x14ac:dyDescent="0.2">
      <c r="B689" s="56"/>
      <c r="C689" s="56"/>
      <c r="D689" s="56"/>
      <c r="E689" s="56"/>
      <c r="F689" s="66"/>
      <c r="G689" s="66"/>
      <c r="H689" s="66"/>
      <c r="J689" s="122"/>
      <c r="K689" s="117"/>
      <c r="L689" s="118"/>
      <c r="M689" s="119"/>
      <c r="N689" s="55"/>
      <c r="O689" s="55"/>
      <c r="P689" s="173"/>
    </row>
    <row r="690" spans="2:16" x14ac:dyDescent="0.2">
      <c r="B690" s="56"/>
      <c r="C690" s="56"/>
      <c r="D690" s="56"/>
      <c r="E690" s="56"/>
      <c r="F690" s="66"/>
      <c r="G690" s="66"/>
      <c r="H690" s="66"/>
      <c r="J690" s="122"/>
      <c r="K690" s="117"/>
      <c r="L690" s="118"/>
      <c r="M690" s="119"/>
      <c r="N690" s="55"/>
      <c r="O690" s="55"/>
      <c r="P690" s="173"/>
    </row>
    <row r="691" spans="2:16" x14ac:dyDescent="0.2">
      <c r="B691" s="56"/>
      <c r="C691" s="56"/>
      <c r="D691" s="56"/>
      <c r="E691" s="56"/>
      <c r="F691" s="66"/>
      <c r="G691" s="66"/>
      <c r="H691" s="66"/>
      <c r="J691" s="122"/>
      <c r="K691" s="117"/>
      <c r="L691" s="118"/>
      <c r="M691" s="119"/>
      <c r="N691" s="55"/>
      <c r="O691" s="55"/>
      <c r="P691" s="173"/>
    </row>
    <row r="692" spans="2:16" x14ac:dyDescent="0.2">
      <c r="B692" s="56"/>
      <c r="C692" s="56"/>
      <c r="D692" s="56"/>
      <c r="E692" s="56"/>
      <c r="F692" s="66"/>
      <c r="G692" s="66"/>
      <c r="H692" s="66"/>
      <c r="J692" s="122"/>
      <c r="K692" s="117"/>
      <c r="L692" s="118"/>
      <c r="M692" s="119"/>
      <c r="N692" s="55"/>
      <c r="O692" s="55"/>
      <c r="P692" s="173"/>
    </row>
    <row r="693" spans="2:16" x14ac:dyDescent="0.2">
      <c r="B693" s="56"/>
      <c r="C693" s="56"/>
      <c r="D693" s="56"/>
      <c r="E693" s="56"/>
      <c r="F693" s="66"/>
      <c r="G693" s="66"/>
      <c r="H693" s="66"/>
      <c r="J693" s="122"/>
      <c r="K693" s="117"/>
      <c r="L693" s="118"/>
      <c r="M693" s="119"/>
      <c r="N693" s="55"/>
      <c r="O693" s="55"/>
      <c r="P693" s="173"/>
    </row>
    <row r="694" spans="2:16" x14ac:dyDescent="0.2">
      <c r="B694" s="56"/>
      <c r="C694" s="56"/>
      <c r="D694" s="56"/>
      <c r="E694" s="56"/>
      <c r="F694" s="66"/>
      <c r="G694" s="66"/>
      <c r="H694" s="66"/>
      <c r="J694" s="122"/>
      <c r="K694" s="117"/>
      <c r="L694" s="118"/>
      <c r="M694" s="119"/>
      <c r="N694" s="55"/>
      <c r="O694" s="55"/>
      <c r="P694" s="173"/>
    </row>
    <row r="695" spans="2:16" x14ac:dyDescent="0.2">
      <c r="B695" s="56"/>
      <c r="C695" s="56"/>
      <c r="D695" s="56"/>
      <c r="E695" s="56"/>
      <c r="F695" s="66"/>
      <c r="G695" s="66"/>
      <c r="H695" s="66"/>
      <c r="J695" s="122"/>
      <c r="K695" s="117"/>
      <c r="L695" s="118"/>
      <c r="M695" s="119"/>
      <c r="N695" s="55"/>
      <c r="O695" s="55"/>
      <c r="P695" s="173"/>
    </row>
    <row r="696" spans="2:16" x14ac:dyDescent="0.2">
      <c r="B696" s="56"/>
      <c r="C696" s="56"/>
      <c r="D696" s="56"/>
      <c r="E696" s="56"/>
      <c r="F696" s="66"/>
      <c r="G696" s="66"/>
      <c r="H696" s="66"/>
      <c r="J696" s="122"/>
      <c r="K696" s="117"/>
      <c r="L696" s="118"/>
      <c r="M696" s="119"/>
      <c r="N696" s="55"/>
      <c r="O696" s="55"/>
      <c r="P696" s="173"/>
    </row>
    <row r="697" spans="2:16" x14ac:dyDescent="0.2">
      <c r="B697" s="56"/>
      <c r="C697" s="56"/>
      <c r="D697" s="56"/>
      <c r="E697" s="56"/>
      <c r="F697" s="66"/>
      <c r="G697" s="66"/>
      <c r="H697" s="66"/>
      <c r="J697" s="122"/>
      <c r="K697" s="117"/>
      <c r="L697" s="118"/>
      <c r="M697" s="119"/>
      <c r="N697" s="55"/>
      <c r="O697" s="55"/>
      <c r="P697" s="173"/>
    </row>
    <row r="698" spans="2:16" x14ac:dyDescent="0.2">
      <c r="B698" s="56"/>
      <c r="C698" s="56"/>
      <c r="D698" s="56"/>
      <c r="E698" s="56"/>
      <c r="F698" s="66"/>
      <c r="G698" s="66"/>
      <c r="H698" s="66"/>
      <c r="J698" s="122"/>
      <c r="K698" s="117"/>
      <c r="L698" s="118"/>
      <c r="M698" s="119"/>
      <c r="N698" s="55"/>
      <c r="O698" s="55"/>
      <c r="P698" s="173"/>
    </row>
    <row r="699" spans="2:16" x14ac:dyDescent="0.2">
      <c r="B699" s="56"/>
      <c r="C699" s="56"/>
      <c r="D699" s="56"/>
      <c r="E699" s="56"/>
      <c r="F699" s="66"/>
      <c r="G699" s="66"/>
      <c r="H699" s="66"/>
      <c r="J699" s="122"/>
      <c r="K699" s="117"/>
      <c r="L699" s="118"/>
      <c r="M699" s="119"/>
      <c r="N699" s="55"/>
      <c r="O699" s="55"/>
      <c r="P699" s="173"/>
    </row>
    <row r="700" spans="2:16" x14ac:dyDescent="0.2">
      <c r="B700" s="56"/>
      <c r="C700" s="56"/>
      <c r="D700" s="56"/>
      <c r="E700" s="56"/>
      <c r="F700" s="66"/>
      <c r="G700" s="66"/>
      <c r="H700" s="66"/>
      <c r="J700" s="122"/>
      <c r="K700" s="117"/>
      <c r="L700" s="118"/>
      <c r="M700" s="119"/>
      <c r="N700" s="55"/>
      <c r="O700" s="55"/>
      <c r="P700" s="173"/>
    </row>
    <row r="701" spans="2:16" x14ac:dyDescent="0.2">
      <c r="B701" s="56"/>
      <c r="C701" s="56"/>
      <c r="D701" s="56"/>
      <c r="E701" s="56"/>
      <c r="F701" s="66"/>
      <c r="G701" s="66"/>
      <c r="H701" s="66"/>
      <c r="J701" s="122"/>
      <c r="K701" s="117"/>
      <c r="L701" s="118"/>
      <c r="M701" s="119"/>
      <c r="N701" s="55"/>
      <c r="O701" s="55"/>
      <c r="P701" s="173"/>
    </row>
    <row r="702" spans="2:16" x14ac:dyDescent="0.2">
      <c r="B702" s="56"/>
      <c r="C702" s="56"/>
      <c r="D702" s="56"/>
      <c r="E702" s="56"/>
      <c r="F702" s="66"/>
      <c r="G702" s="66"/>
      <c r="H702" s="66"/>
      <c r="J702" s="122"/>
      <c r="K702" s="117"/>
      <c r="L702" s="118"/>
      <c r="M702" s="119"/>
      <c r="N702" s="55"/>
      <c r="O702" s="55"/>
      <c r="P702" s="173"/>
    </row>
    <row r="703" spans="2:16" x14ac:dyDescent="0.2">
      <c r="B703" s="56"/>
      <c r="C703" s="56"/>
      <c r="D703" s="56"/>
      <c r="E703" s="56"/>
      <c r="F703" s="66"/>
      <c r="G703" s="66"/>
      <c r="H703" s="66"/>
      <c r="J703" s="122"/>
      <c r="K703" s="117"/>
      <c r="L703" s="118"/>
      <c r="M703" s="119"/>
      <c r="N703" s="55"/>
      <c r="O703" s="55"/>
      <c r="P703" s="173"/>
    </row>
    <row r="704" spans="2:16" x14ac:dyDescent="0.2">
      <c r="B704" s="56"/>
      <c r="C704" s="56"/>
      <c r="D704" s="56"/>
      <c r="E704" s="56"/>
      <c r="F704" s="66"/>
      <c r="G704" s="66"/>
      <c r="H704" s="66"/>
      <c r="J704" s="122"/>
      <c r="K704" s="117"/>
      <c r="L704" s="118"/>
      <c r="M704" s="119"/>
      <c r="N704" s="55"/>
      <c r="O704" s="55"/>
      <c r="P704" s="173"/>
    </row>
    <row r="705" spans="2:16" x14ac:dyDescent="0.2">
      <c r="B705" s="56"/>
      <c r="C705" s="56"/>
      <c r="D705" s="56"/>
      <c r="E705" s="56"/>
      <c r="F705" s="66"/>
      <c r="G705" s="66"/>
      <c r="H705" s="66"/>
      <c r="J705" s="122"/>
      <c r="K705" s="117"/>
      <c r="L705" s="118"/>
      <c r="M705" s="119"/>
      <c r="N705" s="55"/>
      <c r="O705" s="55"/>
      <c r="P705" s="173"/>
    </row>
    <row r="706" spans="2:16" x14ac:dyDescent="0.2">
      <c r="B706" s="56"/>
      <c r="C706" s="56"/>
      <c r="D706" s="56"/>
      <c r="E706" s="56"/>
      <c r="F706" s="66"/>
      <c r="G706" s="66"/>
      <c r="H706" s="66"/>
      <c r="J706" s="122"/>
      <c r="K706" s="117"/>
      <c r="L706" s="118"/>
      <c r="M706" s="119"/>
      <c r="N706" s="55"/>
      <c r="O706" s="55"/>
      <c r="P706" s="173"/>
    </row>
    <row r="707" spans="2:16" x14ac:dyDescent="0.2">
      <c r="B707" s="56"/>
      <c r="C707" s="56"/>
      <c r="D707" s="56"/>
      <c r="E707" s="56"/>
      <c r="F707" s="66"/>
      <c r="G707" s="66"/>
      <c r="H707" s="66"/>
      <c r="J707" s="122"/>
      <c r="K707" s="117"/>
      <c r="L707" s="118"/>
      <c r="M707" s="119"/>
      <c r="N707" s="55"/>
      <c r="O707" s="55"/>
      <c r="P707" s="173"/>
    </row>
    <row r="708" spans="2:16" x14ac:dyDescent="0.2">
      <c r="B708" s="56"/>
      <c r="C708" s="56"/>
      <c r="D708" s="56"/>
      <c r="E708" s="56"/>
      <c r="F708" s="66"/>
      <c r="G708" s="66"/>
      <c r="H708" s="66"/>
      <c r="J708" s="122"/>
      <c r="K708" s="117"/>
      <c r="L708" s="118"/>
      <c r="M708" s="119"/>
      <c r="N708" s="55"/>
      <c r="O708" s="55"/>
      <c r="P708" s="173"/>
    </row>
    <row r="709" spans="2:16" x14ac:dyDescent="0.2">
      <c r="B709" s="56"/>
      <c r="C709" s="56"/>
      <c r="D709" s="56"/>
      <c r="E709" s="56"/>
      <c r="F709" s="66"/>
      <c r="G709" s="66"/>
      <c r="H709" s="66"/>
      <c r="J709" s="122"/>
      <c r="K709" s="117"/>
      <c r="L709" s="118"/>
      <c r="M709" s="119"/>
      <c r="N709" s="55"/>
      <c r="O709" s="55"/>
      <c r="P709" s="173"/>
    </row>
    <row r="710" spans="2:16" x14ac:dyDescent="0.2">
      <c r="B710" s="56"/>
      <c r="C710" s="56"/>
      <c r="D710" s="56"/>
      <c r="E710" s="56"/>
      <c r="F710" s="66"/>
      <c r="G710" s="66"/>
      <c r="H710" s="66"/>
      <c r="J710" s="122"/>
      <c r="K710" s="117"/>
      <c r="L710" s="118"/>
      <c r="M710" s="119"/>
      <c r="N710" s="55"/>
      <c r="O710" s="55"/>
      <c r="P710" s="173"/>
    </row>
    <row r="711" spans="2:16" x14ac:dyDescent="0.2">
      <c r="B711" s="56"/>
      <c r="C711" s="56"/>
      <c r="D711" s="56"/>
      <c r="E711" s="56"/>
      <c r="F711" s="66"/>
      <c r="G711" s="66"/>
      <c r="H711" s="66"/>
      <c r="J711" s="122"/>
      <c r="K711" s="117"/>
      <c r="L711" s="118"/>
      <c r="M711" s="119"/>
      <c r="N711" s="55"/>
      <c r="O711" s="55"/>
      <c r="P711" s="173"/>
    </row>
    <row r="712" spans="2:16" x14ac:dyDescent="0.2">
      <c r="B712" s="56"/>
      <c r="C712" s="56"/>
      <c r="D712" s="56"/>
      <c r="E712" s="56"/>
      <c r="F712" s="66"/>
      <c r="G712" s="66"/>
      <c r="H712" s="66"/>
      <c r="J712" s="122"/>
      <c r="K712" s="117"/>
      <c r="L712" s="118"/>
      <c r="M712" s="119"/>
      <c r="N712" s="55"/>
      <c r="O712" s="55"/>
      <c r="P712" s="173"/>
    </row>
    <row r="713" spans="2:16" x14ac:dyDescent="0.2">
      <c r="B713" s="56"/>
      <c r="C713" s="56"/>
      <c r="D713" s="56"/>
      <c r="E713" s="56"/>
      <c r="F713" s="66"/>
      <c r="G713" s="66"/>
      <c r="H713" s="66"/>
      <c r="J713" s="122"/>
      <c r="K713" s="117"/>
      <c r="L713" s="118"/>
      <c r="M713" s="119"/>
      <c r="N713" s="55"/>
      <c r="O713" s="55"/>
      <c r="P713" s="173"/>
    </row>
    <row r="714" spans="2:16" x14ac:dyDescent="0.2">
      <c r="B714" s="56"/>
      <c r="C714" s="56"/>
      <c r="D714" s="56"/>
      <c r="E714" s="56"/>
      <c r="F714" s="66"/>
      <c r="G714" s="66"/>
      <c r="H714" s="66"/>
      <c r="J714" s="122"/>
      <c r="K714" s="117"/>
      <c r="L714" s="118"/>
      <c r="M714" s="119"/>
      <c r="N714" s="55"/>
      <c r="O714" s="55"/>
      <c r="P714" s="173"/>
    </row>
    <row r="715" spans="2:16" x14ac:dyDescent="0.2">
      <c r="B715" s="56"/>
      <c r="C715" s="56"/>
      <c r="D715" s="56"/>
      <c r="E715" s="56"/>
      <c r="F715" s="66"/>
      <c r="G715" s="66"/>
      <c r="H715" s="66"/>
      <c r="J715" s="122"/>
      <c r="K715" s="117"/>
      <c r="L715" s="118"/>
      <c r="M715" s="119"/>
      <c r="N715" s="55"/>
      <c r="O715" s="55"/>
      <c r="P715" s="173"/>
    </row>
    <row r="716" spans="2:16" x14ac:dyDescent="0.2">
      <c r="B716" s="56"/>
      <c r="C716" s="56"/>
      <c r="D716" s="56"/>
      <c r="E716" s="56"/>
      <c r="F716" s="66"/>
      <c r="G716" s="66"/>
      <c r="H716" s="66"/>
      <c r="J716" s="122"/>
      <c r="K716" s="117"/>
      <c r="L716" s="118"/>
      <c r="M716" s="119"/>
      <c r="N716" s="55"/>
      <c r="O716" s="55"/>
      <c r="P716" s="173"/>
    </row>
    <row r="717" spans="2:16" x14ac:dyDescent="0.2">
      <c r="B717" s="56"/>
      <c r="C717" s="56"/>
      <c r="D717" s="56"/>
      <c r="E717" s="56"/>
      <c r="F717" s="66"/>
      <c r="G717" s="66"/>
      <c r="H717" s="66"/>
      <c r="J717" s="122"/>
      <c r="K717" s="117"/>
      <c r="L717" s="118"/>
      <c r="M717" s="119"/>
      <c r="N717" s="55"/>
      <c r="O717" s="55"/>
      <c r="P717" s="173"/>
    </row>
    <row r="718" spans="2:16" x14ac:dyDescent="0.2">
      <c r="B718" s="56"/>
      <c r="C718" s="56"/>
      <c r="D718" s="56"/>
      <c r="E718" s="56"/>
      <c r="F718" s="66"/>
      <c r="G718" s="66"/>
      <c r="H718" s="66"/>
      <c r="J718" s="122"/>
      <c r="K718" s="117"/>
      <c r="L718" s="118"/>
      <c r="M718" s="119"/>
      <c r="N718" s="55"/>
      <c r="O718" s="55"/>
      <c r="P718" s="173"/>
    </row>
    <row r="719" spans="2:16" x14ac:dyDescent="0.2">
      <c r="B719" s="56"/>
      <c r="C719" s="56"/>
      <c r="D719" s="56"/>
      <c r="E719" s="56"/>
      <c r="F719" s="66"/>
      <c r="G719" s="66"/>
      <c r="H719" s="66"/>
      <c r="J719" s="122"/>
      <c r="K719" s="117"/>
      <c r="L719" s="118"/>
      <c r="M719" s="119"/>
      <c r="N719" s="55"/>
      <c r="O719" s="55"/>
      <c r="P719" s="173"/>
    </row>
    <row r="720" spans="2:16" x14ac:dyDescent="0.2">
      <c r="B720" s="56"/>
      <c r="C720" s="56"/>
      <c r="D720" s="56"/>
      <c r="E720" s="56"/>
      <c r="F720" s="66"/>
      <c r="G720" s="66"/>
      <c r="H720" s="66"/>
      <c r="J720" s="122"/>
      <c r="K720" s="117"/>
      <c r="L720" s="118"/>
      <c r="M720" s="119"/>
      <c r="N720" s="55"/>
      <c r="O720" s="55"/>
      <c r="P720" s="173"/>
    </row>
    <row r="721" spans="2:16" x14ac:dyDescent="0.2">
      <c r="B721" s="56"/>
      <c r="C721" s="56"/>
      <c r="D721" s="56"/>
      <c r="E721" s="56"/>
      <c r="F721" s="66"/>
      <c r="G721" s="66"/>
      <c r="H721" s="66"/>
      <c r="J721" s="122"/>
      <c r="K721" s="117"/>
      <c r="L721" s="118"/>
      <c r="M721" s="119"/>
      <c r="N721" s="55"/>
      <c r="O721" s="55"/>
      <c r="P721" s="173"/>
    </row>
    <row r="722" spans="2:16" x14ac:dyDescent="0.2">
      <c r="B722" s="56"/>
      <c r="C722" s="56"/>
      <c r="D722" s="56"/>
      <c r="E722" s="56"/>
      <c r="F722" s="66"/>
      <c r="G722" s="66"/>
      <c r="H722" s="66"/>
      <c r="J722" s="122"/>
      <c r="K722" s="117"/>
      <c r="L722" s="118"/>
      <c r="M722" s="119"/>
      <c r="N722" s="55"/>
      <c r="O722" s="55"/>
      <c r="P722" s="173"/>
    </row>
    <row r="723" spans="2:16" x14ac:dyDescent="0.2">
      <c r="B723" s="56"/>
      <c r="C723" s="56"/>
      <c r="D723" s="56"/>
      <c r="E723" s="56"/>
      <c r="F723" s="66"/>
      <c r="G723" s="66"/>
      <c r="H723" s="66"/>
      <c r="J723" s="122"/>
      <c r="K723" s="117"/>
      <c r="L723" s="118"/>
      <c r="M723" s="119"/>
      <c r="N723" s="55"/>
      <c r="O723" s="55"/>
      <c r="P723" s="173"/>
    </row>
    <row r="724" spans="2:16" x14ac:dyDescent="0.2">
      <c r="B724" s="56"/>
      <c r="C724" s="56"/>
      <c r="D724" s="56"/>
      <c r="E724" s="56"/>
      <c r="F724" s="66"/>
      <c r="G724" s="66"/>
      <c r="H724" s="66"/>
      <c r="J724" s="122"/>
      <c r="K724" s="117"/>
      <c r="L724" s="118"/>
      <c r="M724" s="119"/>
      <c r="N724" s="55"/>
      <c r="O724" s="55"/>
      <c r="P724" s="173"/>
    </row>
    <row r="725" spans="2:16" x14ac:dyDescent="0.2">
      <c r="B725" s="56"/>
      <c r="C725" s="56"/>
      <c r="D725" s="56"/>
      <c r="E725" s="56"/>
      <c r="F725" s="66"/>
      <c r="G725" s="66"/>
      <c r="H725" s="66"/>
      <c r="J725" s="122"/>
      <c r="K725" s="117"/>
      <c r="L725" s="118"/>
      <c r="M725" s="119"/>
      <c r="N725" s="55"/>
      <c r="O725" s="55"/>
      <c r="P725" s="173"/>
    </row>
    <row r="726" spans="2:16" x14ac:dyDescent="0.2">
      <c r="B726" s="56"/>
      <c r="C726" s="56"/>
      <c r="D726" s="56"/>
      <c r="E726" s="56"/>
      <c r="F726" s="66"/>
      <c r="G726" s="66"/>
      <c r="H726" s="66"/>
      <c r="J726" s="122"/>
      <c r="K726" s="117"/>
      <c r="L726" s="118"/>
      <c r="M726" s="119"/>
      <c r="N726" s="55"/>
      <c r="O726" s="55"/>
      <c r="P726" s="173"/>
    </row>
    <row r="727" spans="2:16" x14ac:dyDescent="0.2">
      <c r="B727" s="56"/>
      <c r="C727" s="56"/>
      <c r="D727" s="56"/>
      <c r="E727" s="56"/>
      <c r="F727" s="66"/>
      <c r="G727" s="66"/>
      <c r="H727" s="66"/>
      <c r="J727" s="122"/>
      <c r="K727" s="117"/>
      <c r="L727" s="118"/>
      <c r="M727" s="119"/>
      <c r="N727" s="55"/>
      <c r="O727" s="55"/>
      <c r="P727" s="173"/>
    </row>
    <row r="728" spans="2:16" x14ac:dyDescent="0.2">
      <c r="B728" s="56"/>
      <c r="C728" s="56"/>
      <c r="D728" s="56"/>
      <c r="E728" s="56"/>
      <c r="F728" s="66"/>
      <c r="G728" s="66"/>
      <c r="H728" s="66"/>
      <c r="J728" s="122"/>
      <c r="K728" s="117"/>
      <c r="L728" s="118"/>
      <c r="M728" s="119"/>
      <c r="N728" s="55"/>
      <c r="O728" s="55"/>
      <c r="P728" s="173"/>
    </row>
    <row r="729" spans="2:16" x14ac:dyDescent="0.2">
      <c r="B729" s="56"/>
      <c r="C729" s="56"/>
      <c r="D729" s="56"/>
      <c r="E729" s="56"/>
      <c r="F729" s="66"/>
      <c r="G729" s="66"/>
      <c r="H729" s="66"/>
      <c r="J729" s="122"/>
      <c r="K729" s="117"/>
      <c r="L729" s="118"/>
      <c r="M729" s="119"/>
      <c r="N729" s="55"/>
      <c r="O729" s="55"/>
      <c r="P729" s="173"/>
    </row>
    <row r="730" spans="2:16" x14ac:dyDescent="0.2">
      <c r="B730" s="56"/>
      <c r="C730" s="56"/>
      <c r="D730" s="56"/>
      <c r="E730" s="56"/>
      <c r="F730" s="66"/>
      <c r="G730" s="66"/>
      <c r="H730" s="66"/>
      <c r="J730" s="122"/>
      <c r="K730" s="117"/>
      <c r="L730" s="118"/>
      <c r="M730" s="119"/>
      <c r="N730" s="55"/>
      <c r="O730" s="55"/>
      <c r="P730" s="173"/>
    </row>
    <row r="731" spans="2:16" x14ac:dyDescent="0.2">
      <c r="B731" s="56"/>
      <c r="C731" s="56"/>
      <c r="D731" s="56"/>
      <c r="E731" s="56"/>
      <c r="F731" s="66"/>
      <c r="G731" s="66"/>
      <c r="H731" s="66"/>
      <c r="J731" s="122"/>
      <c r="K731" s="117"/>
      <c r="L731" s="118"/>
      <c r="M731" s="119"/>
      <c r="N731" s="55"/>
      <c r="O731" s="55"/>
      <c r="P731" s="173"/>
    </row>
    <row r="732" spans="2:16" x14ac:dyDescent="0.2">
      <c r="B732" s="56"/>
      <c r="C732" s="56"/>
      <c r="D732" s="56"/>
      <c r="E732" s="56"/>
      <c r="F732" s="66"/>
      <c r="G732" s="66"/>
      <c r="H732" s="66"/>
      <c r="J732" s="122"/>
      <c r="K732" s="117"/>
      <c r="L732" s="118"/>
      <c r="M732" s="119"/>
      <c r="N732" s="55"/>
      <c r="O732" s="55"/>
      <c r="P732" s="173"/>
    </row>
    <row r="733" spans="2:16" x14ac:dyDescent="0.2">
      <c r="B733" s="56"/>
      <c r="C733" s="56"/>
      <c r="D733" s="56"/>
      <c r="E733" s="56"/>
      <c r="F733" s="66"/>
      <c r="G733" s="66"/>
      <c r="H733" s="66"/>
      <c r="J733" s="122"/>
      <c r="K733" s="117"/>
      <c r="L733" s="118"/>
      <c r="M733" s="119"/>
      <c r="N733" s="55"/>
      <c r="O733" s="55"/>
      <c r="P733" s="173"/>
    </row>
    <row r="734" spans="2:16" x14ac:dyDescent="0.2">
      <c r="B734" s="56"/>
      <c r="C734" s="56"/>
      <c r="D734" s="56"/>
      <c r="E734" s="56"/>
      <c r="F734" s="66"/>
      <c r="G734" s="66"/>
      <c r="H734" s="66"/>
      <c r="J734" s="122"/>
      <c r="K734" s="117"/>
      <c r="L734" s="118"/>
      <c r="M734" s="119"/>
      <c r="N734" s="55"/>
      <c r="O734" s="55"/>
      <c r="P734" s="173"/>
    </row>
    <row r="735" spans="2:16" x14ac:dyDescent="0.2">
      <c r="B735" s="56"/>
      <c r="C735" s="56"/>
      <c r="D735" s="56"/>
      <c r="E735" s="56"/>
      <c r="F735" s="66"/>
      <c r="G735" s="66"/>
      <c r="H735" s="66"/>
      <c r="J735" s="122"/>
      <c r="K735" s="117"/>
      <c r="L735" s="118"/>
      <c r="M735" s="119"/>
      <c r="N735" s="55"/>
      <c r="O735" s="55"/>
      <c r="P735" s="173"/>
    </row>
    <row r="736" spans="2:16" x14ac:dyDescent="0.2">
      <c r="B736" s="56"/>
      <c r="C736" s="56"/>
      <c r="D736" s="56"/>
      <c r="E736" s="56"/>
      <c r="F736" s="66"/>
      <c r="G736" s="66"/>
      <c r="H736" s="66"/>
      <c r="J736" s="122"/>
      <c r="K736" s="117"/>
      <c r="L736" s="118"/>
      <c r="M736" s="119"/>
      <c r="N736" s="55"/>
      <c r="O736" s="55"/>
      <c r="P736" s="173"/>
    </row>
    <row r="737" spans="2:16" x14ac:dyDescent="0.2">
      <c r="B737" s="56"/>
      <c r="C737" s="56"/>
      <c r="D737" s="56"/>
      <c r="E737" s="56"/>
      <c r="F737" s="66"/>
      <c r="G737" s="66"/>
      <c r="H737" s="66"/>
      <c r="J737" s="122"/>
      <c r="K737" s="117"/>
      <c r="L737" s="118"/>
      <c r="M737" s="119"/>
      <c r="N737" s="55"/>
      <c r="O737" s="55"/>
      <c r="P737" s="173"/>
    </row>
    <row r="738" spans="2:16" x14ac:dyDescent="0.2">
      <c r="B738" s="56"/>
      <c r="C738" s="56"/>
      <c r="D738" s="56"/>
      <c r="E738" s="56"/>
      <c r="F738" s="66"/>
      <c r="G738" s="66"/>
      <c r="H738" s="66"/>
      <c r="J738" s="122"/>
      <c r="K738" s="117"/>
      <c r="L738" s="118"/>
      <c r="M738" s="119"/>
      <c r="N738" s="55"/>
      <c r="O738" s="55"/>
      <c r="P738" s="173"/>
    </row>
    <row r="739" spans="2:16" x14ac:dyDescent="0.2">
      <c r="B739" s="56"/>
      <c r="C739" s="56"/>
      <c r="D739" s="56"/>
      <c r="E739" s="56"/>
      <c r="F739" s="66"/>
      <c r="G739" s="66"/>
      <c r="H739" s="66"/>
      <c r="J739" s="122"/>
      <c r="K739" s="117"/>
      <c r="L739" s="118"/>
      <c r="M739" s="119"/>
      <c r="N739" s="55"/>
      <c r="O739" s="55"/>
      <c r="P739" s="173"/>
    </row>
    <row r="740" spans="2:16" x14ac:dyDescent="0.2">
      <c r="B740" s="56"/>
      <c r="C740" s="56"/>
      <c r="D740" s="56"/>
      <c r="E740" s="56"/>
      <c r="F740" s="66"/>
      <c r="G740" s="66"/>
      <c r="H740" s="66"/>
      <c r="J740" s="122"/>
      <c r="K740" s="117"/>
      <c r="L740" s="118"/>
      <c r="M740" s="119"/>
      <c r="N740" s="55"/>
      <c r="O740" s="55"/>
      <c r="P740" s="173"/>
    </row>
    <row r="741" spans="2:16" x14ac:dyDescent="0.2">
      <c r="B741" s="56"/>
      <c r="C741" s="56"/>
      <c r="D741" s="56"/>
      <c r="E741" s="56"/>
      <c r="F741" s="66"/>
      <c r="G741" s="66"/>
      <c r="H741" s="66"/>
      <c r="J741" s="122"/>
      <c r="K741" s="117"/>
      <c r="L741" s="118"/>
      <c r="M741" s="119"/>
      <c r="N741" s="55"/>
      <c r="O741" s="55"/>
      <c r="P741" s="173"/>
    </row>
    <row r="742" spans="2:16" x14ac:dyDescent="0.2">
      <c r="B742" s="56"/>
      <c r="C742" s="56"/>
      <c r="D742" s="56"/>
      <c r="E742" s="56"/>
      <c r="F742" s="66"/>
      <c r="G742" s="66"/>
      <c r="H742" s="66"/>
      <c r="J742" s="122"/>
      <c r="K742" s="117"/>
      <c r="L742" s="118"/>
      <c r="M742" s="119"/>
      <c r="N742" s="55"/>
      <c r="O742" s="55"/>
      <c r="P742" s="173"/>
    </row>
    <row r="743" spans="2:16" x14ac:dyDescent="0.2">
      <c r="B743" s="56"/>
      <c r="C743" s="56"/>
      <c r="D743" s="56"/>
      <c r="E743" s="56"/>
      <c r="F743" s="66"/>
      <c r="G743" s="66"/>
      <c r="H743" s="66"/>
      <c r="J743" s="122"/>
      <c r="K743" s="117"/>
      <c r="L743" s="118"/>
      <c r="M743" s="119"/>
      <c r="N743" s="55"/>
      <c r="O743" s="55"/>
      <c r="P743" s="173"/>
    </row>
    <row r="744" spans="2:16" x14ac:dyDescent="0.2">
      <c r="B744" s="56"/>
      <c r="C744" s="56"/>
      <c r="D744" s="56"/>
      <c r="E744" s="56"/>
      <c r="F744" s="66"/>
      <c r="G744" s="66"/>
      <c r="H744" s="66"/>
      <c r="J744" s="122"/>
      <c r="K744" s="117"/>
      <c r="L744" s="118"/>
      <c r="M744" s="119"/>
      <c r="N744" s="55"/>
      <c r="O744" s="55"/>
      <c r="P744" s="173"/>
    </row>
    <row r="745" spans="2:16" x14ac:dyDescent="0.2">
      <c r="B745" s="56"/>
      <c r="C745" s="56"/>
      <c r="D745" s="56"/>
      <c r="E745" s="56"/>
      <c r="F745" s="66"/>
      <c r="G745" s="66"/>
      <c r="H745" s="66"/>
      <c r="J745" s="122"/>
      <c r="K745" s="117"/>
      <c r="L745" s="118"/>
      <c r="M745" s="119"/>
      <c r="N745" s="55"/>
      <c r="O745" s="55"/>
      <c r="P745" s="173"/>
    </row>
    <row r="746" spans="2:16" x14ac:dyDescent="0.2">
      <c r="B746" s="56"/>
      <c r="C746" s="56"/>
      <c r="D746" s="56"/>
      <c r="E746" s="56"/>
      <c r="F746" s="66"/>
      <c r="G746" s="66"/>
      <c r="H746" s="66"/>
      <c r="J746" s="122"/>
      <c r="K746" s="117"/>
      <c r="L746" s="118"/>
      <c r="M746" s="119"/>
      <c r="N746" s="55"/>
      <c r="O746" s="55"/>
      <c r="P746" s="173"/>
    </row>
    <row r="747" spans="2:16" x14ac:dyDescent="0.2">
      <c r="B747" s="56"/>
      <c r="C747" s="56"/>
      <c r="D747" s="56"/>
      <c r="E747" s="56"/>
      <c r="F747" s="66"/>
      <c r="G747" s="66"/>
      <c r="H747" s="66"/>
      <c r="J747" s="122"/>
      <c r="K747" s="117"/>
      <c r="L747" s="118"/>
      <c r="M747" s="119"/>
      <c r="N747" s="55"/>
      <c r="O747" s="55"/>
      <c r="P747" s="173"/>
    </row>
    <row r="748" spans="2:16" x14ac:dyDescent="0.2">
      <c r="B748" s="56"/>
      <c r="C748" s="56"/>
      <c r="D748" s="56"/>
      <c r="E748" s="56"/>
      <c r="F748" s="66"/>
      <c r="G748" s="66"/>
      <c r="H748" s="66"/>
      <c r="J748" s="122"/>
      <c r="K748" s="117"/>
      <c r="L748" s="118"/>
      <c r="M748" s="119"/>
      <c r="N748" s="55"/>
      <c r="O748" s="55"/>
      <c r="P748" s="173"/>
    </row>
    <row r="749" spans="2:16" x14ac:dyDescent="0.2">
      <c r="B749" s="56"/>
      <c r="C749" s="56"/>
      <c r="D749" s="56"/>
      <c r="E749" s="56"/>
      <c r="F749" s="66"/>
      <c r="G749" s="66"/>
      <c r="H749" s="66"/>
      <c r="J749" s="122"/>
      <c r="K749" s="117"/>
      <c r="L749" s="118"/>
      <c r="M749" s="119"/>
      <c r="N749" s="55"/>
      <c r="O749" s="55"/>
      <c r="P749" s="173"/>
    </row>
    <row r="750" spans="2:16" x14ac:dyDescent="0.2">
      <c r="B750" s="56"/>
      <c r="C750" s="56"/>
      <c r="D750" s="56"/>
      <c r="E750" s="56"/>
      <c r="F750" s="66"/>
      <c r="G750" s="66"/>
      <c r="H750" s="66"/>
      <c r="J750" s="122"/>
      <c r="K750" s="117"/>
      <c r="L750" s="118"/>
      <c r="M750" s="119"/>
      <c r="N750" s="55"/>
      <c r="O750" s="55"/>
      <c r="P750" s="173"/>
    </row>
    <row r="751" spans="2:16" x14ac:dyDescent="0.2">
      <c r="B751" s="56"/>
      <c r="C751" s="56"/>
      <c r="D751" s="56"/>
      <c r="E751" s="56"/>
      <c r="F751" s="66"/>
      <c r="G751" s="66"/>
      <c r="H751" s="66"/>
      <c r="J751" s="122"/>
      <c r="K751" s="117"/>
      <c r="L751" s="118"/>
      <c r="M751" s="119"/>
      <c r="N751" s="55"/>
      <c r="O751" s="55"/>
      <c r="P751" s="173"/>
    </row>
    <row r="752" spans="2:16" x14ac:dyDescent="0.2">
      <c r="B752" s="56"/>
      <c r="C752" s="56"/>
      <c r="D752" s="56"/>
      <c r="E752" s="56"/>
      <c r="F752" s="66"/>
      <c r="G752" s="66"/>
      <c r="H752" s="66"/>
      <c r="J752" s="122"/>
      <c r="K752" s="117"/>
      <c r="L752" s="118"/>
      <c r="M752" s="119"/>
      <c r="N752" s="55"/>
      <c r="O752" s="55"/>
      <c r="P752" s="173"/>
    </row>
    <row r="753" spans="2:16" x14ac:dyDescent="0.2">
      <c r="B753" s="56"/>
      <c r="C753" s="56"/>
      <c r="D753" s="56"/>
      <c r="E753" s="56"/>
      <c r="F753" s="66"/>
      <c r="G753" s="66"/>
      <c r="H753" s="66"/>
      <c r="J753" s="122"/>
      <c r="K753" s="117"/>
      <c r="L753" s="118"/>
      <c r="M753" s="119"/>
      <c r="N753" s="55"/>
      <c r="O753" s="55"/>
      <c r="P753" s="173"/>
    </row>
    <row r="754" spans="2:16" x14ac:dyDescent="0.2">
      <c r="B754" s="56"/>
      <c r="C754" s="56"/>
      <c r="D754" s="56"/>
      <c r="E754" s="56"/>
      <c r="F754" s="66"/>
      <c r="G754" s="66"/>
      <c r="H754" s="66"/>
      <c r="J754" s="122"/>
      <c r="K754" s="117"/>
      <c r="L754" s="118"/>
      <c r="M754" s="119"/>
      <c r="N754" s="55"/>
      <c r="O754" s="55"/>
      <c r="P754" s="173"/>
    </row>
    <row r="755" spans="2:16" x14ac:dyDescent="0.2">
      <c r="B755" s="56"/>
      <c r="C755" s="56"/>
      <c r="D755" s="56"/>
      <c r="E755" s="56"/>
      <c r="F755" s="66"/>
      <c r="G755" s="66"/>
      <c r="H755" s="66"/>
      <c r="J755" s="122"/>
      <c r="K755" s="117"/>
      <c r="L755" s="118"/>
      <c r="M755" s="119"/>
      <c r="N755" s="55"/>
      <c r="O755" s="55"/>
      <c r="P755" s="173"/>
    </row>
    <row r="756" spans="2:16" x14ac:dyDescent="0.2">
      <c r="B756" s="56"/>
      <c r="C756" s="56"/>
      <c r="D756" s="56"/>
      <c r="E756" s="56"/>
      <c r="F756" s="66"/>
      <c r="G756" s="66"/>
      <c r="H756" s="66"/>
      <c r="J756" s="122"/>
      <c r="K756" s="117"/>
      <c r="L756" s="118"/>
      <c r="M756" s="119"/>
      <c r="N756" s="55"/>
      <c r="O756" s="55"/>
      <c r="P756" s="173"/>
    </row>
    <row r="757" spans="2:16" x14ac:dyDescent="0.2">
      <c r="B757" s="56"/>
      <c r="C757" s="56"/>
      <c r="D757" s="56"/>
      <c r="E757" s="56"/>
      <c r="F757" s="66"/>
      <c r="G757" s="66"/>
      <c r="H757" s="66"/>
      <c r="J757" s="122"/>
      <c r="K757" s="117"/>
      <c r="L757" s="118"/>
      <c r="M757" s="119"/>
      <c r="N757" s="55"/>
      <c r="O757" s="55"/>
      <c r="P757" s="173"/>
    </row>
    <row r="758" spans="2:16" x14ac:dyDescent="0.2">
      <c r="B758" s="56"/>
      <c r="C758" s="56"/>
      <c r="D758" s="56"/>
      <c r="E758" s="56"/>
      <c r="F758" s="66"/>
      <c r="G758" s="66"/>
      <c r="H758" s="66"/>
      <c r="J758" s="122"/>
      <c r="K758" s="117"/>
      <c r="L758" s="118"/>
      <c r="M758" s="119"/>
      <c r="N758" s="55"/>
      <c r="O758" s="55"/>
      <c r="P758" s="173"/>
    </row>
    <row r="759" spans="2:16" x14ac:dyDescent="0.2">
      <c r="B759" s="56"/>
      <c r="C759" s="56"/>
      <c r="D759" s="56"/>
      <c r="E759" s="56"/>
      <c r="F759" s="66"/>
      <c r="G759" s="66"/>
      <c r="H759" s="66"/>
      <c r="J759" s="122"/>
      <c r="K759" s="117"/>
      <c r="L759" s="118"/>
      <c r="M759" s="119"/>
      <c r="N759" s="55"/>
      <c r="O759" s="55"/>
      <c r="P759" s="173"/>
    </row>
    <row r="760" spans="2:16" x14ac:dyDescent="0.2">
      <c r="B760" s="56"/>
      <c r="C760" s="56"/>
      <c r="D760" s="56"/>
      <c r="E760" s="56"/>
      <c r="F760" s="66"/>
      <c r="G760" s="66"/>
      <c r="H760" s="66"/>
      <c r="J760" s="122"/>
      <c r="K760" s="117"/>
      <c r="L760" s="118"/>
      <c r="M760" s="119"/>
      <c r="N760" s="55"/>
      <c r="O760" s="55"/>
      <c r="P760" s="173"/>
    </row>
    <row r="761" spans="2:16" x14ac:dyDescent="0.2">
      <c r="B761" s="56"/>
      <c r="C761" s="56"/>
      <c r="D761" s="56"/>
      <c r="E761" s="56"/>
      <c r="F761" s="66"/>
      <c r="G761" s="66"/>
      <c r="H761" s="66"/>
      <c r="J761" s="122"/>
      <c r="K761" s="117"/>
      <c r="L761" s="118"/>
      <c r="M761" s="119"/>
      <c r="N761" s="55"/>
      <c r="O761" s="55"/>
      <c r="P761" s="173"/>
    </row>
    <row r="762" spans="2:16" x14ac:dyDescent="0.2">
      <c r="B762" s="56"/>
      <c r="C762" s="56"/>
      <c r="D762" s="56"/>
      <c r="E762" s="56"/>
      <c r="F762" s="66"/>
      <c r="G762" s="66"/>
      <c r="H762" s="66"/>
      <c r="J762" s="122"/>
      <c r="K762" s="117"/>
      <c r="L762" s="118"/>
      <c r="M762" s="119"/>
      <c r="N762" s="55"/>
      <c r="O762" s="55"/>
      <c r="P762" s="173"/>
    </row>
    <row r="763" spans="2:16" x14ac:dyDescent="0.2">
      <c r="B763" s="56"/>
      <c r="C763" s="56"/>
      <c r="D763" s="56"/>
      <c r="E763" s="56"/>
      <c r="F763" s="66"/>
      <c r="G763" s="66"/>
      <c r="H763" s="66"/>
      <c r="J763" s="122"/>
      <c r="K763" s="117"/>
      <c r="L763" s="118"/>
      <c r="M763" s="119"/>
      <c r="N763" s="55"/>
      <c r="O763" s="55"/>
      <c r="P763" s="173"/>
    </row>
    <row r="764" spans="2:16" x14ac:dyDescent="0.2">
      <c r="B764" s="56"/>
      <c r="C764" s="56"/>
      <c r="D764" s="56"/>
      <c r="E764" s="56"/>
      <c r="F764" s="66"/>
      <c r="G764" s="66"/>
      <c r="H764" s="66"/>
      <c r="J764" s="122"/>
      <c r="K764" s="117"/>
      <c r="L764" s="118"/>
      <c r="M764" s="119"/>
      <c r="N764" s="55"/>
      <c r="O764" s="55"/>
      <c r="P764" s="173"/>
    </row>
    <row r="765" spans="2:16" x14ac:dyDescent="0.2">
      <c r="B765" s="56"/>
      <c r="C765" s="56"/>
      <c r="D765" s="56"/>
      <c r="E765" s="56"/>
      <c r="F765" s="66"/>
      <c r="G765" s="66"/>
      <c r="H765" s="66"/>
      <c r="J765" s="122"/>
      <c r="K765" s="117"/>
      <c r="L765" s="118"/>
      <c r="M765" s="119"/>
      <c r="N765" s="55"/>
      <c r="O765" s="55"/>
      <c r="P765" s="173"/>
    </row>
    <row r="766" spans="2:16" x14ac:dyDescent="0.2">
      <c r="B766" s="56"/>
      <c r="C766" s="56"/>
      <c r="D766" s="56"/>
      <c r="E766" s="56"/>
      <c r="F766" s="66"/>
      <c r="G766" s="66"/>
      <c r="H766" s="66"/>
      <c r="J766" s="122"/>
      <c r="K766" s="117"/>
      <c r="L766" s="118"/>
      <c r="M766" s="119"/>
      <c r="N766" s="55"/>
      <c r="O766" s="55"/>
      <c r="P766" s="173"/>
    </row>
    <row r="767" spans="2:16" x14ac:dyDescent="0.2">
      <c r="B767" s="56"/>
      <c r="C767" s="56"/>
      <c r="D767" s="56"/>
      <c r="E767" s="56"/>
      <c r="F767" s="66"/>
      <c r="G767" s="66"/>
      <c r="H767" s="66"/>
      <c r="J767" s="122"/>
      <c r="K767" s="117"/>
      <c r="L767" s="118"/>
      <c r="M767" s="119"/>
      <c r="N767" s="55"/>
      <c r="O767" s="55"/>
      <c r="P767" s="173"/>
    </row>
    <row r="768" spans="2:16" x14ac:dyDescent="0.2">
      <c r="B768" s="56"/>
      <c r="C768" s="56"/>
      <c r="D768" s="56"/>
      <c r="E768" s="56"/>
      <c r="F768" s="66"/>
      <c r="G768" s="66"/>
      <c r="H768" s="66"/>
      <c r="J768" s="122"/>
      <c r="K768" s="117"/>
      <c r="L768" s="118"/>
      <c r="M768" s="119"/>
      <c r="N768" s="55"/>
      <c r="O768" s="55"/>
      <c r="P768" s="173"/>
    </row>
  </sheetData>
  <mergeCells count="1">
    <mergeCell ref="T3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Summary</vt:lpstr>
      <vt:lpstr>Daily</vt:lpstr>
      <vt:lpstr>Indices</vt:lpstr>
      <vt:lpstr>Seasonality</vt:lpstr>
      <vt:lpstr>Factors</vt:lpstr>
      <vt:lpstr>Multiple Regression</vt:lpstr>
      <vt:lpstr>Volumes vs Normalized Data</vt:lpstr>
      <vt:lpstr>a</vt:lpstr>
      <vt:lpstr>Alpha</vt:lpstr>
      <vt:lpstr>b</vt:lpstr>
      <vt:lpstr>DependentVariable</vt:lpstr>
      <vt:lpstr>Estimate</vt:lpstr>
      <vt:lpstr>EstimationError</vt:lpstr>
      <vt:lpstr>IndependentVariable</vt:lpstr>
      <vt:lpstr>SquareOfError</vt:lpstr>
      <vt:lpstr>x</vt:lpstr>
      <vt:lpstr>y</vt:lpstr>
    </vt:vector>
  </TitlesOfParts>
  <Company>Cognizant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Forecaster</dc:title>
  <dc:creator>S, Naresh (Cognizant)</dc:creator>
  <cp:lastModifiedBy>Cognizant Technology Solutions</cp:lastModifiedBy>
  <dcterms:created xsi:type="dcterms:W3CDTF">2012-09-22T16:49:59Z</dcterms:created>
  <dcterms:modified xsi:type="dcterms:W3CDTF">2016-04-20T20:53:07Z</dcterms:modified>
</cp:coreProperties>
</file>